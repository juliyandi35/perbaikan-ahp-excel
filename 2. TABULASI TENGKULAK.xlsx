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BC05271-9FDA-4BC4-B5B1-BDEF4D5C54C5}" xr6:coauthVersionLast="47" xr6:coauthVersionMax="47" xr10:uidLastSave="{00000000-0000-0000-0000-000000000000}"/>
  <bookViews>
    <workbookView xWindow="-110" yWindow="-110" windowWidth="19420" windowHeight="10300" firstSheet="7" activeTab="9" xr2:uid="{5507AC1E-7C52-41BE-A68E-7B15323E9E0C}"/>
  </bookViews>
  <sheets>
    <sheet name="Profil Tengkulak" sheetId="9" r:id="rId1"/>
    <sheet name="Batur Tengkulak" sheetId="1" r:id="rId2"/>
    <sheet name="Pasureanan Tengkulak" sheetId="2" r:id="rId3"/>
    <sheet name="Sumberejo Tengkulak" sheetId="3" r:id="rId4"/>
    <sheet name="Kepakisan Tengkulak" sheetId="4" r:id="rId5"/>
    <sheet name="Bakal Tengkulak" sheetId="5" r:id="rId6"/>
    <sheet name="Pekasiran Tengkulak" sheetId="6" r:id="rId7"/>
    <sheet name="Karang Tengah Tengkulak" sheetId="7" r:id="rId8"/>
    <sheet name="Tengkulak Dieng Kulon" sheetId="8" r:id="rId9"/>
    <sheet name="AHP" sheetId="12" r:id="rId10"/>
    <sheet name="Prioritas Subkriteria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0" i="12" l="1"/>
  <c r="G182" i="12"/>
  <c r="E182" i="12"/>
  <c r="E180" i="12"/>
  <c r="S144" i="12"/>
  <c r="Q150" i="12"/>
  <c r="O152" i="12" s="1"/>
  <c r="Q146" i="12"/>
  <c r="Q144" i="12"/>
  <c r="Q142" i="12"/>
  <c r="O148" i="12"/>
  <c r="M150" i="12" s="1"/>
  <c r="O146" i="12"/>
  <c r="O142" i="12"/>
  <c r="G150" i="12"/>
  <c r="S152" i="12"/>
  <c r="S150" i="12"/>
  <c r="G154" i="12"/>
  <c r="E152" i="12"/>
  <c r="I150" i="12"/>
  <c r="G148" i="12"/>
  <c r="K144" i="12"/>
  <c r="I146" i="12" s="1"/>
  <c r="K142" i="12"/>
  <c r="G146" i="12" s="1"/>
  <c r="K140" i="12"/>
  <c r="I142" i="12"/>
  <c r="I140" i="12"/>
  <c r="G140" i="12"/>
  <c r="Q154" i="12"/>
  <c r="O154" i="12"/>
  <c r="M154" i="12"/>
  <c r="M152" i="12"/>
  <c r="K154" i="12"/>
  <c r="K152" i="12"/>
  <c r="K150" i="12"/>
  <c r="K148" i="12"/>
  <c r="I154" i="12"/>
  <c r="I152" i="12"/>
  <c r="I148" i="12"/>
  <c r="G152" i="12"/>
  <c r="G144" i="12"/>
  <c r="E154" i="12"/>
  <c r="E150" i="12"/>
  <c r="E148" i="12"/>
  <c r="E146" i="12"/>
  <c r="E144" i="12"/>
  <c r="E142" i="12"/>
  <c r="I76" i="12"/>
  <c r="I74" i="12"/>
  <c r="M80" i="12"/>
  <c r="M78" i="12"/>
  <c r="M76" i="12"/>
  <c r="O78" i="12"/>
  <c r="O76" i="12"/>
  <c r="Q84" i="12"/>
  <c r="O86" i="12" s="1"/>
  <c r="Q82" i="12"/>
  <c r="M86" i="12" s="1"/>
  <c r="AB106" i="12"/>
  <c r="I107" i="12"/>
  <c r="E111" i="12" s="1"/>
  <c r="I96" i="12"/>
  <c r="I109" i="12"/>
  <c r="G111" i="12" s="1"/>
  <c r="G107" i="12"/>
  <c r="E109" i="12"/>
  <c r="KJ100" i="12"/>
  <c r="JM100" i="12"/>
  <c r="IO100" i="12"/>
  <c r="HR100" i="12"/>
  <c r="GV100" i="12"/>
  <c r="FZ100" i="12"/>
  <c r="FC100" i="12"/>
  <c r="EG100" i="12"/>
  <c r="DJ100" i="12"/>
  <c r="CO100" i="12"/>
  <c r="BR100" i="12"/>
  <c r="AW100" i="12"/>
  <c r="AB100" i="12"/>
  <c r="KH100" i="12"/>
  <c r="KH98" i="12"/>
  <c r="JK100" i="12"/>
  <c r="JK98" i="12"/>
  <c r="IM100" i="12"/>
  <c r="IM98" i="12"/>
  <c r="HP100" i="12"/>
  <c r="HP98" i="12"/>
  <c r="GT100" i="12"/>
  <c r="GT98" i="12"/>
  <c r="FX100" i="12"/>
  <c r="FX98" i="12"/>
  <c r="FA100" i="12"/>
  <c r="FA98" i="12"/>
  <c r="EE100" i="12"/>
  <c r="EE98" i="12"/>
  <c r="DH100" i="12"/>
  <c r="DH98" i="12"/>
  <c r="CM100" i="12"/>
  <c r="CM98" i="12"/>
  <c r="BP100" i="12"/>
  <c r="BP98" i="12"/>
  <c r="AU100" i="12"/>
  <c r="AU98" i="12"/>
  <c r="Z100" i="12"/>
  <c r="Z98" i="12"/>
  <c r="G100" i="12"/>
  <c r="E100" i="12"/>
  <c r="E98" i="12"/>
  <c r="K82" i="12"/>
  <c r="E80" i="12"/>
  <c r="Q88" i="12"/>
  <c r="AL82" i="12" s="1"/>
  <c r="M84" i="12"/>
  <c r="K86" i="12"/>
  <c r="K84" i="12"/>
  <c r="I86" i="12"/>
  <c r="I84" i="12"/>
  <c r="I82" i="12"/>
  <c r="I80" i="12"/>
  <c r="G86" i="12"/>
  <c r="G84" i="12"/>
  <c r="G82" i="12"/>
  <c r="G80" i="12"/>
  <c r="G78" i="12"/>
  <c r="E86" i="12"/>
  <c r="E84" i="12"/>
  <c r="E82" i="12"/>
  <c r="E78" i="12"/>
  <c r="E76" i="12"/>
  <c r="I78" i="12"/>
  <c r="KR68" i="12"/>
  <c r="JU68" i="12"/>
  <c r="IW68" i="12"/>
  <c r="HZ68" i="12"/>
  <c r="HD68" i="12"/>
  <c r="GH68" i="12"/>
  <c r="FK68" i="12"/>
  <c r="EO68" i="12"/>
  <c r="DR68" i="12"/>
  <c r="CW68" i="12"/>
  <c r="BZ68" i="12"/>
  <c r="BE68" i="12"/>
  <c r="AJ68" i="12"/>
  <c r="KP68" i="12"/>
  <c r="KP66" i="12"/>
  <c r="JS68" i="12"/>
  <c r="JS66" i="12"/>
  <c r="IU68" i="12"/>
  <c r="IU66" i="12"/>
  <c r="HX68" i="12"/>
  <c r="HX66" i="12"/>
  <c r="HB68" i="12"/>
  <c r="HB66" i="12"/>
  <c r="GF68" i="12"/>
  <c r="GF66" i="12"/>
  <c r="FI68" i="12"/>
  <c r="FI66" i="12"/>
  <c r="EM68" i="12"/>
  <c r="EM66" i="12"/>
  <c r="DP68" i="12"/>
  <c r="DP66" i="12"/>
  <c r="CU68" i="12"/>
  <c r="CU66" i="12"/>
  <c r="BX68" i="12"/>
  <c r="BX66" i="12"/>
  <c r="BC68" i="12"/>
  <c r="BC66" i="12"/>
  <c r="AH68" i="12"/>
  <c r="AH66" i="12"/>
  <c r="KN68" i="12"/>
  <c r="KN66" i="12"/>
  <c r="KN64" i="12"/>
  <c r="JQ68" i="12"/>
  <c r="JQ66" i="12"/>
  <c r="JQ64" i="12"/>
  <c r="IS68" i="12"/>
  <c r="IS66" i="12"/>
  <c r="IS64" i="12"/>
  <c r="HV68" i="12"/>
  <c r="HV66" i="12"/>
  <c r="HV64" i="12"/>
  <c r="GZ68" i="12"/>
  <c r="GZ66" i="12"/>
  <c r="GZ64" i="12"/>
  <c r="GD68" i="12"/>
  <c r="GD66" i="12"/>
  <c r="GD64" i="12"/>
  <c r="FG68" i="12"/>
  <c r="FG66" i="12"/>
  <c r="FG64" i="12"/>
  <c r="EK68" i="12"/>
  <c r="EK66" i="12"/>
  <c r="EK64" i="12"/>
  <c r="DN68" i="12"/>
  <c r="DN66" i="12"/>
  <c r="DN64" i="12"/>
  <c r="CS68" i="12"/>
  <c r="CS66" i="12"/>
  <c r="CS64" i="12"/>
  <c r="BV68" i="12"/>
  <c r="BV66" i="12"/>
  <c r="BV64" i="12"/>
  <c r="BA68" i="12"/>
  <c r="BA66" i="12"/>
  <c r="BA64" i="12"/>
  <c r="AF68" i="12"/>
  <c r="AF66" i="12"/>
  <c r="AF64" i="12"/>
  <c r="KL68" i="12"/>
  <c r="KL66" i="12"/>
  <c r="KL64" i="12"/>
  <c r="KL62" i="12"/>
  <c r="JO68" i="12"/>
  <c r="JO66" i="12"/>
  <c r="JO64" i="12"/>
  <c r="JO62" i="12"/>
  <c r="IQ68" i="12"/>
  <c r="IQ66" i="12"/>
  <c r="IQ64" i="12"/>
  <c r="IQ62" i="12"/>
  <c r="HT68" i="12"/>
  <c r="HT66" i="12"/>
  <c r="HT64" i="12"/>
  <c r="HT62" i="12"/>
  <c r="GX68" i="12"/>
  <c r="GX66" i="12"/>
  <c r="GX64" i="12"/>
  <c r="GX62" i="12"/>
  <c r="GB68" i="12"/>
  <c r="GB66" i="12"/>
  <c r="GB64" i="12"/>
  <c r="GB62" i="12"/>
  <c r="FE68" i="12"/>
  <c r="FE66" i="12"/>
  <c r="FE64" i="12"/>
  <c r="FE62" i="12"/>
  <c r="EI68" i="12"/>
  <c r="EI66" i="12"/>
  <c r="EI64" i="12"/>
  <c r="EI62" i="12"/>
  <c r="DL68" i="12"/>
  <c r="DL66" i="12"/>
  <c r="DL64" i="12"/>
  <c r="DL62" i="12"/>
  <c r="CQ68" i="12"/>
  <c r="CQ66" i="12"/>
  <c r="CQ64" i="12"/>
  <c r="CQ62" i="12"/>
  <c r="BT68" i="12"/>
  <c r="BT66" i="12"/>
  <c r="BT64" i="12"/>
  <c r="BT62" i="12"/>
  <c r="AY68" i="12"/>
  <c r="AY66" i="12"/>
  <c r="AY64" i="12"/>
  <c r="AY62" i="12"/>
  <c r="AD68" i="12"/>
  <c r="AD66" i="12"/>
  <c r="AD64" i="12"/>
  <c r="AD62" i="12"/>
  <c r="KJ68" i="12"/>
  <c r="KJ66" i="12"/>
  <c r="KJ64" i="12"/>
  <c r="KJ62" i="12"/>
  <c r="KJ60" i="12"/>
  <c r="JM68" i="12"/>
  <c r="JM66" i="12"/>
  <c r="JM64" i="12"/>
  <c r="JM62" i="12"/>
  <c r="JM60" i="12"/>
  <c r="IO68" i="12"/>
  <c r="IO66" i="12"/>
  <c r="IO64" i="12"/>
  <c r="IO62" i="12"/>
  <c r="IO60" i="12"/>
  <c r="HR68" i="12"/>
  <c r="HR66" i="12"/>
  <c r="HR64" i="12"/>
  <c r="HR62" i="12"/>
  <c r="HR60" i="12"/>
  <c r="GV68" i="12"/>
  <c r="GV66" i="12"/>
  <c r="GV64" i="12"/>
  <c r="GV62" i="12"/>
  <c r="GV60" i="12"/>
  <c r="FZ68" i="12"/>
  <c r="FZ66" i="12"/>
  <c r="FZ64" i="12"/>
  <c r="FZ62" i="12"/>
  <c r="FZ60" i="12"/>
  <c r="FC68" i="12"/>
  <c r="FC66" i="12"/>
  <c r="FC64" i="12"/>
  <c r="FC62" i="12"/>
  <c r="FC60" i="12"/>
  <c r="EG68" i="12"/>
  <c r="EG66" i="12"/>
  <c r="EG64" i="12"/>
  <c r="EG62" i="12"/>
  <c r="EG60" i="12"/>
  <c r="DJ68" i="12"/>
  <c r="DJ66" i="12"/>
  <c r="DJ64" i="12"/>
  <c r="DJ62" i="12"/>
  <c r="DJ60" i="12"/>
  <c r="CO68" i="12"/>
  <c r="CO66" i="12"/>
  <c r="CO64" i="12"/>
  <c r="CO62" i="12"/>
  <c r="CO60" i="12"/>
  <c r="BR68" i="12"/>
  <c r="BR66" i="12"/>
  <c r="BR64" i="12"/>
  <c r="BR62" i="12"/>
  <c r="BR60" i="12"/>
  <c r="AW68" i="12"/>
  <c r="AW66" i="12"/>
  <c r="AW64" i="12"/>
  <c r="AW62" i="12"/>
  <c r="AW60" i="12"/>
  <c r="AB68" i="12"/>
  <c r="AB66" i="12"/>
  <c r="AB64" i="12"/>
  <c r="AB62" i="12"/>
  <c r="AB60" i="12"/>
  <c r="KH68" i="12"/>
  <c r="KH66" i="12"/>
  <c r="KH64" i="12"/>
  <c r="KH62" i="12"/>
  <c r="KH60" i="12"/>
  <c r="KH58" i="12"/>
  <c r="JK68" i="12"/>
  <c r="JK66" i="12"/>
  <c r="JK64" i="12"/>
  <c r="JK62" i="12"/>
  <c r="JK60" i="12"/>
  <c r="JK58" i="12"/>
  <c r="IM68" i="12"/>
  <c r="IM66" i="12"/>
  <c r="IM64" i="12"/>
  <c r="IM62" i="12"/>
  <c r="IM60" i="12"/>
  <c r="IM58" i="12"/>
  <c r="HP68" i="12"/>
  <c r="HP66" i="12"/>
  <c r="HP64" i="12"/>
  <c r="HP62" i="12"/>
  <c r="HP60" i="12"/>
  <c r="HP58" i="12"/>
  <c r="GT68" i="12"/>
  <c r="GT66" i="12"/>
  <c r="GT64" i="12"/>
  <c r="GT62" i="12"/>
  <c r="GT60" i="12"/>
  <c r="GT58" i="12"/>
  <c r="FX68" i="12"/>
  <c r="FX66" i="12"/>
  <c r="FX64" i="12"/>
  <c r="FX62" i="12"/>
  <c r="FX60" i="12"/>
  <c r="FX58" i="12"/>
  <c r="FA68" i="12"/>
  <c r="FA66" i="12"/>
  <c r="FA64" i="12"/>
  <c r="FA62" i="12"/>
  <c r="FA60" i="12"/>
  <c r="FA58" i="12"/>
  <c r="EE68" i="12"/>
  <c r="EE66" i="12"/>
  <c r="EE64" i="12"/>
  <c r="EE62" i="12"/>
  <c r="EE60" i="12"/>
  <c r="EE58" i="12"/>
  <c r="DH68" i="12"/>
  <c r="DH66" i="12"/>
  <c r="DH64" i="12"/>
  <c r="DH62" i="12"/>
  <c r="DH60" i="12"/>
  <c r="DH58" i="12"/>
  <c r="CM68" i="12"/>
  <c r="CM66" i="12"/>
  <c r="CM64" i="12"/>
  <c r="CM62" i="12"/>
  <c r="CM60" i="12"/>
  <c r="CM58" i="12"/>
  <c r="BP68" i="12"/>
  <c r="BP66" i="12"/>
  <c r="BP64" i="12"/>
  <c r="BP62" i="12"/>
  <c r="BP60" i="12"/>
  <c r="BP58" i="12"/>
  <c r="AU68" i="12"/>
  <c r="AU66" i="12"/>
  <c r="AU64" i="12"/>
  <c r="AU62" i="12"/>
  <c r="AU60" i="12"/>
  <c r="AU58" i="12"/>
  <c r="Z68" i="12"/>
  <c r="Z66" i="12"/>
  <c r="Z64" i="12"/>
  <c r="Z62" i="12"/>
  <c r="Z60" i="12"/>
  <c r="Z58" i="12"/>
  <c r="M68" i="12"/>
  <c r="O68" i="12"/>
  <c r="M66" i="12"/>
  <c r="K68" i="12"/>
  <c r="K66" i="12"/>
  <c r="K64" i="12"/>
  <c r="I68" i="12"/>
  <c r="I66" i="12"/>
  <c r="I64" i="12"/>
  <c r="I62" i="12"/>
  <c r="G62" i="12"/>
  <c r="G68" i="12"/>
  <c r="G66" i="12"/>
  <c r="G64" i="12"/>
  <c r="G60" i="12"/>
  <c r="E58" i="12"/>
  <c r="E68" i="12"/>
  <c r="E66" i="12"/>
  <c r="E64" i="12"/>
  <c r="E62" i="12"/>
  <c r="E60" i="12"/>
  <c r="U44" i="12"/>
  <c r="U42" i="12"/>
  <c r="Q46" i="12" s="1"/>
  <c r="S42" i="12"/>
  <c r="U40" i="12"/>
  <c r="O46" i="12" s="1"/>
  <c r="S40" i="12"/>
  <c r="O44" i="12" s="1"/>
  <c r="Q40" i="12"/>
  <c r="U38" i="12"/>
  <c r="M46" i="12" s="1"/>
  <c r="S38" i="12"/>
  <c r="Q38" i="12"/>
  <c r="O38" i="12"/>
  <c r="M40" i="12" s="1"/>
  <c r="U36" i="12"/>
  <c r="K46" i="12" s="1"/>
  <c r="S36" i="12"/>
  <c r="K44" i="12" s="1"/>
  <c r="Q36" i="12"/>
  <c r="K42" i="12" s="1"/>
  <c r="O36" i="12"/>
  <c r="K40" i="12" s="1"/>
  <c r="M36" i="12"/>
  <c r="U34" i="12"/>
  <c r="S34" i="12"/>
  <c r="I44" i="12" s="1"/>
  <c r="Q34" i="12"/>
  <c r="O34" i="12"/>
  <c r="I40" i="12" s="1"/>
  <c r="M34" i="12"/>
  <c r="I38" i="12" s="1"/>
  <c r="K34" i="12"/>
  <c r="U32" i="12"/>
  <c r="G46" i="12" s="1"/>
  <c r="S32" i="12"/>
  <c r="G44" i="12" s="1"/>
  <c r="Q32" i="12"/>
  <c r="O32" i="12"/>
  <c r="M32" i="12"/>
  <c r="K32" i="12"/>
  <c r="G36" i="12" s="1"/>
  <c r="I32" i="12"/>
  <c r="G34" i="12" s="1"/>
  <c r="U30" i="12"/>
  <c r="E46" i="12" s="1"/>
  <c r="S30" i="12"/>
  <c r="E44" i="12" s="1"/>
  <c r="Q30" i="12"/>
  <c r="E42" i="12" s="1"/>
  <c r="O30" i="12"/>
  <c r="E40" i="12" s="1"/>
  <c r="G30" i="12"/>
  <c r="E32" i="12" s="1"/>
  <c r="M30" i="12"/>
  <c r="E38" i="12" s="1"/>
  <c r="K30" i="12"/>
  <c r="E36" i="12" s="1"/>
  <c r="I30" i="12"/>
  <c r="E34" i="12" s="1"/>
  <c r="S46" i="12"/>
  <c r="Q44" i="12"/>
  <c r="O42" i="12"/>
  <c r="M44" i="12"/>
  <c r="M42" i="12"/>
  <c r="K38" i="12"/>
  <c r="I46" i="12"/>
  <c r="I42" i="12"/>
  <c r="I36" i="12"/>
  <c r="G42" i="12"/>
  <c r="G40" i="12"/>
  <c r="G38" i="12"/>
  <c r="KV22" i="12"/>
  <c r="JY22" i="12"/>
  <c r="JA22" i="12"/>
  <c r="ID22" i="12"/>
  <c r="HH22" i="12"/>
  <c r="GL22" i="12"/>
  <c r="FO22" i="12"/>
  <c r="ES22" i="12"/>
  <c r="DV22" i="12"/>
  <c r="DA22" i="12"/>
  <c r="CD22" i="12"/>
  <c r="BI22" i="12"/>
  <c r="AN22" i="12"/>
  <c r="KT22" i="12"/>
  <c r="KT20" i="12"/>
  <c r="JW22" i="12"/>
  <c r="JW20" i="12"/>
  <c r="IY22" i="12"/>
  <c r="IY20" i="12"/>
  <c r="IB22" i="12"/>
  <c r="IB20" i="12"/>
  <c r="HF22" i="12"/>
  <c r="HF20" i="12"/>
  <c r="GJ22" i="12"/>
  <c r="GJ20" i="12"/>
  <c r="FM22" i="12"/>
  <c r="FM20" i="12"/>
  <c r="EQ22" i="12"/>
  <c r="EQ20" i="12"/>
  <c r="DT22" i="12"/>
  <c r="DT20" i="12"/>
  <c r="CY22" i="12"/>
  <c r="CY20" i="12"/>
  <c r="CB22" i="12"/>
  <c r="CB20" i="12"/>
  <c r="BG22" i="12"/>
  <c r="BG20" i="12"/>
  <c r="AL22" i="12"/>
  <c r="AL20" i="12"/>
  <c r="KR22" i="12"/>
  <c r="KR20" i="12"/>
  <c r="KR18" i="12"/>
  <c r="JU22" i="12"/>
  <c r="JU20" i="12"/>
  <c r="JU18" i="12"/>
  <c r="IW22" i="12"/>
  <c r="IW20" i="12"/>
  <c r="IW18" i="12"/>
  <c r="HZ22" i="12"/>
  <c r="HZ20" i="12"/>
  <c r="HZ18" i="12"/>
  <c r="HD22" i="12"/>
  <c r="HD20" i="12"/>
  <c r="HD18" i="12"/>
  <c r="GH22" i="12"/>
  <c r="GH20" i="12"/>
  <c r="GH18" i="12"/>
  <c r="FK22" i="12"/>
  <c r="FK20" i="12"/>
  <c r="FK18" i="12"/>
  <c r="EO22" i="12"/>
  <c r="EO20" i="12"/>
  <c r="EO18" i="12"/>
  <c r="DR22" i="12"/>
  <c r="DR20" i="12"/>
  <c r="DR18" i="12"/>
  <c r="CW22" i="12"/>
  <c r="CW20" i="12"/>
  <c r="CW18" i="12"/>
  <c r="BZ22" i="12"/>
  <c r="BZ20" i="12"/>
  <c r="BZ18" i="12"/>
  <c r="BE22" i="12"/>
  <c r="BE20" i="12"/>
  <c r="BE18" i="12"/>
  <c r="AJ22" i="12"/>
  <c r="AJ20" i="12"/>
  <c r="AJ18" i="12"/>
  <c r="KP22" i="12"/>
  <c r="KP20" i="12"/>
  <c r="KP18" i="12"/>
  <c r="KP16" i="12"/>
  <c r="JS22" i="12"/>
  <c r="JS20" i="12"/>
  <c r="JS18" i="12"/>
  <c r="JS16" i="12"/>
  <c r="IU22" i="12"/>
  <c r="IU20" i="12"/>
  <c r="IU18" i="12"/>
  <c r="IU16" i="12"/>
  <c r="HX22" i="12"/>
  <c r="HX20" i="12"/>
  <c r="HX18" i="12"/>
  <c r="HX16" i="12"/>
  <c r="HB22" i="12"/>
  <c r="HB20" i="12"/>
  <c r="HB18" i="12"/>
  <c r="HB16" i="12"/>
  <c r="GF22" i="12"/>
  <c r="GF20" i="12"/>
  <c r="GF18" i="12"/>
  <c r="GF16" i="12"/>
  <c r="FI22" i="12"/>
  <c r="FI20" i="12"/>
  <c r="FI18" i="12"/>
  <c r="FI16" i="12"/>
  <c r="EM22" i="12"/>
  <c r="EM20" i="12"/>
  <c r="EM18" i="12"/>
  <c r="EM16" i="12"/>
  <c r="DP22" i="12"/>
  <c r="DP20" i="12"/>
  <c r="DP18" i="12"/>
  <c r="DP16" i="12"/>
  <c r="CU22" i="12"/>
  <c r="CU20" i="12"/>
  <c r="CU18" i="12"/>
  <c r="CU16" i="12"/>
  <c r="BX22" i="12"/>
  <c r="BX20" i="12"/>
  <c r="BX18" i="12"/>
  <c r="BX16" i="12"/>
  <c r="BC22" i="12"/>
  <c r="BC20" i="12"/>
  <c r="BC18" i="12"/>
  <c r="BC16" i="12"/>
  <c r="AH22" i="12"/>
  <c r="AH20" i="12"/>
  <c r="AH18" i="12"/>
  <c r="AH16" i="12"/>
  <c r="KN22" i="12"/>
  <c r="KN20" i="12"/>
  <c r="KN18" i="12"/>
  <c r="KN16" i="12"/>
  <c r="KN14" i="12"/>
  <c r="JQ22" i="12"/>
  <c r="JQ20" i="12"/>
  <c r="JQ18" i="12"/>
  <c r="JQ16" i="12"/>
  <c r="JQ14" i="12"/>
  <c r="IS22" i="12"/>
  <c r="IS20" i="12"/>
  <c r="IS18" i="12"/>
  <c r="IS16" i="12"/>
  <c r="IS14" i="12"/>
  <c r="HV22" i="12"/>
  <c r="HV20" i="12"/>
  <c r="HV18" i="12"/>
  <c r="HV16" i="12"/>
  <c r="HV14" i="12"/>
  <c r="GZ22" i="12"/>
  <c r="GZ20" i="12"/>
  <c r="GZ18" i="12"/>
  <c r="GZ16" i="12"/>
  <c r="GZ14" i="12"/>
  <c r="GD22" i="12"/>
  <c r="GD20" i="12"/>
  <c r="GD18" i="12"/>
  <c r="GD16" i="12"/>
  <c r="GD14" i="12"/>
  <c r="FG22" i="12"/>
  <c r="FG20" i="12"/>
  <c r="FG18" i="12"/>
  <c r="FG16" i="12"/>
  <c r="FG14" i="12"/>
  <c r="EK22" i="12"/>
  <c r="EK20" i="12"/>
  <c r="EK18" i="12"/>
  <c r="EK16" i="12"/>
  <c r="EK14" i="12"/>
  <c r="DN22" i="12"/>
  <c r="DN20" i="12"/>
  <c r="DN18" i="12"/>
  <c r="DN16" i="12"/>
  <c r="DN14" i="12"/>
  <c r="CS22" i="12"/>
  <c r="CS20" i="12"/>
  <c r="CS18" i="12"/>
  <c r="CS16" i="12"/>
  <c r="CS14" i="12"/>
  <c r="BV22" i="12"/>
  <c r="BV20" i="12"/>
  <c r="BV18" i="12"/>
  <c r="BV16" i="12"/>
  <c r="BV14" i="12"/>
  <c r="BA22" i="12"/>
  <c r="BA20" i="12"/>
  <c r="BA18" i="12"/>
  <c r="BA16" i="12"/>
  <c r="BA14" i="12"/>
  <c r="AF22" i="12"/>
  <c r="AF20" i="12"/>
  <c r="AF18" i="12"/>
  <c r="AF16" i="12"/>
  <c r="AF14" i="12"/>
  <c r="KL22" i="12"/>
  <c r="KL20" i="12"/>
  <c r="KL18" i="12"/>
  <c r="KL16" i="12"/>
  <c r="KL14" i="12"/>
  <c r="KL12" i="12"/>
  <c r="JO22" i="12"/>
  <c r="JO20" i="12"/>
  <c r="JO18" i="12"/>
  <c r="JO16" i="12"/>
  <c r="JO14" i="12"/>
  <c r="JO12" i="12"/>
  <c r="IQ22" i="12"/>
  <c r="IQ20" i="12"/>
  <c r="IQ18" i="12"/>
  <c r="IQ16" i="12"/>
  <c r="IQ14" i="12"/>
  <c r="IQ12" i="12"/>
  <c r="HT22" i="12"/>
  <c r="HT20" i="12"/>
  <c r="HT18" i="12"/>
  <c r="HT16" i="12"/>
  <c r="HT14" i="12"/>
  <c r="HT12" i="12"/>
  <c r="GX22" i="12"/>
  <c r="GX20" i="12"/>
  <c r="GX18" i="12"/>
  <c r="GX16" i="12"/>
  <c r="GX14" i="12"/>
  <c r="GX12" i="12"/>
  <c r="GB22" i="12"/>
  <c r="GB20" i="12"/>
  <c r="GB18" i="12"/>
  <c r="GB16" i="12"/>
  <c r="GB14" i="12"/>
  <c r="GB12" i="12"/>
  <c r="FE22" i="12"/>
  <c r="FE20" i="12"/>
  <c r="FE18" i="12"/>
  <c r="FE16" i="12"/>
  <c r="FE14" i="12"/>
  <c r="FE12" i="12"/>
  <c r="EI22" i="12"/>
  <c r="EI20" i="12"/>
  <c r="EI18" i="12"/>
  <c r="EI16" i="12"/>
  <c r="EI14" i="12"/>
  <c r="EI12" i="12"/>
  <c r="DL22" i="12"/>
  <c r="DL20" i="12"/>
  <c r="DL18" i="12"/>
  <c r="DL16" i="12"/>
  <c r="DL14" i="12"/>
  <c r="DL12" i="12"/>
  <c r="CQ22" i="12"/>
  <c r="CQ20" i="12"/>
  <c r="CQ18" i="12"/>
  <c r="CQ16" i="12"/>
  <c r="CQ14" i="12"/>
  <c r="CQ12" i="12"/>
  <c r="BT22" i="12"/>
  <c r="BT20" i="12"/>
  <c r="BT18" i="12"/>
  <c r="BT16" i="12"/>
  <c r="BT14" i="12"/>
  <c r="BT12" i="12"/>
  <c r="AY22" i="12"/>
  <c r="AY20" i="12"/>
  <c r="AY18" i="12"/>
  <c r="AY16" i="12"/>
  <c r="AY14" i="12"/>
  <c r="AY12" i="12"/>
  <c r="AD22" i="12"/>
  <c r="AD20" i="12"/>
  <c r="AD18" i="12"/>
  <c r="AD16" i="12"/>
  <c r="AD14" i="12"/>
  <c r="AD12" i="12"/>
  <c r="KJ22" i="12"/>
  <c r="KJ20" i="12"/>
  <c r="KJ18" i="12"/>
  <c r="KJ16" i="12"/>
  <c r="KJ14" i="12"/>
  <c r="KJ12" i="12"/>
  <c r="KJ10" i="12"/>
  <c r="JM22" i="12"/>
  <c r="JM20" i="12"/>
  <c r="JM18" i="12"/>
  <c r="JM16" i="12"/>
  <c r="JM14" i="12"/>
  <c r="JM12" i="12"/>
  <c r="JM10" i="12"/>
  <c r="IO22" i="12"/>
  <c r="IO20" i="12"/>
  <c r="IO18" i="12"/>
  <c r="IO16" i="12"/>
  <c r="IO14" i="12"/>
  <c r="IO12" i="12"/>
  <c r="IO10" i="12"/>
  <c r="HR22" i="12"/>
  <c r="HR20" i="12"/>
  <c r="HR18" i="12"/>
  <c r="HR16" i="12"/>
  <c r="HR14" i="12"/>
  <c r="HR12" i="12"/>
  <c r="HR10" i="12"/>
  <c r="GV22" i="12"/>
  <c r="GV20" i="12"/>
  <c r="GV18" i="12"/>
  <c r="GV16" i="12"/>
  <c r="GV14" i="12"/>
  <c r="GV12" i="12"/>
  <c r="GV10" i="12"/>
  <c r="FZ22" i="12"/>
  <c r="FZ20" i="12"/>
  <c r="FZ18" i="12"/>
  <c r="FZ16" i="12"/>
  <c r="FZ14" i="12"/>
  <c r="FZ12" i="12"/>
  <c r="FZ10" i="12"/>
  <c r="FC22" i="12"/>
  <c r="FC20" i="12"/>
  <c r="FC18" i="12"/>
  <c r="FC16" i="12"/>
  <c r="FC14" i="12"/>
  <c r="FC12" i="12"/>
  <c r="FC10" i="12"/>
  <c r="EG22" i="12"/>
  <c r="EG20" i="12"/>
  <c r="EG18" i="12"/>
  <c r="EG16" i="12"/>
  <c r="EG14" i="12"/>
  <c r="EG12" i="12"/>
  <c r="EG10" i="12"/>
  <c r="DJ22" i="12"/>
  <c r="DJ20" i="12"/>
  <c r="DJ18" i="12"/>
  <c r="DJ16" i="12"/>
  <c r="DJ14" i="12"/>
  <c r="DJ12" i="12"/>
  <c r="DJ10" i="12"/>
  <c r="CO22" i="12"/>
  <c r="CO20" i="12"/>
  <c r="CO18" i="12"/>
  <c r="CO16" i="12"/>
  <c r="CO14" i="12"/>
  <c r="CO12" i="12"/>
  <c r="CO10" i="12"/>
  <c r="BR22" i="12"/>
  <c r="BR20" i="12"/>
  <c r="BR18" i="12"/>
  <c r="BR16" i="12"/>
  <c r="BR14" i="12"/>
  <c r="BR12" i="12"/>
  <c r="BR10" i="12"/>
  <c r="AW22" i="12"/>
  <c r="AW20" i="12"/>
  <c r="AW18" i="12"/>
  <c r="AW16" i="12"/>
  <c r="AW14" i="12"/>
  <c r="AW12" i="12"/>
  <c r="AW10" i="12"/>
  <c r="AB22" i="12"/>
  <c r="AB20" i="12"/>
  <c r="AB18" i="12"/>
  <c r="AB16" i="12"/>
  <c r="AB14" i="12"/>
  <c r="AB12" i="12"/>
  <c r="AB10" i="12"/>
  <c r="KH22" i="12"/>
  <c r="KH20" i="12"/>
  <c r="KH18" i="12"/>
  <c r="KH16" i="12"/>
  <c r="KH14" i="12"/>
  <c r="KH12" i="12"/>
  <c r="KH10" i="12"/>
  <c r="KH8" i="12"/>
  <c r="JK22" i="12"/>
  <c r="JK20" i="12"/>
  <c r="JK18" i="12"/>
  <c r="JK16" i="12"/>
  <c r="JK14" i="12"/>
  <c r="JK12" i="12"/>
  <c r="JK10" i="12"/>
  <c r="JK8" i="12"/>
  <c r="IM22" i="12"/>
  <c r="IM20" i="12"/>
  <c r="IM18" i="12"/>
  <c r="IM16" i="12"/>
  <c r="IM14" i="12"/>
  <c r="IM12" i="12"/>
  <c r="IM10" i="12"/>
  <c r="IM8" i="12"/>
  <c r="HP22" i="12"/>
  <c r="HP20" i="12"/>
  <c r="HP18" i="12"/>
  <c r="HP16" i="12"/>
  <c r="HP14" i="12"/>
  <c r="HP12" i="12"/>
  <c r="HP10" i="12"/>
  <c r="HP8" i="12"/>
  <c r="GT22" i="12"/>
  <c r="GT20" i="12"/>
  <c r="GT18" i="12"/>
  <c r="GT16" i="12"/>
  <c r="GT14" i="12"/>
  <c r="GT12" i="12"/>
  <c r="GT10" i="12"/>
  <c r="GT8" i="12"/>
  <c r="FX22" i="12"/>
  <c r="FX20" i="12"/>
  <c r="FX18" i="12"/>
  <c r="FX16" i="12"/>
  <c r="FX14" i="12"/>
  <c r="FX12" i="12"/>
  <c r="FX10" i="12"/>
  <c r="FX8" i="12"/>
  <c r="FA22" i="12"/>
  <c r="FA20" i="12"/>
  <c r="FA18" i="12"/>
  <c r="FA16" i="12"/>
  <c r="FA14" i="12"/>
  <c r="FA12" i="12"/>
  <c r="FA10" i="12"/>
  <c r="FA8" i="12"/>
  <c r="EE22" i="12"/>
  <c r="EE20" i="12"/>
  <c r="EE18" i="12"/>
  <c r="EE16" i="12"/>
  <c r="EE14" i="12"/>
  <c r="EE12" i="12"/>
  <c r="EE10" i="12"/>
  <c r="EE8" i="12"/>
  <c r="DH22" i="12"/>
  <c r="DH20" i="12"/>
  <c r="DH18" i="12"/>
  <c r="DH16" i="12"/>
  <c r="DH14" i="12"/>
  <c r="DH12" i="12"/>
  <c r="DH10" i="12"/>
  <c r="DH8" i="12"/>
  <c r="CM22" i="12"/>
  <c r="CM20" i="12"/>
  <c r="CM18" i="12"/>
  <c r="CM16" i="12"/>
  <c r="CM14" i="12"/>
  <c r="CM12" i="12"/>
  <c r="CM10" i="12"/>
  <c r="CM8" i="12"/>
  <c r="BP22" i="12"/>
  <c r="BP20" i="12"/>
  <c r="BP18" i="12"/>
  <c r="BP16" i="12"/>
  <c r="BP14" i="12"/>
  <c r="BP12" i="12"/>
  <c r="BP10" i="12"/>
  <c r="BP8" i="12"/>
  <c r="AU22" i="12"/>
  <c r="AU20" i="12"/>
  <c r="AU18" i="12"/>
  <c r="AU16" i="12"/>
  <c r="AU14" i="12"/>
  <c r="AU12" i="12"/>
  <c r="AU10" i="12"/>
  <c r="AU8" i="12"/>
  <c r="Z22" i="12"/>
  <c r="Z20" i="12"/>
  <c r="Z18" i="12"/>
  <c r="Z16" i="12"/>
  <c r="Z14" i="12"/>
  <c r="Z12" i="12"/>
  <c r="Z10" i="12"/>
  <c r="Z8" i="12"/>
  <c r="M16" i="12"/>
  <c r="O22" i="12"/>
  <c r="O20" i="12"/>
  <c r="O18" i="12"/>
  <c r="Q20" i="12"/>
  <c r="Q22" i="12"/>
  <c r="S22" i="12"/>
  <c r="M22" i="12"/>
  <c r="M20" i="12"/>
  <c r="M18" i="12"/>
  <c r="K22" i="12"/>
  <c r="K20" i="12"/>
  <c r="K18" i="12"/>
  <c r="K16" i="12"/>
  <c r="K14" i="12"/>
  <c r="I22" i="12"/>
  <c r="I20" i="12"/>
  <c r="I18" i="12"/>
  <c r="I16" i="12"/>
  <c r="I14" i="12"/>
  <c r="I12" i="12"/>
  <c r="G22" i="12"/>
  <c r="G20" i="12"/>
  <c r="G18" i="12"/>
  <c r="G16" i="12"/>
  <c r="G14" i="12"/>
  <c r="G12" i="12"/>
  <c r="G10" i="12"/>
  <c r="E22" i="12"/>
  <c r="E20" i="12"/>
  <c r="E18" i="12"/>
  <c r="E16" i="12"/>
  <c r="E14" i="12"/>
  <c r="E12" i="12"/>
  <c r="E10" i="12"/>
  <c r="E8" i="12"/>
  <c r="E30" i="12"/>
  <c r="AL62" i="12" l="1"/>
  <c r="AJ58" i="12"/>
  <c r="M58" i="12"/>
  <c r="BG58" i="12"/>
  <c r="BA60" i="12"/>
  <c r="AW56" i="12"/>
  <c r="BE64" i="12"/>
  <c r="BA56" i="12"/>
  <c r="AL64" i="12"/>
  <c r="AJ62" i="12"/>
  <c r="AD58" i="12"/>
  <c r="GL18" i="12"/>
  <c r="GD8" i="12"/>
  <c r="GF10" i="12"/>
  <c r="GF8" i="12"/>
  <c r="IW8" i="12"/>
  <c r="CD6" i="12"/>
  <c r="AP20" i="12"/>
  <c r="AP18" i="12"/>
  <c r="EQ8" i="12"/>
  <c r="K56" i="12"/>
  <c r="G32" i="12"/>
  <c r="I34" i="12"/>
  <c r="K36" i="12"/>
  <c r="M38" i="12"/>
  <c r="O40" i="12"/>
  <c r="Q42" i="12"/>
  <c r="S44" i="12"/>
  <c r="U46" i="12"/>
  <c r="EG6" i="12"/>
  <c r="CO6" i="12"/>
  <c r="BR6" i="12"/>
  <c r="AW6" i="12"/>
  <c r="BK8" i="12" l="1"/>
  <c r="BG14" i="12"/>
  <c r="AH10" i="12"/>
  <c r="U18" i="12"/>
  <c r="CY8" i="12"/>
  <c r="DC16" i="12"/>
  <c r="DC10" i="12"/>
  <c r="DA8" i="12"/>
  <c r="DC6" i="12"/>
  <c r="AN8" i="12"/>
  <c r="JW16" i="12"/>
  <c r="GN6" i="12"/>
  <c r="I98" i="12"/>
  <c r="FK12" i="12"/>
  <c r="FO6" i="12"/>
  <c r="AY8" i="12"/>
  <c r="BC10" i="12"/>
  <c r="JY12" i="12"/>
  <c r="JW10" i="12"/>
  <c r="JS10" i="12"/>
  <c r="KR14" i="12"/>
  <c r="JY6" i="12"/>
  <c r="KX10" i="12"/>
  <c r="KV8" i="12"/>
  <c r="KP8" i="12"/>
  <c r="CB10" i="12"/>
  <c r="S14" i="12"/>
  <c r="I8" i="12"/>
  <c r="JW14" i="12"/>
  <c r="FE8" i="12"/>
  <c r="DJ6" i="12"/>
  <c r="DP12" i="12"/>
  <c r="IY10" i="12"/>
  <c r="IS6" i="12"/>
  <c r="CW14" i="12"/>
  <c r="IU12" i="12"/>
  <c r="JC10" i="12"/>
  <c r="IF10" i="12"/>
  <c r="IB16" i="12"/>
  <c r="HX12" i="12"/>
  <c r="HX10" i="12"/>
  <c r="HX8" i="12"/>
  <c r="HX6" i="12"/>
  <c r="HJ14" i="12"/>
  <c r="GN10" i="12"/>
  <c r="EM6" i="12"/>
  <c r="BK10" i="12"/>
  <c r="BI10" i="12"/>
  <c r="KV12" i="12"/>
  <c r="CU8" i="12"/>
  <c r="DX10" i="12"/>
  <c r="CD12" i="12"/>
  <c r="BX12" i="12"/>
  <c r="DV10" i="12"/>
  <c r="DV8" i="12"/>
  <c r="DV12" i="12"/>
  <c r="DX20" i="12"/>
  <c r="CB14" i="12"/>
  <c r="KP10" i="12"/>
  <c r="KN10" i="12"/>
  <c r="M10" i="12"/>
  <c r="O12" i="12"/>
  <c r="O14" i="12"/>
  <c r="BI14" i="12"/>
  <c r="DC20" i="12"/>
  <c r="DA16" i="12"/>
  <c r="DA12" i="12"/>
  <c r="DA10" i="12"/>
  <c r="CS10" i="12"/>
  <c r="CD14" i="12"/>
  <c r="BZ8" i="12"/>
  <c r="CD8" i="12"/>
  <c r="BT6" i="12"/>
  <c r="BG12" i="12"/>
  <c r="AY6" i="12"/>
  <c r="AJ12" i="12"/>
  <c r="KA12" i="12"/>
  <c r="KA6" i="12"/>
  <c r="KX6" i="12"/>
  <c r="KX14" i="12"/>
  <c r="KT16" i="12"/>
  <c r="JW6" i="12"/>
  <c r="KA18" i="12"/>
  <c r="KA20" i="12"/>
  <c r="JW8" i="12"/>
  <c r="JO6" i="12"/>
  <c r="JO8" i="12"/>
  <c r="IU6" i="12"/>
  <c r="BE14" i="12"/>
  <c r="JU12" i="12"/>
  <c r="S16" i="12"/>
  <c r="CF12" i="12"/>
  <c r="KT12" i="12"/>
  <c r="KX20" i="12"/>
  <c r="KP6" i="12"/>
  <c r="IY16" i="12"/>
  <c r="JC20" i="12"/>
  <c r="HV6" i="12"/>
  <c r="HV8" i="12"/>
  <c r="HB8" i="12"/>
  <c r="HD8" i="12"/>
  <c r="HJ18" i="12"/>
  <c r="HJ20" i="12"/>
  <c r="HJ8" i="12"/>
  <c r="GN12" i="12"/>
  <c r="GN14" i="12"/>
  <c r="GF12" i="12"/>
  <c r="GH14" i="12"/>
  <c r="GD10" i="12"/>
  <c r="GB8" i="12"/>
  <c r="FG6" i="12"/>
  <c r="BX10" i="12"/>
  <c r="AF6" i="12"/>
  <c r="AD6" i="12"/>
  <c r="CD18" i="12"/>
  <c r="CF18" i="12"/>
  <c r="CD16" i="12"/>
  <c r="BI18" i="12"/>
  <c r="FI10" i="12"/>
  <c r="FI8" i="12"/>
  <c r="FQ18" i="12"/>
  <c r="FQ10" i="12"/>
  <c r="FQ20" i="12"/>
  <c r="FM14" i="12"/>
  <c r="EK6" i="12"/>
  <c r="EM10" i="12"/>
  <c r="EM12" i="12"/>
  <c r="EQ16" i="12"/>
  <c r="EU20" i="12"/>
  <c r="EU10" i="12"/>
  <c r="DP10" i="12"/>
  <c r="DT16" i="12"/>
  <c r="CY6" i="12"/>
  <c r="S48" i="12" l="1"/>
  <c r="AN34" i="12" s="1"/>
  <c r="E140" i="12"/>
  <c r="BA122" i="12"/>
  <c r="HB10" i="12"/>
  <c r="FM16" i="12"/>
  <c r="FI6" i="12"/>
  <c r="DT14" i="12"/>
  <c r="DX14" i="12"/>
  <c r="DP8" i="12"/>
  <c r="CY12" i="12"/>
  <c r="DC14" i="12"/>
  <c r="CS6" i="12"/>
  <c r="CF20" i="12"/>
  <c r="CB6" i="12"/>
  <c r="BC6" i="12"/>
  <c r="BG16" i="12"/>
  <c r="U20" i="12"/>
  <c r="G156" i="12" l="1"/>
  <c r="AB144" i="12" s="1"/>
  <c r="I156" i="12"/>
  <c r="AD146" i="12" s="1"/>
  <c r="K156" i="12"/>
  <c r="O156" i="12"/>
  <c r="S156" i="12"/>
  <c r="G142" i="12"/>
  <c r="I144" i="12"/>
  <c r="K146" i="12"/>
  <c r="M148" i="12"/>
  <c r="O150" i="12"/>
  <c r="Q152" i="12"/>
  <c r="S154" i="12"/>
  <c r="G76" i="12"/>
  <c r="K80" i="12"/>
  <c r="M82" i="12"/>
  <c r="O84" i="12"/>
  <c r="Q86" i="12"/>
  <c r="E74" i="12"/>
  <c r="H66" i="13"/>
  <c r="H64" i="13"/>
  <c r="H62" i="13"/>
  <c r="H42" i="13"/>
  <c r="H40" i="13"/>
  <c r="H38" i="13"/>
  <c r="HT169" i="12"/>
  <c r="HT167" i="12"/>
  <c r="HP169" i="12"/>
  <c r="GX167" i="12"/>
  <c r="FZ171" i="12"/>
  <c r="FX171" i="12"/>
  <c r="FX169" i="12"/>
  <c r="FC167" i="12"/>
  <c r="FC171" i="12"/>
  <c r="FE167" i="12"/>
  <c r="EE171" i="12"/>
  <c r="EG167" i="12"/>
  <c r="DJ171" i="12"/>
  <c r="DL167" i="12"/>
  <c r="DH169" i="12"/>
  <c r="CO171" i="12"/>
  <c r="AB171" i="12"/>
  <c r="BR167" i="12"/>
  <c r="BR171" i="12"/>
  <c r="AW171" i="12"/>
  <c r="AW167" i="12"/>
  <c r="AD167" i="12"/>
  <c r="I167" i="12"/>
  <c r="G167" i="12"/>
  <c r="G180" i="12"/>
  <c r="I182" i="12"/>
  <c r="E178" i="12"/>
  <c r="AJ146" i="12" l="1"/>
  <c r="AJ154" i="12"/>
  <c r="AD154" i="12"/>
  <c r="AN144" i="12"/>
  <c r="AN152" i="12"/>
  <c r="AN148" i="12"/>
  <c r="AN140" i="12"/>
  <c r="AF144" i="12"/>
  <c r="AF152" i="12"/>
  <c r="AF148" i="12"/>
  <c r="AF140" i="12"/>
  <c r="AN150" i="12"/>
  <c r="AF150" i="12"/>
  <c r="AN142" i="12"/>
  <c r="AF142" i="12"/>
  <c r="AD148" i="12"/>
  <c r="AD140" i="12"/>
  <c r="AD150" i="12"/>
  <c r="AD142" i="12"/>
  <c r="AJ148" i="12"/>
  <c r="AJ140" i="12"/>
  <c r="AJ144" i="12"/>
  <c r="AJ152" i="12"/>
  <c r="AN154" i="12"/>
  <c r="AF154" i="12"/>
  <c r="AD152" i="12"/>
  <c r="AJ150" i="12"/>
  <c r="AN146" i="12"/>
  <c r="AF146" i="12"/>
  <c r="AD144" i="12"/>
  <c r="AJ142" i="12"/>
  <c r="E156" i="12"/>
  <c r="Z154" i="12" s="1"/>
  <c r="M156" i="12"/>
  <c r="AB152" i="12"/>
  <c r="Q156" i="12"/>
  <c r="AL154" i="12" s="1"/>
  <c r="AB150" i="12"/>
  <c r="AB142" i="12"/>
  <c r="AB140" i="12"/>
  <c r="AB148" i="12"/>
  <c r="AB154" i="12"/>
  <c r="AB146" i="12"/>
  <c r="IQ96" i="12"/>
  <c r="HT98" i="12"/>
  <c r="HR96" i="12"/>
  <c r="GV96" i="12"/>
  <c r="GB98" i="12"/>
  <c r="FE98" i="12"/>
  <c r="EI96" i="12"/>
  <c r="DL98" i="12"/>
  <c r="BT98" i="12"/>
  <c r="AY98" i="12"/>
  <c r="AW96" i="12"/>
  <c r="AD96" i="12"/>
  <c r="FC96" i="12"/>
  <c r="DL96" i="12"/>
  <c r="DJ96" i="12"/>
  <c r="CQ96" i="12"/>
  <c r="CQ98" i="12"/>
  <c r="BR96" i="12"/>
  <c r="G109" i="12"/>
  <c r="I111" i="12"/>
  <c r="E107" i="12"/>
  <c r="BG8" i="12"/>
  <c r="BC8" i="12"/>
  <c r="BE10" i="12"/>
  <c r="AL14" i="12"/>
  <c r="AJ10" i="12"/>
  <c r="BX8" i="12"/>
  <c r="BT8" i="12"/>
  <c r="CB8" i="12"/>
  <c r="AN16" i="12"/>
  <c r="Q12" i="12"/>
  <c r="U10" i="12"/>
  <c r="M12" i="12"/>
  <c r="BK6" i="12"/>
  <c r="AP6" i="12"/>
  <c r="AN12" i="12"/>
  <c r="M8" i="12"/>
  <c r="Q6" i="12"/>
  <c r="Q16" i="12"/>
  <c r="U6" i="12"/>
  <c r="AL144" i="12" l="1"/>
  <c r="Z144" i="12"/>
  <c r="Z150" i="12"/>
  <c r="AH144" i="12"/>
  <c r="AH152" i="12"/>
  <c r="AH146" i="12"/>
  <c r="AH154" i="12"/>
  <c r="AP154" i="12" s="1"/>
  <c r="AH148" i="12"/>
  <c r="AH150" i="12"/>
  <c r="AD156" i="12"/>
  <c r="Z152" i="12"/>
  <c r="AL148" i="12"/>
  <c r="AL142" i="12"/>
  <c r="AL150" i="12"/>
  <c r="AH140" i="12"/>
  <c r="Z148" i="12"/>
  <c r="AP148" i="12" s="1"/>
  <c r="AF156" i="12"/>
  <c r="AN156" i="12"/>
  <c r="AH142" i="12"/>
  <c r="Z146" i="12"/>
  <c r="AL152" i="12"/>
  <c r="Z140" i="12"/>
  <c r="AJ156" i="12"/>
  <c r="Z142" i="12"/>
  <c r="AL140" i="12"/>
  <c r="AL146" i="12"/>
  <c r="AB156" i="12"/>
  <c r="DP6" i="12"/>
  <c r="BG6" i="12"/>
  <c r="AP142" i="12" l="1"/>
  <c r="AP140" i="12"/>
  <c r="AP146" i="12"/>
  <c r="AP152" i="12"/>
  <c r="AP150" i="12"/>
  <c r="AP144" i="12"/>
  <c r="Z156" i="12"/>
  <c r="AH156" i="12"/>
  <c r="AL156" i="12"/>
  <c r="KJ171" i="12"/>
  <c r="KH171" i="12"/>
  <c r="KH169" i="12"/>
  <c r="KT134" i="12"/>
  <c r="KL134" i="12"/>
  <c r="KH134" i="12"/>
  <c r="KR132" i="12"/>
  <c r="KP132" i="12"/>
  <c r="KN132" i="12"/>
  <c r="KL132" i="12"/>
  <c r="KJ132" i="12"/>
  <c r="KH132" i="12"/>
  <c r="KV130" i="12"/>
  <c r="KP130" i="12"/>
  <c r="KN130" i="12"/>
  <c r="KJ130" i="12"/>
  <c r="KV128" i="12"/>
  <c r="KV126" i="12"/>
  <c r="KP126" i="12"/>
  <c r="KH126" i="12"/>
  <c r="KR124" i="12"/>
  <c r="KP124" i="12"/>
  <c r="KN124" i="12"/>
  <c r="KH124" i="12"/>
  <c r="KV122" i="12"/>
  <c r="KP122" i="12"/>
  <c r="KN122" i="12"/>
  <c r="KL122" i="12"/>
  <c r="KH122" i="12"/>
  <c r="KR120" i="12"/>
  <c r="KP120" i="12"/>
  <c r="KL98" i="12"/>
  <c r="KL96" i="12"/>
  <c r="KJ96" i="12"/>
  <c r="KR64" i="12"/>
  <c r="KR62" i="12"/>
  <c r="KT60" i="12"/>
  <c r="KN60" i="12"/>
  <c r="KT58" i="12"/>
  <c r="KN58" i="12"/>
  <c r="KL58" i="12"/>
  <c r="KT56" i="12"/>
  <c r="KN56" i="12"/>
  <c r="KX18" i="12"/>
  <c r="KX16" i="12"/>
  <c r="KR12" i="12"/>
  <c r="KP12" i="12"/>
  <c r="KN8" i="12"/>
  <c r="KL8" i="12"/>
  <c r="KR6" i="12"/>
  <c r="AE157" i="8"/>
  <c r="AC157" i="8"/>
  <c r="AC155" i="8"/>
  <c r="AO123" i="8"/>
  <c r="AG123" i="8"/>
  <c r="AC123" i="8"/>
  <c r="AM121" i="8"/>
  <c r="AK121" i="8"/>
  <c r="AI121" i="8"/>
  <c r="AG121" i="8"/>
  <c r="AE121" i="8"/>
  <c r="AC121" i="8"/>
  <c r="AQ119" i="8"/>
  <c r="AK119" i="8"/>
  <c r="AI119" i="8"/>
  <c r="AE119" i="8"/>
  <c r="AQ117" i="8"/>
  <c r="AQ115" i="8"/>
  <c r="AK115" i="8"/>
  <c r="AC115" i="8"/>
  <c r="AM113" i="8"/>
  <c r="AK113" i="8"/>
  <c r="AI113" i="8"/>
  <c r="AC113" i="8"/>
  <c r="AQ111" i="8"/>
  <c r="AK111" i="8"/>
  <c r="AI111" i="8"/>
  <c r="AG111" i="8"/>
  <c r="AC111" i="8"/>
  <c r="AM109" i="8"/>
  <c r="AK109" i="8"/>
  <c r="AG101" i="8"/>
  <c r="AG99" i="8"/>
  <c r="AE99" i="8"/>
  <c r="AM75" i="8"/>
  <c r="AK75" i="8"/>
  <c r="AI75" i="8"/>
  <c r="AG73" i="8"/>
  <c r="AE73" i="8"/>
  <c r="AC73" i="8"/>
  <c r="AM71" i="8"/>
  <c r="AI71" i="8"/>
  <c r="AG71" i="8"/>
  <c r="AE71" i="8"/>
  <c r="AC71" i="8"/>
  <c r="AM69" i="8"/>
  <c r="AO67" i="8"/>
  <c r="AI67" i="8"/>
  <c r="AC67" i="8"/>
  <c r="AO65" i="8"/>
  <c r="AI65" i="8"/>
  <c r="AG65" i="8"/>
  <c r="AC65" i="8"/>
  <c r="AO63" i="8"/>
  <c r="AI63" i="8"/>
  <c r="AI24" i="8"/>
  <c r="AE24" i="8"/>
  <c r="AS22" i="8"/>
  <c r="AO22" i="8"/>
  <c r="AM22" i="8"/>
  <c r="AK22" i="8"/>
  <c r="AI22" i="8"/>
  <c r="AG22" i="8"/>
  <c r="AC22" i="8"/>
  <c r="AS20" i="8"/>
  <c r="AK20" i="8"/>
  <c r="AG20" i="8"/>
  <c r="AE20" i="8"/>
  <c r="AC20" i="8"/>
  <c r="AS18" i="8"/>
  <c r="AO18" i="8"/>
  <c r="AG18" i="8"/>
  <c r="AE18" i="8"/>
  <c r="AS16" i="8"/>
  <c r="AM16" i="8"/>
  <c r="AO14" i="8"/>
  <c r="AM14" i="8"/>
  <c r="AK14" i="8"/>
  <c r="AC14" i="8"/>
  <c r="AS12" i="8"/>
  <c r="AK12" i="8"/>
  <c r="AI12" i="8"/>
  <c r="AC12" i="8"/>
  <c r="AQ10" i="8"/>
  <c r="AK10" i="8"/>
  <c r="AI10" i="8"/>
  <c r="AG10" i="8"/>
  <c r="AC10" i="8"/>
  <c r="AS8" i="8"/>
  <c r="AM8" i="8"/>
  <c r="AK8" i="8"/>
  <c r="JM171" i="12"/>
  <c r="JK171" i="12"/>
  <c r="JK169" i="12"/>
  <c r="JW134" i="12"/>
  <c r="JU134" i="12"/>
  <c r="JO132" i="12"/>
  <c r="JM132" i="12"/>
  <c r="JK132" i="12"/>
  <c r="JW130" i="12"/>
  <c r="JS130" i="12"/>
  <c r="JQ130" i="12"/>
  <c r="JM130" i="12"/>
  <c r="JY128" i="12"/>
  <c r="JW128" i="12"/>
  <c r="JY126" i="12"/>
  <c r="JW126" i="12"/>
  <c r="JS126" i="12"/>
  <c r="JM126" i="12"/>
  <c r="JK126" i="12"/>
  <c r="JY124" i="12"/>
  <c r="JU124" i="12"/>
  <c r="JS124" i="12"/>
  <c r="JQ124" i="12"/>
  <c r="JK124" i="12"/>
  <c r="JY122" i="12"/>
  <c r="JS122" i="12"/>
  <c r="JO122" i="12"/>
  <c r="JY120" i="12"/>
  <c r="JU120" i="12"/>
  <c r="JS120" i="12"/>
  <c r="JM120" i="12"/>
  <c r="JO98" i="12"/>
  <c r="JM96" i="12"/>
  <c r="JU64" i="12"/>
  <c r="JW62" i="12"/>
  <c r="JU62" i="12"/>
  <c r="JW60" i="12"/>
  <c r="JQ60" i="12"/>
  <c r="JW58" i="12"/>
  <c r="JQ58" i="12"/>
  <c r="JQ56" i="12"/>
  <c r="JS12" i="12"/>
  <c r="AO123" i="7"/>
  <c r="AM123" i="7"/>
  <c r="AO119" i="7"/>
  <c r="AQ117" i="7"/>
  <c r="AO117" i="7"/>
  <c r="AK119" i="7"/>
  <c r="AI119" i="7"/>
  <c r="AQ115" i="7"/>
  <c r="AO115" i="7"/>
  <c r="AK115" i="7"/>
  <c r="AG121" i="7"/>
  <c r="AQ113" i="7"/>
  <c r="AM113" i="7"/>
  <c r="AK113" i="7"/>
  <c r="AI113" i="7"/>
  <c r="AE121" i="7"/>
  <c r="AE119" i="7"/>
  <c r="AE115" i="7"/>
  <c r="AQ111" i="7"/>
  <c r="AK111" i="7"/>
  <c r="AG111" i="7"/>
  <c r="AC121" i="7"/>
  <c r="AC115" i="7"/>
  <c r="AC113" i="7"/>
  <c r="AQ109" i="7"/>
  <c r="AM109" i="7"/>
  <c r="AK109" i="7"/>
  <c r="AE109" i="7"/>
  <c r="AC75" i="7"/>
  <c r="AC73" i="7"/>
  <c r="IM171" i="12"/>
  <c r="IQ169" i="12"/>
  <c r="IO167" i="12"/>
  <c r="IW134" i="12"/>
  <c r="IQ134" i="12"/>
  <c r="IM134" i="12"/>
  <c r="JA132" i="12"/>
  <c r="IW132" i="12"/>
  <c r="IU132" i="12"/>
  <c r="IS132" i="12"/>
  <c r="IQ132" i="12"/>
  <c r="IO132" i="12"/>
  <c r="IM132" i="12"/>
  <c r="IU130" i="12"/>
  <c r="IS130" i="12"/>
  <c r="IO130" i="12"/>
  <c r="JA128" i="12"/>
  <c r="JA126" i="12"/>
  <c r="IU126" i="12"/>
  <c r="IM126" i="12"/>
  <c r="IW124" i="12"/>
  <c r="IU124" i="12"/>
  <c r="IS124" i="12"/>
  <c r="IM124" i="12"/>
  <c r="JA122" i="12"/>
  <c r="IU122" i="12"/>
  <c r="IS122" i="12"/>
  <c r="IQ122" i="12"/>
  <c r="IM122" i="12"/>
  <c r="IW120" i="12"/>
  <c r="IU120" i="12"/>
  <c r="IY66" i="12"/>
  <c r="IW64" i="12"/>
  <c r="IW62" i="12"/>
  <c r="IW60" i="12"/>
  <c r="IS60" i="12"/>
  <c r="IY58" i="12"/>
  <c r="IW58" i="12"/>
  <c r="IS58" i="12"/>
  <c r="IY56" i="12"/>
  <c r="IW56" i="12"/>
  <c r="IS56" i="12"/>
  <c r="JC18" i="12"/>
  <c r="JC12" i="12"/>
  <c r="JA10" i="12"/>
  <c r="IU10" i="12"/>
  <c r="IU8" i="12"/>
  <c r="IS8" i="12"/>
  <c r="IQ8" i="12"/>
  <c r="JC6" i="12"/>
  <c r="JA6" i="12"/>
  <c r="IO6" i="12"/>
  <c r="HX134" i="12"/>
  <c r="HT134" i="12"/>
  <c r="HP134" i="12"/>
  <c r="HZ132" i="12"/>
  <c r="HX132" i="12"/>
  <c r="HV132" i="12"/>
  <c r="HT132" i="12"/>
  <c r="HR132" i="12"/>
  <c r="HP132" i="12"/>
  <c r="ID130" i="12"/>
  <c r="HX130" i="12"/>
  <c r="HV130" i="12"/>
  <c r="HR130" i="12"/>
  <c r="ID126" i="12"/>
  <c r="HX126" i="12"/>
  <c r="HT126" i="12"/>
  <c r="HP126" i="12"/>
  <c r="HZ124" i="12"/>
  <c r="HX124" i="12"/>
  <c r="HP124" i="12"/>
  <c r="ID122" i="12"/>
  <c r="HX122" i="12"/>
  <c r="HV122" i="12"/>
  <c r="HT122" i="12"/>
  <c r="HP122" i="12"/>
  <c r="HZ120" i="12"/>
  <c r="HX120" i="12"/>
  <c r="HZ64" i="12"/>
  <c r="HZ62" i="12"/>
  <c r="IB60" i="12"/>
  <c r="HV60" i="12"/>
  <c r="IB58" i="12"/>
  <c r="HV58" i="12"/>
  <c r="HT58" i="12"/>
  <c r="IB56" i="12"/>
  <c r="HV56" i="12"/>
  <c r="IF20" i="12"/>
  <c r="IF18" i="12"/>
  <c r="ID10" i="12"/>
  <c r="HT8" i="12"/>
  <c r="IF6" i="12"/>
  <c r="HR6" i="12"/>
  <c r="GV171" i="12"/>
  <c r="GT169" i="12"/>
  <c r="HF134" i="12"/>
  <c r="GX134" i="12"/>
  <c r="GT134" i="12"/>
  <c r="HB132" i="12"/>
  <c r="GX132" i="12"/>
  <c r="GV132" i="12"/>
  <c r="GT132" i="12"/>
  <c r="HH130" i="12"/>
  <c r="HF130" i="12"/>
  <c r="HB130" i="12"/>
  <c r="GZ130" i="12"/>
  <c r="HH128" i="12"/>
  <c r="HH126" i="12"/>
  <c r="HF126" i="12"/>
  <c r="HB126" i="12"/>
  <c r="GX126" i="12"/>
  <c r="GV126" i="12"/>
  <c r="GT126" i="12"/>
  <c r="HD124" i="12"/>
  <c r="HB124" i="12"/>
  <c r="GV124" i="12"/>
  <c r="GT124" i="12"/>
  <c r="HH122" i="12"/>
  <c r="HD122" i="12"/>
  <c r="HB122" i="12"/>
  <c r="GT122" i="12"/>
  <c r="HD120" i="12"/>
  <c r="HB120" i="12"/>
  <c r="GX98" i="12"/>
  <c r="HF64" i="12"/>
  <c r="HD64" i="12"/>
  <c r="HF62" i="12"/>
  <c r="HD62" i="12"/>
  <c r="HD60" i="12"/>
  <c r="GZ60" i="12"/>
  <c r="HF58" i="12"/>
  <c r="HD58" i="12"/>
  <c r="GZ58" i="12"/>
  <c r="HF56" i="12"/>
  <c r="GZ56" i="12"/>
  <c r="GX56" i="12"/>
  <c r="HF16" i="12"/>
  <c r="HF14" i="12"/>
  <c r="HB12" i="12"/>
  <c r="HF6" i="12"/>
  <c r="HB6" i="12"/>
  <c r="GX6" i="12"/>
  <c r="GV6" i="12"/>
  <c r="GF134" i="12"/>
  <c r="GD134" i="12"/>
  <c r="GB134" i="12"/>
  <c r="FX134" i="12"/>
  <c r="GL132" i="12"/>
  <c r="GH132" i="12"/>
  <c r="GF132" i="12"/>
  <c r="GD132" i="12"/>
  <c r="GB132" i="12"/>
  <c r="FZ132" i="12"/>
  <c r="FX132" i="12"/>
  <c r="GL130" i="12"/>
  <c r="GF130" i="12"/>
  <c r="GD130" i="12"/>
  <c r="FZ130" i="12"/>
  <c r="GF126" i="12"/>
  <c r="FZ126" i="12"/>
  <c r="FX126" i="12"/>
  <c r="GH124" i="12"/>
  <c r="GF124" i="12"/>
  <c r="GD124" i="12"/>
  <c r="FX124" i="12"/>
  <c r="GL122" i="12"/>
  <c r="GF122" i="12"/>
  <c r="GB122" i="12"/>
  <c r="FX122" i="12"/>
  <c r="GH120" i="12"/>
  <c r="GF120" i="12"/>
  <c r="GJ64" i="12"/>
  <c r="GH64" i="12"/>
  <c r="GH62" i="12"/>
  <c r="GJ60" i="12"/>
  <c r="GH60" i="12"/>
  <c r="GD60" i="12"/>
  <c r="GD58" i="12"/>
  <c r="GB58" i="12"/>
  <c r="GJ56" i="12"/>
  <c r="GH56" i="12"/>
  <c r="GN18" i="12"/>
  <c r="GJ16" i="12"/>
  <c r="GL10" i="12"/>
  <c r="GH6" i="12"/>
  <c r="GF6" i="12"/>
  <c r="FM134" i="12"/>
  <c r="FK134" i="12"/>
  <c r="FI134" i="12"/>
  <c r="FE134" i="12"/>
  <c r="FA134" i="12"/>
  <c r="FG132" i="12"/>
  <c r="FA132" i="12"/>
  <c r="FM130" i="12"/>
  <c r="FI130" i="12"/>
  <c r="FE130" i="12"/>
  <c r="FC130" i="12"/>
  <c r="FA130" i="12"/>
  <c r="FM128" i="12"/>
  <c r="FO126" i="12"/>
  <c r="FK126" i="12"/>
  <c r="FI126" i="12"/>
  <c r="FC126" i="12"/>
  <c r="FA126" i="12"/>
  <c r="FM124" i="12"/>
  <c r="FI124" i="12"/>
  <c r="FG124" i="12"/>
  <c r="FC124" i="12"/>
  <c r="FO122" i="12"/>
  <c r="FM122" i="12"/>
  <c r="FI122" i="12"/>
  <c r="FI120" i="12"/>
  <c r="FE120" i="12"/>
  <c r="FC120" i="12"/>
  <c r="FK64" i="12"/>
  <c r="FK62" i="12"/>
  <c r="FM60" i="12"/>
  <c r="FG60" i="12"/>
  <c r="FM58" i="12"/>
  <c r="FG58" i="12"/>
  <c r="FE58" i="12"/>
  <c r="FG56" i="12"/>
  <c r="FE56" i="12"/>
  <c r="FC56" i="12"/>
  <c r="FM8" i="12"/>
  <c r="FC6" i="12"/>
  <c r="EI169" i="12"/>
  <c r="EO134" i="12"/>
  <c r="EI134" i="12"/>
  <c r="EE134" i="12"/>
  <c r="ES132" i="12"/>
  <c r="EO132" i="12"/>
  <c r="EM132" i="12"/>
  <c r="EK132" i="12"/>
  <c r="EI132" i="12"/>
  <c r="EG132" i="12"/>
  <c r="EE132" i="12"/>
  <c r="EM130" i="12"/>
  <c r="EK130" i="12"/>
  <c r="EG130" i="12"/>
  <c r="ES128" i="12"/>
  <c r="ES126" i="12"/>
  <c r="EM126" i="12"/>
  <c r="EE126" i="12"/>
  <c r="EO124" i="12"/>
  <c r="EM124" i="12"/>
  <c r="EK124" i="12"/>
  <c r="EE124" i="12"/>
  <c r="ES122" i="12"/>
  <c r="EM122" i="12"/>
  <c r="EK122" i="12"/>
  <c r="EI122" i="12"/>
  <c r="EE122" i="12"/>
  <c r="EO120" i="12"/>
  <c r="EM120" i="12"/>
  <c r="EQ66" i="12"/>
  <c r="EO64" i="12"/>
  <c r="EO62" i="12"/>
  <c r="EO60" i="12"/>
  <c r="EK60" i="12"/>
  <c r="EQ58" i="12"/>
  <c r="EO58" i="12"/>
  <c r="EK58" i="12"/>
  <c r="EQ56" i="12"/>
  <c r="EO56" i="12"/>
  <c r="EK56" i="12"/>
  <c r="EU18" i="12"/>
  <c r="EU12" i="12"/>
  <c r="ES10" i="12"/>
  <c r="EM8" i="12"/>
  <c r="EK8" i="12"/>
  <c r="EI8" i="12"/>
  <c r="EU6" i="12"/>
  <c r="ES6" i="12"/>
  <c r="DL134" i="12"/>
  <c r="DV132" i="12"/>
  <c r="DR132" i="12"/>
  <c r="DP132" i="12"/>
  <c r="DN132" i="12"/>
  <c r="DL132" i="12"/>
  <c r="DJ132" i="12"/>
  <c r="DV130" i="12"/>
  <c r="DP130" i="12"/>
  <c r="DN130" i="12"/>
  <c r="DJ130" i="12"/>
  <c r="DH130" i="12"/>
  <c r="DV128" i="12"/>
  <c r="DH128" i="12"/>
  <c r="DV126" i="12"/>
  <c r="DP126" i="12"/>
  <c r="DR124" i="12"/>
  <c r="DP124" i="12"/>
  <c r="DN124" i="12"/>
  <c r="DV122" i="12"/>
  <c r="DP122" i="12"/>
  <c r="DN122" i="12"/>
  <c r="DL122" i="12"/>
  <c r="DV120" i="12"/>
  <c r="DT120" i="12"/>
  <c r="DN120" i="12"/>
  <c r="DL120" i="12"/>
  <c r="DJ120" i="12"/>
  <c r="DR64" i="12"/>
  <c r="DR62" i="12"/>
  <c r="DR60" i="12"/>
  <c r="DP60" i="12"/>
  <c r="DT58" i="12"/>
  <c r="DT56" i="12"/>
  <c r="DN56" i="12"/>
  <c r="DX18" i="12"/>
  <c r="DX12" i="12"/>
  <c r="DL8" i="12"/>
  <c r="DX6" i="12"/>
  <c r="DV6" i="12"/>
  <c r="DR6" i="12"/>
  <c r="AP156" i="12" l="1"/>
  <c r="AR140" i="12" s="1"/>
  <c r="AT140" i="12" s="1"/>
  <c r="G184" i="12"/>
  <c r="CM171" i="12"/>
  <c r="CM169" i="12"/>
  <c r="CY134" i="12"/>
  <c r="CQ134" i="12"/>
  <c r="CM134" i="12"/>
  <c r="CW132" i="12"/>
  <c r="CU132" i="12"/>
  <c r="CS132" i="12"/>
  <c r="CQ132" i="12"/>
  <c r="CO132" i="12"/>
  <c r="CM132" i="12"/>
  <c r="DA130" i="12"/>
  <c r="CU130" i="12"/>
  <c r="CS130" i="12"/>
  <c r="CO130" i="12"/>
  <c r="DA128" i="12"/>
  <c r="DA126" i="12"/>
  <c r="CU126" i="12"/>
  <c r="CM126" i="12"/>
  <c r="CW124" i="12"/>
  <c r="CU124" i="12"/>
  <c r="CS124" i="12"/>
  <c r="CM124" i="12"/>
  <c r="DA122" i="12"/>
  <c r="CU122" i="12"/>
  <c r="CS122" i="12"/>
  <c r="CQ122" i="12"/>
  <c r="CM122" i="12"/>
  <c r="CW120" i="12"/>
  <c r="CU120" i="12"/>
  <c r="CW64" i="12"/>
  <c r="CW62" i="12"/>
  <c r="CY60" i="12"/>
  <c r="CS60" i="12"/>
  <c r="CY58" i="12"/>
  <c r="CS58" i="12"/>
  <c r="CQ58" i="12"/>
  <c r="CY56" i="12"/>
  <c r="CS56" i="12"/>
  <c r="DC18" i="12"/>
  <c r="CW12" i="12"/>
  <c r="CU12" i="12"/>
  <c r="CS8" i="12"/>
  <c r="CQ8" i="12"/>
  <c r="CW6" i="12"/>
  <c r="BP171" i="12"/>
  <c r="CB134" i="12"/>
  <c r="BZ134" i="12"/>
  <c r="BP134" i="12"/>
  <c r="BV132" i="12"/>
  <c r="BT132" i="12"/>
  <c r="BR132" i="12"/>
  <c r="BP132" i="12"/>
  <c r="CB130" i="12"/>
  <c r="BX130" i="12"/>
  <c r="BV130" i="12"/>
  <c r="BR130" i="12"/>
  <c r="CB128" i="12"/>
  <c r="BX126" i="12"/>
  <c r="BT126" i="12"/>
  <c r="BP126" i="12"/>
  <c r="BZ124" i="12"/>
  <c r="BX124" i="12"/>
  <c r="BR124" i="12"/>
  <c r="BP124" i="12"/>
  <c r="BX122" i="12"/>
  <c r="BV122" i="12"/>
  <c r="BP122" i="12"/>
  <c r="BZ120" i="12"/>
  <c r="BX120" i="12"/>
  <c r="BZ64" i="12"/>
  <c r="CB62" i="12"/>
  <c r="BZ62" i="12"/>
  <c r="CB60" i="12"/>
  <c r="BV60" i="12"/>
  <c r="CB58" i="12"/>
  <c r="BV58" i="12"/>
  <c r="CB56" i="12"/>
  <c r="BZ56" i="12"/>
  <c r="BV56" i="12"/>
  <c r="AU171" i="12"/>
  <c r="BG134" i="12"/>
  <c r="BE134" i="12"/>
  <c r="AU134" i="12"/>
  <c r="BA132" i="12"/>
  <c r="AY132" i="12"/>
  <c r="AW132" i="12"/>
  <c r="AU132" i="12"/>
  <c r="BG130" i="12"/>
  <c r="BC130" i="12"/>
  <c r="BA130" i="12"/>
  <c r="AW130" i="12"/>
  <c r="BI128" i="12"/>
  <c r="BG128" i="12"/>
  <c r="BI126" i="12"/>
  <c r="BC126" i="12"/>
  <c r="AY126" i="12"/>
  <c r="AU126" i="12"/>
  <c r="BI124" i="12"/>
  <c r="BE124" i="12"/>
  <c r="BC124" i="12"/>
  <c r="AW124" i="12"/>
  <c r="AU124" i="12"/>
  <c r="BI122" i="12"/>
  <c r="BC122" i="12"/>
  <c r="AU122" i="12"/>
  <c r="BE120" i="12"/>
  <c r="BC120" i="12"/>
  <c r="BE62" i="12"/>
  <c r="BG60" i="12"/>
  <c r="BA58" i="12"/>
  <c r="BG56" i="12"/>
  <c r="BK12" i="12"/>
  <c r="Z169" i="12"/>
  <c r="AL134" i="12"/>
  <c r="AJ134" i="12"/>
  <c r="AH134" i="12"/>
  <c r="AD134" i="12"/>
  <c r="Z134" i="12"/>
  <c r="AF132" i="12"/>
  <c r="Z132" i="12"/>
  <c r="AL130" i="12"/>
  <c r="AH130" i="12"/>
  <c r="AD130" i="12"/>
  <c r="AB130" i="12"/>
  <c r="Z130" i="12"/>
  <c r="AL128" i="12"/>
  <c r="AN126" i="12"/>
  <c r="AJ126" i="12"/>
  <c r="AH126" i="12"/>
  <c r="AB126" i="12"/>
  <c r="Z126" i="12"/>
  <c r="AL124" i="12"/>
  <c r="AH124" i="12"/>
  <c r="AF124" i="12"/>
  <c r="AB124" i="12"/>
  <c r="AN122" i="12"/>
  <c r="AL122" i="12"/>
  <c r="AH122" i="12"/>
  <c r="AH120" i="12"/>
  <c r="AD120" i="12"/>
  <c r="AB120" i="12"/>
  <c r="AJ64" i="12"/>
  <c r="AL60" i="12"/>
  <c r="AF60" i="12"/>
  <c r="AL58" i="12"/>
  <c r="AF58" i="12"/>
  <c r="AF56" i="12"/>
  <c r="AD56" i="12"/>
  <c r="AB56" i="12"/>
  <c r="AP10" i="12"/>
  <c r="AL8" i="12"/>
  <c r="AB6" i="12"/>
  <c r="I169" i="12"/>
  <c r="Q134" i="12"/>
  <c r="I134" i="12"/>
  <c r="E134" i="12"/>
  <c r="O132" i="12"/>
  <c r="M132" i="12"/>
  <c r="K132" i="12"/>
  <c r="I132" i="12"/>
  <c r="G132" i="12"/>
  <c r="E132" i="12"/>
  <c r="S130" i="12"/>
  <c r="M130" i="12"/>
  <c r="K130" i="12"/>
  <c r="G130" i="12"/>
  <c r="S128" i="12"/>
  <c r="S126" i="12"/>
  <c r="M126" i="12"/>
  <c r="E126" i="12"/>
  <c r="O124" i="12"/>
  <c r="M124" i="12"/>
  <c r="K124" i="12"/>
  <c r="E124" i="12"/>
  <c r="S122" i="12"/>
  <c r="M122" i="12"/>
  <c r="K122" i="12"/>
  <c r="I122" i="12"/>
  <c r="E122" i="12"/>
  <c r="O120" i="12"/>
  <c r="M120" i="12"/>
  <c r="O64" i="12"/>
  <c r="O62" i="12"/>
  <c r="O60" i="12"/>
  <c r="K60" i="12"/>
  <c r="Q58" i="12"/>
  <c r="O58" i="12"/>
  <c r="K58" i="12"/>
  <c r="Q56" i="12"/>
  <c r="O56" i="12"/>
  <c r="U12" i="12"/>
  <c r="S10" i="12"/>
  <c r="K8" i="12"/>
  <c r="G6" i="12"/>
  <c r="AR146" i="12" l="1"/>
  <c r="AT146" i="12" s="1"/>
  <c r="AR154" i="12"/>
  <c r="AT154" i="12" s="1"/>
  <c r="AR142" i="12"/>
  <c r="AT142" i="12" s="1"/>
  <c r="AR148" i="12"/>
  <c r="AT148" i="12" s="1"/>
  <c r="AR150" i="12"/>
  <c r="AT150" i="12" s="1"/>
  <c r="AR144" i="12"/>
  <c r="AT144" i="12" s="1"/>
  <c r="AR152" i="12"/>
  <c r="AT152" i="12" s="1"/>
  <c r="Q184" i="12"/>
  <c r="Q178" i="12"/>
  <c r="Q180" i="12"/>
  <c r="Q182" i="12"/>
  <c r="O88" i="12"/>
  <c r="E184" i="12"/>
  <c r="Q48" i="12"/>
  <c r="AL36" i="12" s="1"/>
  <c r="I184" i="12"/>
  <c r="S180" i="12" s="1"/>
  <c r="E113" i="12"/>
  <c r="N107" i="12" s="1"/>
  <c r="G113" i="12"/>
  <c r="CL119" i="5"/>
  <c r="CH121" i="5"/>
  <c r="CF123" i="5"/>
  <c r="CF121" i="5"/>
  <c r="CF119" i="5"/>
  <c r="CL115" i="5"/>
  <c r="CD121" i="5"/>
  <c r="CD119" i="5"/>
  <c r="CF115" i="5"/>
  <c r="CB123" i="5"/>
  <c r="CB121" i="5"/>
  <c r="CB115" i="5"/>
  <c r="CH113" i="5"/>
  <c r="CF113" i="5"/>
  <c r="BZ121" i="5"/>
  <c r="BZ119" i="5"/>
  <c r="CL111" i="5"/>
  <c r="CF111" i="5"/>
  <c r="CD111" i="5"/>
  <c r="CB111" i="5"/>
  <c r="CF109" i="5"/>
  <c r="BX123" i="5"/>
  <c r="BX121" i="5"/>
  <c r="BX115" i="5"/>
  <c r="BX113" i="5"/>
  <c r="BX111" i="5"/>
  <c r="CH109" i="5"/>
  <c r="CH75" i="5"/>
  <c r="CF75" i="5"/>
  <c r="CH71" i="5"/>
  <c r="CD75" i="5"/>
  <c r="CH69" i="5"/>
  <c r="CD71" i="5"/>
  <c r="CJ67" i="5"/>
  <c r="CD67" i="5"/>
  <c r="CB73" i="5"/>
  <c r="CB71" i="5"/>
  <c r="CJ65" i="5"/>
  <c r="CD65" i="5"/>
  <c r="CB65" i="5"/>
  <c r="BZ73" i="5"/>
  <c r="BZ71" i="5"/>
  <c r="CJ63" i="5"/>
  <c r="CD63" i="5"/>
  <c r="BX73" i="5"/>
  <c r="BX71" i="5"/>
  <c r="BX67" i="5"/>
  <c r="BX65" i="5"/>
  <c r="CN22" i="5"/>
  <c r="CN20" i="5"/>
  <c r="CJ22" i="5"/>
  <c r="CH24" i="5"/>
  <c r="CH22" i="5"/>
  <c r="CJ18" i="5"/>
  <c r="CF24" i="5"/>
  <c r="CF22" i="5"/>
  <c r="CF20" i="5"/>
  <c r="CF18" i="5"/>
  <c r="CD24" i="5"/>
  <c r="CF14" i="5"/>
  <c r="CD22" i="5"/>
  <c r="CD20" i="5"/>
  <c r="CD18" i="5"/>
  <c r="CN12" i="5"/>
  <c r="CL12" i="5"/>
  <c r="CF12" i="5"/>
  <c r="CB20" i="5"/>
  <c r="CB18" i="5"/>
  <c r="CB14" i="5"/>
  <c r="BZ24" i="5"/>
  <c r="BZ22" i="5"/>
  <c r="BZ20" i="5"/>
  <c r="BZ18" i="5"/>
  <c r="CF10" i="5"/>
  <c r="CD10" i="5"/>
  <c r="CB10" i="5"/>
  <c r="CN8" i="5"/>
  <c r="CL8" i="5"/>
  <c r="CF8" i="5"/>
  <c r="CD8" i="5"/>
  <c r="BZ8" i="5"/>
  <c r="BX20" i="5"/>
  <c r="BX18" i="5"/>
  <c r="BX12" i="5"/>
  <c r="CB101" i="5"/>
  <c r="BX103" i="5"/>
  <c r="BZ99" i="5"/>
  <c r="CB153" i="5"/>
  <c r="BX155" i="5"/>
  <c r="BZ157" i="5"/>
  <c r="AO123" i="5"/>
  <c r="AQ119" i="5"/>
  <c r="AO119" i="5"/>
  <c r="AQ117" i="5"/>
  <c r="AK121" i="5"/>
  <c r="AK119" i="5"/>
  <c r="AQ115" i="5"/>
  <c r="AO115" i="5"/>
  <c r="AI119" i="5"/>
  <c r="AK115" i="5"/>
  <c r="AG123" i="5"/>
  <c r="AG121" i="5"/>
  <c r="AG115" i="5"/>
  <c r="AM113" i="5"/>
  <c r="AK113" i="5"/>
  <c r="AQ111" i="5"/>
  <c r="AM111" i="5"/>
  <c r="AK111" i="5"/>
  <c r="AE121" i="5"/>
  <c r="AE115" i="5"/>
  <c r="AE113" i="5"/>
  <c r="AC123" i="5"/>
  <c r="AC121" i="5"/>
  <c r="AC115" i="5"/>
  <c r="AC113" i="5"/>
  <c r="AC111" i="5"/>
  <c r="AM109" i="5"/>
  <c r="AK109" i="5"/>
  <c r="AE157" i="5"/>
  <c r="AG153" i="5"/>
  <c r="AC155" i="5"/>
  <c r="AG101" i="5"/>
  <c r="AC103" i="5"/>
  <c r="AE99" i="5"/>
  <c r="AM75" i="5"/>
  <c r="AO71" i="5"/>
  <c r="AM71" i="5"/>
  <c r="AO69" i="5"/>
  <c r="AM69" i="5"/>
  <c r="AI71" i="5"/>
  <c r="AI67" i="5"/>
  <c r="AG71" i="5"/>
  <c r="AG75" i="5"/>
  <c r="AM67" i="5"/>
  <c r="AO65" i="5"/>
  <c r="AM65" i="5"/>
  <c r="AI65" i="5"/>
  <c r="AE71" i="5"/>
  <c r="AE67" i="5"/>
  <c r="AO63" i="5"/>
  <c r="AI63" i="5"/>
  <c r="AG63" i="5"/>
  <c r="AC73" i="5"/>
  <c r="AC71" i="5"/>
  <c r="AC65" i="5"/>
  <c r="AS22" i="5"/>
  <c r="AO22" i="5"/>
  <c r="AS20" i="5"/>
  <c r="AM24" i="5"/>
  <c r="AM22" i="5"/>
  <c r="AO18" i="5"/>
  <c r="AK24" i="5"/>
  <c r="AK22" i="5"/>
  <c r="AK18" i="5"/>
  <c r="AO16" i="5"/>
  <c r="AI24" i="5"/>
  <c r="AI22" i="5"/>
  <c r="AI20" i="5"/>
  <c r="AI18" i="5"/>
  <c r="AK14" i="5"/>
  <c r="AG24" i="5"/>
  <c r="AG22" i="5"/>
  <c r="AG20" i="5"/>
  <c r="AG18" i="5"/>
  <c r="AG14" i="5"/>
  <c r="AK12" i="5"/>
  <c r="AE24" i="5"/>
  <c r="AE22" i="5"/>
  <c r="AE20" i="5"/>
  <c r="AE14" i="5"/>
  <c r="AE12" i="5"/>
  <c r="AM10" i="5"/>
  <c r="AK10" i="5"/>
  <c r="AC24" i="5"/>
  <c r="AC22" i="5"/>
  <c r="AC18" i="5"/>
  <c r="AC14" i="5"/>
  <c r="AO8" i="5"/>
  <c r="AK8" i="5"/>
  <c r="AG8" i="5"/>
  <c r="AE8" i="5"/>
  <c r="AC157" i="6"/>
  <c r="AG155" i="6"/>
  <c r="AE153" i="6"/>
  <c r="AM123" i="6"/>
  <c r="AG123" i="6"/>
  <c r="AC123" i="6"/>
  <c r="AQ121" i="6"/>
  <c r="AM121" i="6"/>
  <c r="AK121" i="6"/>
  <c r="AI121" i="6"/>
  <c r="AG121" i="6"/>
  <c r="AE121" i="6"/>
  <c r="AC121" i="6"/>
  <c r="AK119" i="6"/>
  <c r="AI119" i="6"/>
  <c r="AE119" i="6"/>
  <c r="AQ117" i="6"/>
  <c r="AQ115" i="6"/>
  <c r="AK115" i="6"/>
  <c r="AC115" i="6"/>
  <c r="AM113" i="6"/>
  <c r="AK113" i="6"/>
  <c r="AI113" i="6"/>
  <c r="AC113" i="6"/>
  <c r="AQ111" i="6"/>
  <c r="AK111" i="6"/>
  <c r="AI111" i="6"/>
  <c r="AG111" i="6"/>
  <c r="AC111" i="6"/>
  <c r="AM109" i="6"/>
  <c r="AK109" i="6"/>
  <c r="AE103" i="6"/>
  <c r="AC101" i="6"/>
  <c r="AG99" i="6"/>
  <c r="AK75" i="6"/>
  <c r="AI75" i="6"/>
  <c r="AG75" i="6"/>
  <c r="AO73" i="6"/>
  <c r="AM71" i="6"/>
  <c r="AI71" i="6"/>
  <c r="AG71" i="6"/>
  <c r="AE71" i="6"/>
  <c r="AC71" i="6"/>
  <c r="AM69" i="6"/>
  <c r="AM67" i="6"/>
  <c r="AI67" i="6"/>
  <c r="AE67" i="6"/>
  <c r="AC67" i="6"/>
  <c r="AO65" i="6"/>
  <c r="AM65" i="6"/>
  <c r="AI65" i="6"/>
  <c r="AC65" i="6"/>
  <c r="AO63" i="6"/>
  <c r="AM63" i="6"/>
  <c r="AI63" i="6"/>
  <c r="AM24" i="6"/>
  <c r="AK24" i="6"/>
  <c r="AE24" i="6"/>
  <c r="AS22" i="6"/>
  <c r="AO22" i="6"/>
  <c r="AM22" i="6"/>
  <c r="AK22" i="6"/>
  <c r="AI22" i="6"/>
  <c r="AE22" i="6"/>
  <c r="AS20" i="6"/>
  <c r="AK20" i="6"/>
  <c r="AI20" i="6"/>
  <c r="AG20" i="6"/>
  <c r="AE20" i="6"/>
  <c r="AC20" i="6"/>
  <c r="AO18" i="6"/>
  <c r="AK18" i="6"/>
  <c r="AI18" i="6"/>
  <c r="AG18" i="6"/>
  <c r="AE18" i="6"/>
  <c r="AC18" i="6"/>
  <c r="AS14" i="6"/>
  <c r="AK14" i="6"/>
  <c r="AG14" i="6"/>
  <c r="AS12" i="6"/>
  <c r="AQ12" i="6"/>
  <c r="AK12" i="6"/>
  <c r="AC12" i="6"/>
  <c r="AK10" i="6"/>
  <c r="AI10" i="6"/>
  <c r="AG10" i="6"/>
  <c r="AS8" i="6"/>
  <c r="AQ8" i="6"/>
  <c r="AK8" i="6"/>
  <c r="AI8" i="6"/>
  <c r="AE8" i="6"/>
  <c r="AE157" i="7"/>
  <c r="AC157" i="7"/>
  <c r="AC155" i="7"/>
  <c r="AC103" i="7"/>
  <c r="AG101" i="7"/>
  <c r="AE99" i="7"/>
  <c r="AM75" i="7"/>
  <c r="AK75" i="7"/>
  <c r="AG73" i="7"/>
  <c r="AE73" i="7"/>
  <c r="AM71" i="7"/>
  <c r="AI71" i="7"/>
  <c r="AG71" i="7"/>
  <c r="AE71" i="7"/>
  <c r="AC71" i="7"/>
  <c r="AO69" i="7"/>
  <c r="AM69" i="7"/>
  <c r="AO67" i="7"/>
  <c r="AI67" i="7"/>
  <c r="AE67" i="7"/>
  <c r="AC67" i="7"/>
  <c r="AO65" i="7"/>
  <c r="AI65" i="7"/>
  <c r="AC65" i="7"/>
  <c r="AI63" i="7"/>
  <c r="AM24" i="7"/>
  <c r="AK24" i="7"/>
  <c r="AG24" i="7"/>
  <c r="AE24" i="7"/>
  <c r="AS22" i="7"/>
  <c r="AO22" i="7"/>
  <c r="AM22" i="7"/>
  <c r="AK22" i="7"/>
  <c r="AI22" i="7"/>
  <c r="AG22" i="7"/>
  <c r="AE22" i="7"/>
  <c r="AS20" i="7"/>
  <c r="AI20" i="7"/>
  <c r="AO18" i="7"/>
  <c r="AK18" i="7"/>
  <c r="AI18" i="7"/>
  <c r="AG18" i="7"/>
  <c r="AE18" i="7"/>
  <c r="AC18" i="7"/>
  <c r="AO16" i="7"/>
  <c r="AC16" i="7"/>
  <c r="AK14" i="7"/>
  <c r="AG14" i="7"/>
  <c r="AE14" i="7"/>
  <c r="AC14" i="7"/>
  <c r="AO12" i="7"/>
  <c r="AK12" i="7"/>
  <c r="AO10" i="7"/>
  <c r="AK10" i="7"/>
  <c r="AG10" i="7"/>
  <c r="AC10" i="7"/>
  <c r="AS8" i="7"/>
  <c r="AQ8" i="7"/>
  <c r="AO8" i="7"/>
  <c r="AG8" i="7"/>
  <c r="AQ121" i="4"/>
  <c r="AQ119" i="4"/>
  <c r="AM121" i="4"/>
  <c r="AK123" i="4"/>
  <c r="AK121" i="4"/>
  <c r="AK119" i="4"/>
  <c r="AI123" i="4"/>
  <c r="AI121" i="4"/>
  <c r="AI119" i="4"/>
  <c r="AK115" i="4"/>
  <c r="AG123" i="4"/>
  <c r="AG121" i="4"/>
  <c r="AM113" i="4"/>
  <c r="AK113" i="4"/>
  <c r="AI113" i="4"/>
  <c r="AQ111" i="4"/>
  <c r="AE121" i="4"/>
  <c r="AE119" i="4"/>
  <c r="AK111" i="4"/>
  <c r="AE115" i="4"/>
  <c r="AG111" i="4"/>
  <c r="AM109" i="4"/>
  <c r="AK109" i="4"/>
  <c r="AC123" i="4"/>
  <c r="AC121" i="4"/>
  <c r="AC115" i="4"/>
  <c r="AC113" i="4"/>
  <c r="AC111" i="4"/>
  <c r="AM75" i="4"/>
  <c r="AO71" i="4"/>
  <c r="AM71" i="4"/>
  <c r="AM69" i="4"/>
  <c r="AI75" i="4"/>
  <c r="AI71" i="4"/>
  <c r="AO67" i="4"/>
  <c r="AM67" i="4"/>
  <c r="AG71" i="4"/>
  <c r="AI67" i="4"/>
  <c r="AE75" i="4"/>
  <c r="AE73" i="4"/>
  <c r="AE71" i="4"/>
  <c r="AI65" i="4"/>
  <c r="AG65" i="4"/>
  <c r="AC69" i="4"/>
  <c r="AO63" i="4"/>
  <c r="AM63" i="4"/>
  <c r="AC71" i="4"/>
  <c r="AC67" i="4"/>
  <c r="AC65" i="4"/>
  <c r="AQ24" i="4"/>
  <c r="AS20" i="4"/>
  <c r="AO22" i="4"/>
  <c r="AO18" i="4"/>
  <c r="AM22" i="4"/>
  <c r="AM24" i="4"/>
  <c r="AS16" i="4"/>
  <c r="AM16" i="4"/>
  <c r="AK22" i="4"/>
  <c r="AK20" i="4"/>
  <c r="AI22" i="4"/>
  <c r="AI20" i="4"/>
  <c r="AI18" i="4"/>
  <c r="AK14" i="4"/>
  <c r="AS14" i="4"/>
  <c r="AG20" i="4"/>
  <c r="AG18" i="4"/>
  <c r="AG14" i="4"/>
  <c r="AS12" i="4"/>
  <c r="AQ12" i="4"/>
  <c r="AK12" i="4"/>
  <c r="AE24" i="4"/>
  <c r="AE22" i="4"/>
  <c r="AE20" i="4"/>
  <c r="AE18" i="4"/>
  <c r="AK10" i="4"/>
  <c r="AI10" i="4"/>
  <c r="AG10" i="4"/>
  <c r="AS8" i="4"/>
  <c r="AM8" i="4"/>
  <c r="AK8" i="4"/>
  <c r="AC22" i="4"/>
  <c r="AC20" i="4"/>
  <c r="AC14" i="4"/>
  <c r="AC12" i="4"/>
  <c r="AC10" i="4"/>
  <c r="AG101" i="4"/>
  <c r="AG99" i="4"/>
  <c r="AC101" i="4"/>
  <c r="AE157" i="4"/>
  <c r="AG153" i="4"/>
  <c r="AC155" i="4"/>
  <c r="BZ157" i="3"/>
  <c r="BX155" i="3"/>
  <c r="CB153" i="3"/>
  <c r="CJ123" i="3"/>
  <c r="CH123" i="3"/>
  <c r="CF123" i="3"/>
  <c r="CB123" i="3"/>
  <c r="BX123" i="3"/>
  <c r="CD121" i="3"/>
  <c r="BX121" i="3"/>
  <c r="CJ119" i="3"/>
  <c r="CF119" i="3"/>
  <c r="CB119" i="3"/>
  <c r="BZ119" i="3"/>
  <c r="BX119" i="3"/>
  <c r="CJ117" i="3"/>
  <c r="CL115" i="3"/>
  <c r="CH115" i="3"/>
  <c r="CF115" i="3"/>
  <c r="BZ115" i="3"/>
  <c r="BX115" i="3"/>
  <c r="CJ113" i="3"/>
  <c r="CF113" i="3"/>
  <c r="CD113" i="3"/>
  <c r="BZ113" i="3"/>
  <c r="CL111" i="3"/>
  <c r="CJ111" i="3"/>
  <c r="CF111" i="3"/>
  <c r="CF109" i="3"/>
  <c r="CB109" i="3"/>
  <c r="BZ109" i="3"/>
  <c r="BZ103" i="3"/>
  <c r="BX101" i="3"/>
  <c r="CB99" i="3"/>
  <c r="CH75" i="3"/>
  <c r="CF75" i="3"/>
  <c r="CD75" i="3"/>
  <c r="BX75" i="3"/>
  <c r="CB73" i="3"/>
  <c r="BZ73" i="3"/>
  <c r="BX73" i="3"/>
  <c r="CH71" i="3"/>
  <c r="CD71" i="3"/>
  <c r="CB71" i="3"/>
  <c r="BZ71" i="3"/>
  <c r="BX71" i="3"/>
  <c r="CH69" i="3"/>
  <c r="CJ67" i="3"/>
  <c r="CD67" i="3"/>
  <c r="CJ65" i="3"/>
  <c r="CD65" i="3"/>
  <c r="CB65" i="3"/>
  <c r="CD63" i="3"/>
  <c r="CB63" i="3"/>
  <c r="BZ63" i="3"/>
  <c r="CH24" i="3"/>
  <c r="CF24" i="3"/>
  <c r="CD24" i="3"/>
  <c r="BZ24" i="3"/>
  <c r="CN22" i="3"/>
  <c r="CJ22" i="3"/>
  <c r="CH22" i="3"/>
  <c r="CF22" i="3"/>
  <c r="CD22" i="3"/>
  <c r="CB22" i="3"/>
  <c r="BZ22" i="3"/>
  <c r="CN20" i="3"/>
  <c r="CD20" i="3"/>
  <c r="CB20" i="3"/>
  <c r="BX20" i="3"/>
  <c r="CJ18" i="3"/>
  <c r="CF18" i="3"/>
  <c r="CB18" i="3"/>
  <c r="BZ18" i="3"/>
  <c r="BX18" i="3"/>
  <c r="CJ16" i="3"/>
  <c r="CD16" i="3"/>
  <c r="CH14" i="3"/>
  <c r="CB14" i="3"/>
  <c r="BZ14" i="3"/>
  <c r="CN12" i="3"/>
  <c r="CF12" i="3"/>
  <c r="BX12" i="3"/>
  <c r="CJ10" i="3"/>
  <c r="CF10" i="3"/>
  <c r="CB10" i="3"/>
  <c r="CN8" i="3"/>
  <c r="CL8" i="3"/>
  <c r="CF8" i="3"/>
  <c r="CD8" i="3"/>
  <c r="BZ8" i="3"/>
  <c r="AG155" i="3"/>
  <c r="AC157" i="3"/>
  <c r="AE153" i="3"/>
  <c r="AQ121" i="3"/>
  <c r="AM123" i="3"/>
  <c r="AM121" i="3"/>
  <c r="AK119" i="3"/>
  <c r="AQ117" i="3"/>
  <c r="AK121" i="3"/>
  <c r="AI121" i="3"/>
  <c r="AI119" i="3"/>
  <c r="AQ115" i="3"/>
  <c r="AK115" i="3"/>
  <c r="AG123" i="3"/>
  <c r="AG121" i="3"/>
  <c r="AM113" i="3"/>
  <c r="AK113" i="3"/>
  <c r="AI113" i="3"/>
  <c r="AE121" i="3"/>
  <c r="AE119" i="3"/>
  <c r="AQ111" i="3"/>
  <c r="AK111" i="3"/>
  <c r="AI111" i="3"/>
  <c r="AG111" i="3"/>
  <c r="AM109" i="3"/>
  <c r="AK109" i="3"/>
  <c r="AC123" i="3"/>
  <c r="AC121" i="3"/>
  <c r="AC115" i="3"/>
  <c r="AC113" i="3"/>
  <c r="AC111" i="3"/>
  <c r="AE103" i="3"/>
  <c r="AC101" i="3"/>
  <c r="AG99" i="3"/>
  <c r="AO73" i="3"/>
  <c r="AK75" i="3"/>
  <c r="AM71" i="3"/>
  <c r="AI75" i="3"/>
  <c r="AI71" i="3"/>
  <c r="AM69" i="3"/>
  <c r="AG75" i="3"/>
  <c r="AG71" i="3"/>
  <c r="AM67" i="3"/>
  <c r="AI67" i="3"/>
  <c r="AE71" i="3"/>
  <c r="AE67" i="3"/>
  <c r="AO65" i="3"/>
  <c r="AM65" i="3"/>
  <c r="AI65" i="3"/>
  <c r="AI63" i="3"/>
  <c r="AO63" i="3"/>
  <c r="AM63" i="3"/>
  <c r="AC71" i="3"/>
  <c r="AC67" i="3"/>
  <c r="AC65" i="3"/>
  <c r="AS22" i="3"/>
  <c r="AS20" i="3"/>
  <c r="AO22" i="3"/>
  <c r="AM24" i="3"/>
  <c r="AM22" i="3"/>
  <c r="AO18" i="3"/>
  <c r="AK24" i="3"/>
  <c r="AK22" i="3"/>
  <c r="AK20" i="3"/>
  <c r="AK18" i="3"/>
  <c r="AS14" i="3"/>
  <c r="AK14" i="3"/>
  <c r="AI22" i="3"/>
  <c r="AI20" i="3"/>
  <c r="AI18" i="3"/>
  <c r="AS12" i="3"/>
  <c r="AQ12" i="3"/>
  <c r="AG20" i="3"/>
  <c r="AG18" i="3"/>
  <c r="AK12" i="3"/>
  <c r="AG14" i="3"/>
  <c r="AE24" i="3"/>
  <c r="AE22" i="3"/>
  <c r="AE20" i="3"/>
  <c r="AE18" i="3"/>
  <c r="AK10" i="3"/>
  <c r="AI10" i="3"/>
  <c r="AG10" i="3"/>
  <c r="AC20" i="3"/>
  <c r="AC18" i="3"/>
  <c r="AC12" i="3"/>
  <c r="AS8" i="3"/>
  <c r="AQ8" i="3"/>
  <c r="AK8" i="3"/>
  <c r="AI8" i="3"/>
  <c r="AE8" i="3"/>
  <c r="BZ157" i="2"/>
  <c r="CB153" i="2"/>
  <c r="BX155" i="2"/>
  <c r="CL121" i="2"/>
  <c r="CL119" i="2"/>
  <c r="CH121" i="2"/>
  <c r="CL117" i="2"/>
  <c r="CF121" i="2"/>
  <c r="CF119" i="2"/>
  <c r="CD121" i="2"/>
  <c r="CD119" i="2"/>
  <c r="CL115" i="2"/>
  <c r="CF115" i="2"/>
  <c r="CB123" i="2"/>
  <c r="CB121" i="2"/>
  <c r="CH113" i="2"/>
  <c r="CF113" i="2"/>
  <c r="CD113" i="2"/>
  <c r="BZ121" i="2"/>
  <c r="BZ119" i="2"/>
  <c r="CL111" i="2"/>
  <c r="CF111" i="2"/>
  <c r="CD111" i="2"/>
  <c r="CB111" i="2"/>
  <c r="BX119" i="2"/>
  <c r="BX117" i="2"/>
  <c r="CL109" i="2"/>
  <c r="CJ109" i="2"/>
  <c r="CD109" i="2"/>
  <c r="CB109" i="2"/>
  <c r="BZ109" i="2"/>
  <c r="CB101" i="2"/>
  <c r="BX103" i="2"/>
  <c r="BZ99" i="2"/>
  <c r="CH75" i="2"/>
  <c r="CF75" i="2"/>
  <c r="CH71" i="2"/>
  <c r="CD75" i="2"/>
  <c r="CD71" i="2"/>
  <c r="CH69" i="2"/>
  <c r="CB75" i="2"/>
  <c r="CB69" i="2"/>
  <c r="CH67" i="2"/>
  <c r="CF67" i="2"/>
  <c r="CJ65" i="2"/>
  <c r="BZ73" i="2"/>
  <c r="BZ71" i="2"/>
  <c r="BZ69" i="2"/>
  <c r="BZ67" i="2"/>
  <c r="BX65" i="2"/>
  <c r="CJ63" i="2"/>
  <c r="CD63" i="2"/>
  <c r="BX73" i="2"/>
  <c r="BX71" i="2"/>
  <c r="BX67" i="2"/>
  <c r="CN22" i="2"/>
  <c r="CN20" i="2"/>
  <c r="CJ22" i="2"/>
  <c r="CH24" i="2"/>
  <c r="CH22" i="2"/>
  <c r="CJ18" i="2"/>
  <c r="CJ16" i="2"/>
  <c r="CF24" i="2"/>
  <c r="CF22" i="2"/>
  <c r="CF18" i="2"/>
  <c r="CD20" i="2"/>
  <c r="CD18" i="2"/>
  <c r="CN14" i="2"/>
  <c r="CL14" i="2"/>
  <c r="CF14" i="2"/>
  <c r="CB20" i="2"/>
  <c r="CB18" i="2"/>
  <c r="CN12" i="2"/>
  <c r="CL12" i="2"/>
  <c r="CF12" i="2"/>
  <c r="CB14" i="2"/>
  <c r="BZ24" i="2"/>
  <c r="BZ20" i="2"/>
  <c r="BZ18" i="2"/>
  <c r="BZ14" i="2"/>
  <c r="CL10" i="2"/>
  <c r="CF10" i="2"/>
  <c r="CB10" i="2"/>
  <c r="BX20" i="2"/>
  <c r="BX14" i="2"/>
  <c r="BX12" i="2"/>
  <c r="BZ8" i="2"/>
  <c r="CN8" i="2"/>
  <c r="CL8" i="2"/>
  <c r="CH8" i="2"/>
  <c r="CF8" i="2"/>
  <c r="AO123" i="2"/>
  <c r="AM121" i="2"/>
  <c r="AQ119" i="2"/>
  <c r="AK121" i="2"/>
  <c r="AK119" i="2"/>
  <c r="AQ117" i="2"/>
  <c r="AQ115" i="2"/>
  <c r="AI121" i="2"/>
  <c r="AI119" i="2"/>
  <c r="AK115" i="2"/>
  <c r="AI113" i="2"/>
  <c r="AG123" i="2"/>
  <c r="AG121" i="2"/>
  <c r="AM113" i="2"/>
  <c r="AK113" i="2"/>
  <c r="AE121" i="2"/>
  <c r="AE119" i="2"/>
  <c r="AQ111" i="2"/>
  <c r="AK111" i="2"/>
  <c r="AI111" i="2"/>
  <c r="AG111" i="2"/>
  <c r="AM109" i="2"/>
  <c r="AK109" i="2"/>
  <c r="AC123" i="2"/>
  <c r="AC121" i="2"/>
  <c r="AC115" i="2"/>
  <c r="AC113" i="2"/>
  <c r="AC111" i="2"/>
  <c r="AG101" i="2"/>
  <c r="AG99" i="2"/>
  <c r="AE99" i="2"/>
  <c r="AM75" i="2"/>
  <c r="AK75" i="2"/>
  <c r="AM71" i="2"/>
  <c r="AM69" i="2"/>
  <c r="AI75" i="2"/>
  <c r="AI71" i="2"/>
  <c r="AG73" i="2"/>
  <c r="AG71" i="2"/>
  <c r="AO67" i="2"/>
  <c r="AI67" i="2"/>
  <c r="AE73" i="2"/>
  <c r="AE71" i="2"/>
  <c r="AO65" i="2"/>
  <c r="AI65" i="2"/>
  <c r="AG65" i="2"/>
  <c r="AC73" i="2"/>
  <c r="AC71" i="2"/>
  <c r="AO63" i="2"/>
  <c r="AI63" i="2"/>
  <c r="AC67" i="2"/>
  <c r="AC65" i="2"/>
  <c r="AE157" i="2"/>
  <c r="AC157" i="2"/>
  <c r="AC155" i="2"/>
  <c r="AS22" i="2"/>
  <c r="AO22" i="2"/>
  <c r="AS20" i="2"/>
  <c r="AS18" i="2"/>
  <c r="AM22" i="2"/>
  <c r="AO18" i="2"/>
  <c r="AK22" i="2"/>
  <c r="AK20" i="2"/>
  <c r="AS16" i="2"/>
  <c r="AM16" i="2"/>
  <c r="AI24" i="2"/>
  <c r="AI22" i="2"/>
  <c r="AO14" i="2"/>
  <c r="AM14" i="2"/>
  <c r="AK14" i="2"/>
  <c r="AS12" i="2"/>
  <c r="AG22" i="2"/>
  <c r="AG20" i="2"/>
  <c r="AG18" i="2"/>
  <c r="AK12" i="2"/>
  <c r="AI12" i="2"/>
  <c r="AE24" i="2"/>
  <c r="AE20" i="2"/>
  <c r="AE18" i="2"/>
  <c r="AQ10" i="2"/>
  <c r="AK10" i="2"/>
  <c r="AI10" i="2"/>
  <c r="AG10" i="2"/>
  <c r="AS8" i="2"/>
  <c r="AM8" i="2"/>
  <c r="AK8" i="2"/>
  <c r="AC22" i="2"/>
  <c r="AC20" i="2"/>
  <c r="AC14" i="2"/>
  <c r="AC12" i="2"/>
  <c r="AC10" i="2"/>
  <c r="CM23" i="1"/>
  <c r="CM21" i="1"/>
  <c r="CI23" i="1"/>
  <c r="CG25" i="1"/>
  <c r="CG23" i="1"/>
  <c r="CI19" i="1"/>
  <c r="CE25" i="1"/>
  <c r="CE23" i="1"/>
  <c r="CE19" i="1"/>
  <c r="CI17" i="1"/>
  <c r="CG15" i="1"/>
  <c r="CC25" i="1"/>
  <c r="CC23" i="1"/>
  <c r="CC21" i="1"/>
  <c r="CC17" i="1"/>
  <c r="CM13" i="1"/>
  <c r="CE13" i="1"/>
  <c r="CA23" i="1"/>
  <c r="CA21" i="1"/>
  <c r="CA19" i="1"/>
  <c r="CA15" i="1"/>
  <c r="BY25" i="1"/>
  <c r="BY23" i="1"/>
  <c r="BY19" i="1"/>
  <c r="CI11" i="1"/>
  <c r="CE11" i="1"/>
  <c r="BY15" i="1"/>
  <c r="CA11" i="1"/>
  <c r="BW21" i="1"/>
  <c r="BW19" i="1"/>
  <c r="BW13" i="1"/>
  <c r="CM9" i="1"/>
  <c r="CK9" i="1"/>
  <c r="CE9" i="1"/>
  <c r="CC9" i="1"/>
  <c r="BY9" i="1"/>
  <c r="AF156" i="1"/>
  <c r="AB158" i="1"/>
  <c r="AD154" i="1"/>
  <c r="AN124" i="1"/>
  <c r="AL122" i="1"/>
  <c r="AP120" i="1"/>
  <c r="AJ122" i="1"/>
  <c r="AJ120" i="1"/>
  <c r="AP118" i="1"/>
  <c r="AH122" i="1"/>
  <c r="AH120" i="1"/>
  <c r="AP116" i="1"/>
  <c r="AJ116" i="1"/>
  <c r="AF124" i="1"/>
  <c r="AF122" i="1"/>
  <c r="AL114" i="1"/>
  <c r="AJ114" i="1"/>
  <c r="AH114" i="1"/>
  <c r="AD122" i="1"/>
  <c r="AD120" i="1"/>
  <c r="AP112" i="1"/>
  <c r="AJ112" i="1"/>
  <c r="AH112" i="1"/>
  <c r="AF112" i="1"/>
  <c r="AB124" i="1"/>
  <c r="AB122" i="1"/>
  <c r="AB116" i="1"/>
  <c r="AB114" i="1"/>
  <c r="AB112" i="1"/>
  <c r="AL110" i="1"/>
  <c r="AJ110" i="1"/>
  <c r="AD104" i="1"/>
  <c r="AB102" i="1"/>
  <c r="AF100" i="1"/>
  <c r="AL76" i="1"/>
  <c r="AJ76" i="1"/>
  <c r="AL72" i="1"/>
  <c r="AH76" i="1"/>
  <c r="AH72" i="1"/>
  <c r="AL70" i="1"/>
  <c r="AF76" i="1"/>
  <c r="AF72" i="1"/>
  <c r="AL68" i="1"/>
  <c r="AH68" i="1"/>
  <c r="AN66" i="1"/>
  <c r="AL66" i="1"/>
  <c r="AH66" i="1"/>
  <c r="AD72" i="1"/>
  <c r="AD68" i="1"/>
  <c r="AN64" i="1"/>
  <c r="AL64" i="1"/>
  <c r="AH64" i="1"/>
  <c r="AB72" i="1"/>
  <c r="AB68" i="1"/>
  <c r="AB66" i="1"/>
  <c r="AR23" i="1"/>
  <c r="AN23" i="1"/>
  <c r="AR21" i="1"/>
  <c r="AL25" i="1"/>
  <c r="AL23" i="1"/>
  <c r="AN19" i="1"/>
  <c r="AJ25" i="1"/>
  <c r="AJ23" i="1"/>
  <c r="AJ21" i="1"/>
  <c r="AJ19" i="1"/>
  <c r="AR15" i="1"/>
  <c r="AH23" i="1"/>
  <c r="AH21" i="1"/>
  <c r="AH19" i="1"/>
  <c r="AJ15" i="1"/>
  <c r="AR13" i="1"/>
  <c r="AP13" i="1"/>
  <c r="AJ13" i="1"/>
  <c r="AF21" i="1"/>
  <c r="AF19" i="1"/>
  <c r="AF15" i="1"/>
  <c r="AD25" i="1"/>
  <c r="AD23" i="1"/>
  <c r="AD21" i="1"/>
  <c r="AD19" i="1"/>
  <c r="AJ11" i="1"/>
  <c r="AH11" i="1"/>
  <c r="AF11" i="1"/>
  <c r="AR9" i="1"/>
  <c r="AP9" i="1"/>
  <c r="AJ9" i="1"/>
  <c r="AH9" i="1"/>
  <c r="AB21" i="1"/>
  <c r="AB19" i="1"/>
  <c r="AB13" i="1"/>
  <c r="AD9" i="1"/>
  <c r="BW156" i="1"/>
  <c r="BY158" i="1"/>
  <c r="CA154" i="1"/>
  <c r="CI124" i="1"/>
  <c r="CG124" i="1"/>
  <c r="CI120" i="1"/>
  <c r="CI118" i="1"/>
  <c r="CE124" i="1"/>
  <c r="CE120" i="1"/>
  <c r="CC122" i="1"/>
  <c r="CK116" i="1"/>
  <c r="CG116" i="1"/>
  <c r="CE116" i="1"/>
  <c r="CA124" i="1"/>
  <c r="CA120" i="1"/>
  <c r="CI114" i="1"/>
  <c r="CE114" i="1"/>
  <c r="CC114" i="1"/>
  <c r="CK112" i="1"/>
  <c r="CI112" i="1"/>
  <c r="CE112" i="1"/>
  <c r="BY120" i="1"/>
  <c r="BY116" i="1"/>
  <c r="BY114" i="1"/>
  <c r="BW124" i="1"/>
  <c r="BW122" i="1"/>
  <c r="BW120" i="1"/>
  <c r="BW116" i="1"/>
  <c r="CE110" i="1"/>
  <c r="CA110" i="1"/>
  <c r="BY110" i="1"/>
  <c r="BY104" i="1"/>
  <c r="CA100" i="1"/>
  <c r="BW102" i="1"/>
  <c r="CG76" i="1"/>
  <c r="CE76" i="1"/>
  <c r="CG72" i="1"/>
  <c r="CG70" i="1"/>
  <c r="CC76" i="1"/>
  <c r="CC72" i="1"/>
  <c r="CA74" i="1"/>
  <c r="CA72" i="1"/>
  <c r="CI68" i="1"/>
  <c r="CC68" i="1"/>
  <c r="CI66" i="1"/>
  <c r="BY74" i="1"/>
  <c r="BY72" i="1"/>
  <c r="CC66" i="1"/>
  <c r="CA66" i="1"/>
  <c r="BW76" i="1"/>
  <c r="BW74" i="1"/>
  <c r="BW72" i="1"/>
  <c r="CC64" i="1"/>
  <c r="CA64" i="1"/>
  <c r="BY64" i="1"/>
  <c r="FO158" i="1"/>
  <c r="FM158" i="1"/>
  <c r="FM156" i="1"/>
  <c r="FW76" i="1"/>
  <c r="FU76" i="1"/>
  <c r="FW72" i="1"/>
  <c r="FY70" i="1"/>
  <c r="FW70" i="1"/>
  <c r="FS72" i="1"/>
  <c r="FQ74" i="1"/>
  <c r="FQ72" i="1"/>
  <c r="FY68" i="1"/>
  <c r="FS68" i="1"/>
  <c r="FY66" i="1"/>
  <c r="FO74" i="1"/>
  <c r="FO72" i="1"/>
  <c r="FS66" i="1"/>
  <c r="FO68" i="1"/>
  <c r="FY64" i="1"/>
  <c r="FW64" i="1"/>
  <c r="FS64" i="1"/>
  <c r="FM72" i="1"/>
  <c r="FM68" i="1"/>
  <c r="FM66" i="1"/>
  <c r="GC23" i="1"/>
  <c r="FY23" i="1"/>
  <c r="GC21" i="1"/>
  <c r="FW25" i="1"/>
  <c r="FW23" i="1"/>
  <c r="FY19" i="1"/>
  <c r="FY17" i="1"/>
  <c r="FU25" i="1"/>
  <c r="FU23" i="1"/>
  <c r="FU19" i="1"/>
  <c r="FS23" i="1"/>
  <c r="FS21" i="1"/>
  <c r="FS19" i="1"/>
  <c r="FU15" i="1"/>
  <c r="FY13" i="1"/>
  <c r="FU13" i="1"/>
  <c r="FQ25" i="1"/>
  <c r="FQ23" i="1"/>
  <c r="FQ19" i="1"/>
  <c r="FQ15" i="1"/>
  <c r="FO25" i="1"/>
  <c r="FO23" i="1"/>
  <c r="FO19" i="1"/>
  <c r="FY11" i="1"/>
  <c r="FU11" i="1"/>
  <c r="FO15" i="1"/>
  <c r="FQ11" i="1"/>
  <c r="GC9" i="1"/>
  <c r="GA9" i="1"/>
  <c r="FY9" i="1"/>
  <c r="FM19" i="1"/>
  <c r="FM17" i="1"/>
  <c r="FM15" i="1"/>
  <c r="FQ9" i="1"/>
  <c r="FM11" i="1"/>
  <c r="FY124" i="1"/>
  <c r="FW124" i="1"/>
  <c r="FM124" i="1"/>
  <c r="FS122" i="1"/>
  <c r="FQ122" i="1"/>
  <c r="FO122" i="1"/>
  <c r="FM122" i="1"/>
  <c r="FY120" i="1"/>
  <c r="FU120" i="1"/>
  <c r="FS120" i="1"/>
  <c r="FO120" i="1"/>
  <c r="FY118" i="1"/>
  <c r="FU116" i="1"/>
  <c r="FQ116" i="1"/>
  <c r="FM116" i="1"/>
  <c r="FW114" i="1"/>
  <c r="FU114" i="1"/>
  <c r="FO114" i="1"/>
  <c r="FM114" i="1"/>
  <c r="FU112" i="1"/>
  <c r="FS112" i="1"/>
  <c r="FM112" i="1"/>
  <c r="FW110" i="1"/>
  <c r="FU110" i="1"/>
  <c r="FM104" i="1"/>
  <c r="FQ102" i="1"/>
  <c r="FO100" i="1"/>
  <c r="DV156" i="1"/>
  <c r="DR158" i="1"/>
  <c r="DT154" i="1"/>
  <c r="ED124" i="1"/>
  <c r="EB124" i="1"/>
  <c r="ED120" i="1"/>
  <c r="EF118" i="1"/>
  <c r="DZ120" i="1"/>
  <c r="ED118" i="1"/>
  <c r="DX122" i="1"/>
  <c r="DX120" i="1"/>
  <c r="EF116" i="1"/>
  <c r="DZ116" i="1"/>
  <c r="EF114" i="1"/>
  <c r="DV122" i="1"/>
  <c r="EB114" i="1"/>
  <c r="DZ114" i="1"/>
  <c r="DV116" i="1"/>
  <c r="EF112" i="1"/>
  <c r="DT122" i="1"/>
  <c r="DT120" i="1"/>
  <c r="DZ112" i="1"/>
  <c r="DX112" i="1"/>
  <c r="DT114" i="1"/>
  <c r="EB110" i="1"/>
  <c r="DZ110" i="1"/>
  <c r="DR124" i="1"/>
  <c r="DR122" i="1"/>
  <c r="DR116" i="1"/>
  <c r="DR114" i="1"/>
  <c r="DR112" i="1"/>
  <c r="DV102" i="1"/>
  <c r="DR104" i="1"/>
  <c r="DT100" i="1"/>
  <c r="AT156" i="12" l="1"/>
  <c r="AY139" i="12" s="1"/>
  <c r="AY141" i="12" s="1"/>
  <c r="AR156" i="12"/>
  <c r="G88" i="12"/>
  <c r="AB74" i="12" s="1"/>
  <c r="E88" i="12"/>
  <c r="M88" i="12"/>
  <c r="AH76" i="12" s="1"/>
  <c r="K88" i="12"/>
  <c r="I88" i="12"/>
  <c r="AD84" i="12" s="1"/>
  <c r="O48" i="12"/>
  <c r="AJ30" i="12" s="1"/>
  <c r="AL30" i="12"/>
  <c r="AL38" i="12"/>
  <c r="AL46" i="12"/>
  <c r="AL42" i="12"/>
  <c r="E48" i="12"/>
  <c r="AL44" i="12"/>
  <c r="AL32" i="12"/>
  <c r="AL34" i="12"/>
  <c r="AJ82" i="12"/>
  <c r="AL40" i="12"/>
  <c r="AL78" i="12"/>
  <c r="U48" i="12"/>
  <c r="AP30" i="12" s="1"/>
  <c r="M48" i="12"/>
  <c r="AN30" i="12"/>
  <c r="G48" i="12"/>
  <c r="AB44" i="12" s="1"/>
  <c r="K48" i="12"/>
  <c r="I48" i="12"/>
  <c r="AD36" i="12" s="1"/>
  <c r="S184" i="12"/>
  <c r="S182" i="12"/>
  <c r="S178" i="12"/>
  <c r="O182" i="12"/>
  <c r="O178" i="12"/>
  <c r="O184" i="12"/>
  <c r="O180" i="12"/>
  <c r="U180" i="12" s="1"/>
  <c r="P113" i="12"/>
  <c r="P107" i="12"/>
  <c r="P109" i="12"/>
  <c r="P111" i="12"/>
  <c r="N113" i="12"/>
  <c r="N109" i="12"/>
  <c r="N111" i="12"/>
  <c r="I113" i="12"/>
  <c r="R107" i="12" s="1"/>
  <c r="EB76" i="1"/>
  <c r="DZ76" i="1"/>
  <c r="EB72" i="1"/>
  <c r="DX76" i="1"/>
  <c r="DX72" i="1"/>
  <c r="EB70" i="1"/>
  <c r="ED68" i="1"/>
  <c r="DV74" i="1"/>
  <c r="DV72" i="1"/>
  <c r="DX68" i="1"/>
  <c r="ED66" i="1"/>
  <c r="DX66" i="1"/>
  <c r="DT74" i="1"/>
  <c r="DT72" i="1"/>
  <c r="DT68" i="1"/>
  <c r="ED64" i="1"/>
  <c r="DR74" i="1"/>
  <c r="DR72" i="1"/>
  <c r="DX64" i="1"/>
  <c r="DR68" i="1"/>
  <c r="DT64" i="1"/>
  <c r="EH23" i="1"/>
  <c r="EH21" i="1"/>
  <c r="ED23" i="1"/>
  <c r="EB25" i="1"/>
  <c r="EB23" i="1"/>
  <c r="ED19" i="1"/>
  <c r="DZ25" i="1"/>
  <c r="EF17" i="1"/>
  <c r="ED17" i="1"/>
  <c r="DZ19" i="1"/>
  <c r="EH15" i="1"/>
  <c r="ED15" i="1"/>
  <c r="DX23" i="1"/>
  <c r="DX19" i="1"/>
  <c r="DX17" i="1"/>
  <c r="EH13" i="1"/>
  <c r="DV23" i="1"/>
  <c r="ED13" i="1"/>
  <c r="DV19" i="1"/>
  <c r="DZ13" i="1"/>
  <c r="DV15" i="1"/>
  <c r="DT23" i="1"/>
  <c r="DT19" i="1"/>
  <c r="DT15" i="1"/>
  <c r="EH11" i="1"/>
  <c r="ED11" i="1"/>
  <c r="DZ11" i="1"/>
  <c r="DV11" i="1"/>
  <c r="EH9" i="1"/>
  <c r="EF9" i="1"/>
  <c r="ED9" i="1"/>
  <c r="EB9" i="1"/>
  <c r="DR17" i="1"/>
  <c r="DR15" i="1"/>
  <c r="DR13" i="1"/>
  <c r="DR11" i="1"/>
  <c r="AH74" i="12" l="1"/>
  <c r="AH78" i="12"/>
  <c r="AH80" i="12"/>
  <c r="AH82" i="12"/>
  <c r="AH86" i="12"/>
  <c r="AH84" i="12"/>
  <c r="AB78" i="12"/>
  <c r="AB86" i="12"/>
  <c r="AB82" i="12"/>
  <c r="AB80" i="12"/>
  <c r="AB76" i="12"/>
  <c r="AB84" i="12"/>
  <c r="AH34" i="12"/>
  <c r="AH32" i="12"/>
  <c r="AD86" i="12"/>
  <c r="AD76" i="12"/>
  <c r="AD78" i="12"/>
  <c r="AD74" i="12"/>
  <c r="AD82" i="12"/>
  <c r="AD80" i="12"/>
  <c r="Z38" i="12"/>
  <c r="Z36" i="12"/>
  <c r="AP44" i="12"/>
  <c r="AP42" i="12"/>
  <c r="AP40" i="12"/>
  <c r="AF38" i="12"/>
  <c r="AF34" i="12"/>
  <c r="Z34" i="12"/>
  <c r="Z30" i="12"/>
  <c r="AJ44" i="12"/>
  <c r="AJ42" i="12"/>
  <c r="AJ40" i="12"/>
  <c r="AJ36" i="12"/>
  <c r="AJ46" i="12"/>
  <c r="AJ34" i="12"/>
  <c r="AJ38" i="12"/>
  <c r="AJ32" i="12"/>
  <c r="Z42" i="12"/>
  <c r="AJ86" i="12"/>
  <c r="AJ74" i="12"/>
  <c r="AF44" i="12"/>
  <c r="AF32" i="12"/>
  <c r="AN44" i="12"/>
  <c r="AN40" i="12"/>
  <c r="AN42" i="12"/>
  <c r="AN36" i="12"/>
  <c r="AN46" i="12"/>
  <c r="AN38" i="12"/>
  <c r="AN32" i="12"/>
  <c r="AF80" i="12"/>
  <c r="AF84" i="12"/>
  <c r="AF86" i="12"/>
  <c r="AF74" i="12"/>
  <c r="AF82" i="12"/>
  <c r="AF78" i="12"/>
  <c r="AB32" i="12"/>
  <c r="AB38" i="12"/>
  <c r="AB34" i="12"/>
  <c r="AB36" i="12"/>
  <c r="AB42" i="12"/>
  <c r="AB40" i="12"/>
  <c r="AD34" i="12"/>
  <c r="AD38" i="12"/>
  <c r="AD46" i="12"/>
  <c r="AD32" i="12"/>
  <c r="AD30" i="12"/>
  <c r="AH38" i="12"/>
  <c r="AH30" i="12"/>
  <c r="AH40" i="12"/>
  <c r="AH42" i="12"/>
  <c r="AH44" i="12"/>
  <c r="AH36" i="12"/>
  <c r="Z74" i="12"/>
  <c r="Z80" i="12"/>
  <c r="Z78" i="12"/>
  <c r="Z86" i="12"/>
  <c r="Z76" i="12"/>
  <c r="AD44" i="12"/>
  <c r="AD40" i="12"/>
  <c r="AD42" i="12"/>
  <c r="Z46" i="12"/>
  <c r="Z32" i="12"/>
  <c r="Z44" i="12"/>
  <c r="Z40" i="12"/>
  <c r="AH46" i="12"/>
  <c r="AF36" i="12"/>
  <c r="AF42" i="12"/>
  <c r="AF40" i="12"/>
  <c r="AF46" i="12"/>
  <c r="AF30" i="12"/>
  <c r="AP46" i="12"/>
  <c r="AP36" i="12"/>
  <c r="AP38" i="12"/>
  <c r="AP32" i="12"/>
  <c r="AB46" i="12"/>
  <c r="AL86" i="12"/>
  <c r="AL84" i="12"/>
  <c r="AL80" i="12"/>
  <c r="AL74" i="12"/>
  <c r="AF76" i="12"/>
  <c r="AJ84" i="12"/>
  <c r="AJ80" i="12"/>
  <c r="AJ76" i="12"/>
  <c r="AJ78" i="12"/>
  <c r="AL76" i="12"/>
  <c r="Z84" i="12"/>
  <c r="AB30" i="12"/>
  <c r="Z82" i="12"/>
  <c r="AP34" i="12"/>
  <c r="U182" i="12"/>
  <c r="AL48" i="12"/>
  <c r="U178" i="12"/>
  <c r="T107" i="12"/>
  <c r="R111" i="12"/>
  <c r="T111" i="12" s="1"/>
  <c r="R113" i="12"/>
  <c r="R109" i="12"/>
  <c r="T109" i="12" s="1"/>
  <c r="AN82" i="12" l="1"/>
  <c r="AP82" i="12" s="1"/>
  <c r="AR82" i="12" s="1"/>
  <c r="AN74" i="12"/>
  <c r="AP74" i="12" s="1"/>
  <c r="AR74" i="12" s="1"/>
  <c r="AH88" i="12"/>
  <c r="AB88" i="12"/>
  <c r="AR38" i="12"/>
  <c r="AD88" i="12"/>
  <c r="AR32" i="12"/>
  <c r="AP48" i="12"/>
  <c r="AJ48" i="12"/>
  <c r="T113" i="12"/>
  <c r="V107" i="12" s="1"/>
  <c r="AR44" i="12"/>
  <c r="AB48" i="12"/>
  <c r="AF48" i="12"/>
  <c r="AN48" i="12"/>
  <c r="AR46" i="12"/>
  <c r="AR40" i="12"/>
  <c r="AR36" i="12"/>
  <c r="AD48" i="12"/>
  <c r="AR34" i="12"/>
  <c r="AR30" i="12"/>
  <c r="AJ88" i="12"/>
  <c r="AH48" i="12"/>
  <c r="AR42" i="12"/>
  <c r="Z88" i="12"/>
  <c r="Z48" i="12"/>
  <c r="AL88" i="12"/>
  <c r="AN86" i="12"/>
  <c r="AP86" i="12" s="1"/>
  <c r="AR86" i="12" s="1"/>
  <c r="AN84" i="12"/>
  <c r="AP84" i="12" s="1"/>
  <c r="AR84" i="12" s="1"/>
  <c r="AN78" i="12"/>
  <c r="AP78" i="12" s="1"/>
  <c r="AR78" i="12" s="1"/>
  <c r="AN76" i="12"/>
  <c r="AP76" i="12" s="1"/>
  <c r="AR76" i="12" s="1"/>
  <c r="AF88" i="12"/>
  <c r="AN80" i="12"/>
  <c r="AP80" i="12" s="1"/>
  <c r="AR80" i="12" s="1"/>
  <c r="U184" i="12"/>
  <c r="W182" i="12" s="1"/>
  <c r="Y182" i="12" s="1"/>
  <c r="W180" i="12" l="1"/>
  <c r="Y180" i="12" s="1"/>
  <c r="V111" i="12"/>
  <c r="X111" i="12" s="1"/>
  <c r="V109" i="12"/>
  <c r="X109" i="12" s="1"/>
  <c r="AR88" i="12"/>
  <c r="AV74" i="12" s="1"/>
  <c r="V113" i="12"/>
  <c r="X107" i="12"/>
  <c r="AR48" i="12"/>
  <c r="AT40" i="12" s="1"/>
  <c r="W184" i="12"/>
  <c r="AN88" i="12"/>
  <c r="AP88" i="12" s="1"/>
  <c r="W178" i="12"/>
  <c r="Y178" i="12" s="1"/>
  <c r="Y184" i="12" l="1"/>
  <c r="X113" i="12"/>
  <c r="AB108" i="12" s="1"/>
  <c r="AV76" i="12"/>
  <c r="AT32" i="12"/>
  <c r="AV32" i="12" s="1"/>
  <c r="AT38" i="12"/>
  <c r="AV38" i="12" s="1"/>
  <c r="AV40" i="12"/>
  <c r="AT36" i="12"/>
  <c r="AV36" i="12" s="1"/>
  <c r="AT46" i="12"/>
  <c r="AV46" i="12" s="1"/>
  <c r="AT30" i="12"/>
  <c r="AV30" i="12" s="1"/>
  <c r="AT34" i="12"/>
  <c r="AV34" i="12" s="1"/>
  <c r="AT42" i="12"/>
  <c r="AV42" i="12" s="1"/>
  <c r="AT44" i="12"/>
  <c r="AV44" i="12" s="1"/>
  <c r="AC176" i="12" l="1"/>
  <c r="AC178" i="12" s="1"/>
  <c r="AV48" i="12"/>
  <c r="AZ47" i="12" s="1"/>
  <c r="AT48" i="12"/>
  <c r="BA29" i="12" l="1"/>
  <c r="BA31" i="12" s="1"/>
</calcChain>
</file>

<file path=xl/sharedStrings.xml><?xml version="1.0" encoding="utf-8"?>
<sst xmlns="http://schemas.openxmlformats.org/spreadsheetml/2006/main" count="5366" uniqueCount="123">
  <si>
    <t>RESPONDEN 1</t>
  </si>
  <si>
    <t>RELIABILITAS</t>
  </si>
  <si>
    <t>Atribut A</t>
  </si>
  <si>
    <t>Atribut B</t>
  </si>
  <si>
    <t>Kesesuaian Jumlah Produk</t>
  </si>
  <si>
    <t>Kesesuaian Jenis Produk</t>
  </si>
  <si>
    <t>Kesesuaian Lokasi Pengiriman</t>
  </si>
  <si>
    <t>Kesesuaian Waktu Pengiriman</t>
  </si>
  <si>
    <t>Akurasi Kondisi Pesanan</t>
  </si>
  <si>
    <t>Kualitas Produk</t>
  </si>
  <si>
    <t>RESPONSIVITAS</t>
  </si>
  <si>
    <t>Waktu Siklus Pemenuhan</t>
  </si>
  <si>
    <t>FLEKSIBILITAS</t>
  </si>
  <si>
    <t>Fleksibilitas Rantai Pasok</t>
  </si>
  <si>
    <t>Fleksibilitas Penyediaan</t>
  </si>
  <si>
    <t xml:space="preserve">Fleksibilitas Pengiriman </t>
  </si>
  <si>
    <t>BIAYA</t>
  </si>
  <si>
    <t>Biaya Rantai Pasok</t>
  </si>
  <si>
    <t>Biaya Penyediaan</t>
  </si>
  <si>
    <t>Biaya Penyimpanan</t>
  </si>
  <si>
    <t>Biaya Pengemasan</t>
  </si>
  <si>
    <t>Biaya Pengiriman</t>
  </si>
  <si>
    <t>Biaya Sewa</t>
  </si>
  <si>
    <t>ASET</t>
  </si>
  <si>
    <t>Siklus kas</t>
  </si>
  <si>
    <t>Waktu Tagihan</t>
  </si>
  <si>
    <t>Waktu Pembayaran</t>
  </si>
  <si>
    <t>Waktu Pemilihan Pemasok</t>
  </si>
  <si>
    <t>Waktu lama terima produk</t>
  </si>
  <si>
    <t>Waktu Penjadwalan Pengiriman</t>
  </si>
  <si>
    <t xml:space="preserve">Lama Pengangkutan </t>
  </si>
  <si>
    <t>Biaya Pembelian</t>
  </si>
  <si>
    <t xml:space="preserve">Kesesuaian Lokasi pengiriman </t>
  </si>
  <si>
    <t xml:space="preserve">Kualitas Produk </t>
  </si>
  <si>
    <t>RESPONDEN 2</t>
  </si>
  <si>
    <t>RESPONDEN 3</t>
  </si>
  <si>
    <t>BATUR</t>
  </si>
  <si>
    <t>No</t>
  </si>
  <si>
    <t>Nama</t>
  </si>
  <si>
    <t>Desa</t>
  </si>
  <si>
    <t>Usia</t>
  </si>
  <si>
    <t>Pendidikan Terakhir</t>
  </si>
  <si>
    <t>SMA</t>
  </si>
  <si>
    <t>Rentang Usia</t>
  </si>
  <si>
    <t>Jumlah (Orang</t>
  </si>
  <si>
    <t>Presentase</t>
  </si>
  <si>
    <t>21-30</t>
  </si>
  <si>
    <t>31-40</t>
  </si>
  <si>
    <t>41-50</t>
  </si>
  <si>
    <t>51-60</t>
  </si>
  <si>
    <t>Pendidikan</t>
  </si>
  <si>
    <t>Jumlah (Orang)</t>
  </si>
  <si>
    <t>Persentase (%)</t>
  </si>
  <si>
    <t>SD</t>
  </si>
  <si>
    <t>SMP</t>
  </si>
  <si>
    <t>PT</t>
  </si>
  <si>
    <t>PASURENAN</t>
  </si>
  <si>
    <t>SUMBEREJO</t>
  </si>
  <si>
    <t>PEKASIRAN</t>
  </si>
  <si>
    <t>KEPAKISAN</t>
  </si>
  <si>
    <t>BAKAL</t>
  </si>
  <si>
    <t>KARANG TENGAH</t>
  </si>
  <si>
    <t xml:space="preserve">DIENG KULON </t>
  </si>
  <si>
    <t>RODIKIN</t>
  </si>
  <si>
    <t>SLAMET</t>
  </si>
  <si>
    <t>ROFIK</t>
  </si>
  <si>
    <t>AHMAD</t>
  </si>
  <si>
    <t>UDIN</t>
  </si>
  <si>
    <t>DIENG KULON</t>
  </si>
  <si>
    <t>BAMBANG</t>
  </si>
  <si>
    <t>BUDI</t>
  </si>
  <si>
    <t>FENDI</t>
  </si>
  <si>
    <t>SULAIMAN</t>
  </si>
  <si>
    <t>ANJAS</t>
  </si>
  <si>
    <t>SUTANTO</t>
  </si>
  <si>
    <t>MUSLIHAN</t>
  </si>
  <si>
    <t>SUKRON</t>
  </si>
  <si>
    <t>EDI</t>
  </si>
  <si>
    <t>Pemenuhan Pesanan Sempurna</t>
  </si>
  <si>
    <t>Pesanan Terkirim sesuai</t>
  </si>
  <si>
    <t>Bebas Kerusakan</t>
  </si>
  <si>
    <t>Waktu Siklus Pengadaan</t>
  </si>
  <si>
    <t xml:space="preserve">Waktu Siklus Pengangkutan </t>
  </si>
  <si>
    <t>Biaya Pengangkutan</t>
  </si>
  <si>
    <t>RESPONDEN 4</t>
  </si>
  <si>
    <t>Pesanan Terkirim Sesuai</t>
  </si>
  <si>
    <t xml:space="preserve">Bebas Kerusakan </t>
  </si>
  <si>
    <t>Waktu Lama Terima Produk</t>
  </si>
  <si>
    <t xml:space="preserve">Waktu Penjadwalan </t>
  </si>
  <si>
    <t>Waktu Siklus Pengangkutan</t>
  </si>
  <si>
    <t xml:space="preserve">Waktu Penjadwalan Pengiriman </t>
  </si>
  <si>
    <t>Lama Pengangkutan</t>
  </si>
  <si>
    <t>Siklus Kas</t>
  </si>
  <si>
    <t>RES 1</t>
  </si>
  <si>
    <t>RES 2</t>
  </si>
  <si>
    <t>RES 3</t>
  </si>
  <si>
    <t>RES 4</t>
  </si>
  <si>
    <t>RATA RATA</t>
  </si>
  <si>
    <t>TOTAL</t>
  </si>
  <si>
    <t>TOTAL BARIS</t>
  </si>
  <si>
    <t>PRIORITAS</t>
  </si>
  <si>
    <t>CI</t>
  </si>
  <si>
    <t>RI</t>
  </si>
  <si>
    <t>CR</t>
  </si>
  <si>
    <t>total</t>
  </si>
  <si>
    <t>EIGEN VALUE</t>
  </si>
  <si>
    <t>Total</t>
  </si>
  <si>
    <t>Subkriteria</t>
  </si>
  <si>
    <t>Skor</t>
  </si>
  <si>
    <t>Bobot</t>
  </si>
  <si>
    <t>Skor Terbobot</t>
  </si>
  <si>
    <t>Ranking</t>
  </si>
  <si>
    <t>Reliabilitas</t>
  </si>
  <si>
    <t xml:space="preserve">Kesesuaian Jumlah Terkirim </t>
  </si>
  <si>
    <t>Kondisi Pesanan</t>
  </si>
  <si>
    <t>Responsivitas</t>
  </si>
  <si>
    <t>Fleksibilitas</t>
  </si>
  <si>
    <t>Fleksibilitas Pengadaan</t>
  </si>
  <si>
    <t>Biaya</t>
  </si>
  <si>
    <t>Aset</t>
  </si>
  <si>
    <t>Lama Waktu Pembayaran</t>
  </si>
  <si>
    <t xml:space="preserve">Total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</si>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</sst>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3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0" borderId="1" xfId="0" applyBorder="1"/>
    <xf numFmtId="0" fontId="0" fillId="0" borderId="9" xfId="0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/>
    <xf numFmtId="0" fontId="1" fillId="4" borderId="0" xfId="0" applyFont="1" applyFill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66" fontId="0" fillId="0" borderId="0" xfId="0" applyNumberFormat="1" applyAlignment="1">
      <alignment horizontal="left" vertical="center" wrapText="1" indent="4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6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6" fontId="0" fillId="2" borderId="1" xfId="0" applyNumberForma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1" fillId="2" borderId="0" xfId="0" applyFont="1" applyFill="1" applyAlignment="1">
      <alignment horizontal="center"/>
    </xf>
    <xf numFmtId="166" fontId="0" fillId="4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166" fontId="0" fillId="0" borderId="7" xfId="0" applyNumberFormat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92B1-A4FA-44E6-895C-FD8ABA7419CC}">
  <dimension ref="B1:K105"/>
  <sheetViews>
    <sheetView topLeftCell="C1" workbookViewId="0">
      <selection activeCell="K6" sqref="K6"/>
    </sheetView>
  </sheetViews>
  <sheetFormatPr defaultRowHeight="14.5" x14ac:dyDescent="0.35"/>
  <cols>
    <col min="3" max="3" width="12.7265625" bestFit="1" customWidth="1"/>
    <col min="4" max="4" width="20.453125" bestFit="1" customWidth="1"/>
    <col min="6" max="6" width="18.7265625" bestFit="1" customWidth="1"/>
    <col min="9" max="9" width="12.453125" bestFit="1" customWidth="1"/>
    <col min="10" max="10" width="14.453125" bestFit="1" customWidth="1"/>
    <col min="11" max="11" width="14.26953125" bestFit="1" customWidth="1"/>
  </cols>
  <sheetData>
    <row r="1" spans="2:11" x14ac:dyDescent="0.35">
      <c r="E1" s="16"/>
    </row>
    <row r="2" spans="2:11" ht="18" x14ac:dyDescent="0.35">
      <c r="B2" s="58" t="s">
        <v>36</v>
      </c>
      <c r="C2" s="58"/>
      <c r="E2" s="16"/>
    </row>
    <row r="3" spans="2:11" ht="15.5" x14ac:dyDescent="0.35">
      <c r="B3" s="11" t="s">
        <v>37</v>
      </c>
      <c r="C3" s="11" t="s">
        <v>38</v>
      </c>
      <c r="D3" s="11" t="s">
        <v>39</v>
      </c>
      <c r="E3" s="17" t="s">
        <v>40</v>
      </c>
      <c r="F3" s="11" t="s">
        <v>41</v>
      </c>
      <c r="I3" s="11" t="s">
        <v>43</v>
      </c>
      <c r="J3" s="11" t="s">
        <v>44</v>
      </c>
      <c r="K3" s="11" t="s">
        <v>45</v>
      </c>
    </row>
    <row r="4" spans="2:11" ht="15.5" x14ac:dyDescent="0.35">
      <c r="B4" s="11">
        <v>1</v>
      </c>
      <c r="C4" s="11" t="s">
        <v>65</v>
      </c>
      <c r="D4" s="11" t="s">
        <v>57</v>
      </c>
      <c r="E4" s="23">
        <v>48</v>
      </c>
      <c r="F4" s="11" t="s">
        <v>55</v>
      </c>
      <c r="I4" s="19" t="s">
        <v>46</v>
      </c>
      <c r="J4" s="1"/>
      <c r="K4" s="31"/>
    </row>
    <row r="5" spans="2:11" ht="15.5" x14ac:dyDescent="0.35">
      <c r="B5" s="11">
        <v>2</v>
      </c>
      <c r="C5" s="11" t="s">
        <v>66</v>
      </c>
      <c r="D5" s="11" t="s">
        <v>57</v>
      </c>
      <c r="E5" s="24">
        <v>43</v>
      </c>
      <c r="F5" s="11" t="s">
        <v>42</v>
      </c>
      <c r="I5" s="20" t="s">
        <v>47</v>
      </c>
      <c r="J5" s="30">
        <v>4</v>
      </c>
      <c r="K5" s="12">
        <v>0.28999999999999998</v>
      </c>
    </row>
    <row r="6" spans="2:11" ht="15.5" x14ac:dyDescent="0.35">
      <c r="B6" s="11">
        <v>3</v>
      </c>
      <c r="C6" s="11" t="s">
        <v>67</v>
      </c>
      <c r="D6" s="11" t="s">
        <v>57</v>
      </c>
      <c r="E6" s="25">
        <v>50</v>
      </c>
      <c r="F6" s="11" t="s">
        <v>42</v>
      </c>
      <c r="I6" s="21" t="s">
        <v>48</v>
      </c>
      <c r="J6" s="1">
        <v>8</v>
      </c>
      <c r="K6" s="32">
        <v>0.56999999999999995</v>
      </c>
    </row>
    <row r="7" spans="2:11" x14ac:dyDescent="0.35">
      <c r="I7" s="22" t="s">
        <v>49</v>
      </c>
      <c r="J7" s="1">
        <v>2</v>
      </c>
      <c r="K7" s="12">
        <v>0.14000000000000001</v>
      </c>
    </row>
    <row r="8" spans="2:11" x14ac:dyDescent="0.35">
      <c r="K8" s="13"/>
    </row>
    <row r="9" spans="2:11" ht="15.5" x14ac:dyDescent="0.35">
      <c r="I9" s="11" t="s">
        <v>50</v>
      </c>
      <c r="J9" s="14" t="s">
        <v>51</v>
      </c>
      <c r="K9" s="14" t="s">
        <v>52</v>
      </c>
    </row>
    <row r="10" spans="2:11" ht="15.5" x14ac:dyDescent="0.35">
      <c r="I10" s="11" t="s">
        <v>53</v>
      </c>
      <c r="J10" s="11"/>
      <c r="K10" s="15"/>
    </row>
    <row r="11" spans="2:11" ht="15.5" x14ac:dyDescent="0.35">
      <c r="I11" s="11" t="s">
        <v>54</v>
      </c>
      <c r="J11" s="11">
        <v>1</v>
      </c>
      <c r="K11" s="15">
        <v>7.0000000000000007E-2</v>
      </c>
    </row>
    <row r="12" spans="2:11" ht="15.5" x14ac:dyDescent="0.35">
      <c r="I12" s="11" t="s">
        <v>42</v>
      </c>
      <c r="J12" s="11">
        <v>12</v>
      </c>
      <c r="K12" s="15">
        <v>0.86</v>
      </c>
    </row>
    <row r="13" spans="2:11" ht="15.5" x14ac:dyDescent="0.35">
      <c r="I13" s="11" t="s">
        <v>55</v>
      </c>
      <c r="J13" s="11">
        <v>1</v>
      </c>
      <c r="K13" s="15">
        <v>7.0000000000000007E-2</v>
      </c>
    </row>
    <row r="14" spans="2:11" x14ac:dyDescent="0.35">
      <c r="K14" s="13"/>
    </row>
    <row r="15" spans="2:11" ht="18" x14ac:dyDescent="0.35">
      <c r="B15" s="58" t="s">
        <v>56</v>
      </c>
      <c r="C15" s="58"/>
    </row>
    <row r="16" spans="2:11" ht="15.5" x14ac:dyDescent="0.35">
      <c r="B16" s="11" t="s">
        <v>37</v>
      </c>
      <c r="C16" s="11" t="s">
        <v>38</v>
      </c>
      <c r="D16" s="11" t="s">
        <v>39</v>
      </c>
      <c r="E16" s="17" t="s">
        <v>40</v>
      </c>
      <c r="F16" s="11" t="s">
        <v>41</v>
      </c>
      <c r="I16" s="18"/>
      <c r="J16" s="18"/>
      <c r="K16" s="18"/>
    </row>
    <row r="17" spans="2:11" ht="15.5" x14ac:dyDescent="0.35">
      <c r="B17" s="11">
        <v>1</v>
      </c>
      <c r="C17" s="11" t="s">
        <v>69</v>
      </c>
      <c r="D17" s="11" t="s">
        <v>56</v>
      </c>
      <c r="E17" s="23">
        <v>44</v>
      </c>
      <c r="F17" s="11" t="s">
        <v>42</v>
      </c>
      <c r="I17" s="18"/>
      <c r="J17" s="18"/>
      <c r="K17" s="18"/>
    </row>
    <row r="18" spans="2:11" ht="15.5" x14ac:dyDescent="0.35">
      <c r="B18" s="11">
        <v>2</v>
      </c>
      <c r="C18" s="11" t="s">
        <v>70</v>
      </c>
      <c r="D18" s="11" t="s">
        <v>56</v>
      </c>
      <c r="E18" s="26">
        <v>37</v>
      </c>
      <c r="F18" s="11" t="s">
        <v>42</v>
      </c>
      <c r="I18" s="18"/>
      <c r="J18" s="18"/>
      <c r="K18" s="18"/>
    </row>
    <row r="19" spans="2:11" ht="15" customHeight="1" x14ac:dyDescent="0.35">
      <c r="I19" s="18"/>
      <c r="J19" s="18"/>
      <c r="K19" s="18"/>
    </row>
    <row r="20" spans="2:11" ht="15" customHeight="1" x14ac:dyDescent="0.35">
      <c r="I20" s="18"/>
      <c r="J20" s="18"/>
      <c r="K20" s="18"/>
    </row>
    <row r="21" spans="2:11" ht="15" customHeight="1" x14ac:dyDescent="0.35">
      <c r="I21" s="18"/>
      <c r="J21" s="18"/>
      <c r="K21" s="18"/>
    </row>
    <row r="22" spans="2:11" ht="15.75" customHeight="1" x14ac:dyDescent="0.35">
      <c r="I22" s="18"/>
      <c r="J22" s="18"/>
      <c r="K22" s="18"/>
    </row>
    <row r="23" spans="2:11" ht="15.75" customHeight="1" x14ac:dyDescent="0.35">
      <c r="I23" s="18"/>
      <c r="J23" s="18"/>
      <c r="K23" s="18"/>
    </row>
    <row r="24" spans="2:11" ht="15.75" customHeight="1" x14ac:dyDescent="0.35">
      <c r="I24" s="18"/>
      <c r="J24" s="18"/>
      <c r="K24" s="18"/>
    </row>
    <row r="25" spans="2:11" ht="15.75" customHeight="1" x14ac:dyDescent="0.35">
      <c r="I25" s="18"/>
      <c r="J25" s="18"/>
      <c r="K25" s="18"/>
    </row>
    <row r="26" spans="2:11" ht="15.75" customHeight="1" x14ac:dyDescent="0.35">
      <c r="I26" s="18"/>
      <c r="J26" s="18"/>
      <c r="K26" s="18"/>
    </row>
    <row r="27" spans="2:11" ht="15" customHeight="1" x14ac:dyDescent="0.35">
      <c r="I27" s="18"/>
      <c r="J27" s="18"/>
      <c r="K27" s="18"/>
    </row>
    <row r="28" spans="2:11" ht="18" x14ac:dyDescent="0.35">
      <c r="B28" s="58" t="s">
        <v>57</v>
      </c>
      <c r="C28" s="58"/>
      <c r="I28" s="18"/>
      <c r="J28" s="18"/>
      <c r="K28" s="18"/>
    </row>
    <row r="29" spans="2:11" ht="15.5" x14ac:dyDescent="0.35">
      <c r="B29" s="11" t="s">
        <v>37</v>
      </c>
      <c r="C29" s="11" t="s">
        <v>38</v>
      </c>
      <c r="D29" s="11" t="s">
        <v>39</v>
      </c>
      <c r="E29" s="17" t="s">
        <v>40</v>
      </c>
      <c r="F29" s="11" t="s">
        <v>41</v>
      </c>
      <c r="I29" s="18"/>
      <c r="J29" s="18"/>
      <c r="K29" s="18"/>
    </row>
    <row r="30" spans="2:11" ht="15.5" x14ac:dyDescent="0.35">
      <c r="B30" s="11">
        <v>1</v>
      </c>
      <c r="C30" s="11" t="s">
        <v>71</v>
      </c>
      <c r="D30" s="11" t="s">
        <v>57</v>
      </c>
      <c r="E30" s="27">
        <v>36</v>
      </c>
      <c r="F30" s="11" t="s">
        <v>42</v>
      </c>
      <c r="I30" s="18"/>
      <c r="J30" s="18"/>
      <c r="K30" s="18"/>
    </row>
    <row r="31" spans="2:11" ht="15.5" x14ac:dyDescent="0.35">
      <c r="B31" s="11">
        <v>2</v>
      </c>
      <c r="C31" s="11" t="s">
        <v>72</v>
      </c>
      <c r="D31" s="11" t="s">
        <v>57</v>
      </c>
      <c r="E31" s="25">
        <v>47</v>
      </c>
      <c r="F31" s="11" t="s">
        <v>54</v>
      </c>
      <c r="I31" s="18"/>
      <c r="J31" s="18"/>
      <c r="K31" s="18"/>
    </row>
    <row r="32" spans="2:11" ht="15" customHeight="1" x14ac:dyDescent="0.35">
      <c r="I32" s="18"/>
      <c r="J32" s="18"/>
      <c r="K32" s="18"/>
    </row>
    <row r="33" spans="2:11" ht="15" customHeight="1" x14ac:dyDescent="0.35">
      <c r="I33" s="18"/>
      <c r="J33" s="18"/>
      <c r="K33" s="18"/>
    </row>
    <row r="34" spans="2:11" ht="15" customHeight="1" x14ac:dyDescent="0.35">
      <c r="I34" s="18"/>
      <c r="J34" s="18"/>
      <c r="K34" s="18"/>
    </row>
    <row r="35" spans="2:11" ht="15.75" customHeight="1" x14ac:dyDescent="0.35">
      <c r="I35" s="18"/>
      <c r="J35" s="18"/>
      <c r="K35" s="18"/>
    </row>
    <row r="36" spans="2:11" ht="15.75" customHeight="1" x14ac:dyDescent="0.35">
      <c r="I36" s="18"/>
      <c r="J36" s="18"/>
      <c r="K36" s="18"/>
    </row>
    <row r="37" spans="2:11" ht="15.75" customHeight="1" x14ac:dyDescent="0.35">
      <c r="I37" s="18"/>
      <c r="J37" s="18"/>
      <c r="K37" s="18"/>
    </row>
    <row r="38" spans="2:11" ht="15.75" customHeight="1" x14ac:dyDescent="0.35">
      <c r="I38" s="18"/>
      <c r="J38" s="18"/>
      <c r="K38" s="18"/>
    </row>
    <row r="39" spans="2:11" ht="15.75" customHeight="1" x14ac:dyDescent="0.35">
      <c r="I39" s="18"/>
      <c r="J39" s="18"/>
      <c r="K39" s="18"/>
    </row>
    <row r="40" spans="2:11" ht="15" customHeight="1" x14ac:dyDescent="0.35">
      <c r="I40" s="18"/>
      <c r="J40" s="18"/>
      <c r="K40" s="18"/>
    </row>
    <row r="41" spans="2:11" ht="18" x14ac:dyDescent="0.35">
      <c r="B41" s="58" t="s">
        <v>59</v>
      </c>
      <c r="C41" s="58"/>
      <c r="I41" s="18"/>
      <c r="J41" s="18"/>
      <c r="K41" s="18"/>
    </row>
    <row r="42" spans="2:11" ht="15.5" x14ac:dyDescent="0.35">
      <c r="B42" s="11" t="s">
        <v>37</v>
      </c>
      <c r="C42" s="11" t="s">
        <v>38</v>
      </c>
      <c r="D42" s="11" t="s">
        <v>39</v>
      </c>
      <c r="E42" s="17" t="s">
        <v>40</v>
      </c>
      <c r="F42" s="11" t="s">
        <v>41</v>
      </c>
      <c r="I42" s="18"/>
      <c r="J42" s="18"/>
      <c r="K42" s="18"/>
    </row>
    <row r="43" spans="2:11" ht="15.5" x14ac:dyDescent="0.35">
      <c r="B43" s="11">
        <v>1</v>
      </c>
      <c r="C43" s="11" t="s">
        <v>63</v>
      </c>
      <c r="D43" s="11" t="s">
        <v>58</v>
      </c>
      <c r="E43" s="28">
        <v>53</v>
      </c>
      <c r="F43" s="11" t="s">
        <v>42</v>
      </c>
      <c r="I43" s="18"/>
      <c r="J43" s="18"/>
      <c r="K43" s="18"/>
    </row>
    <row r="44" spans="2:11" ht="15" customHeight="1" x14ac:dyDescent="0.35">
      <c r="I44" s="18"/>
      <c r="J44" s="18"/>
      <c r="K44" s="18"/>
    </row>
    <row r="45" spans="2:11" ht="15" customHeight="1" x14ac:dyDescent="0.35">
      <c r="I45" s="18"/>
      <c r="J45" s="18"/>
      <c r="K45" s="18"/>
    </row>
    <row r="46" spans="2:11" ht="15" customHeight="1" x14ac:dyDescent="0.35">
      <c r="I46" s="18"/>
      <c r="J46" s="18"/>
      <c r="K46" s="18"/>
    </row>
    <row r="47" spans="2:11" ht="15" customHeight="1" x14ac:dyDescent="0.35">
      <c r="I47" s="18"/>
      <c r="J47" s="18"/>
      <c r="K47" s="18"/>
    </row>
    <row r="48" spans="2:11" ht="15.75" customHeight="1" x14ac:dyDescent="0.35">
      <c r="I48" s="18"/>
      <c r="J48" s="18"/>
      <c r="K48" s="18"/>
    </row>
    <row r="49" spans="2:11" ht="15.75" customHeight="1" x14ac:dyDescent="0.35">
      <c r="I49" s="18"/>
      <c r="J49" s="18"/>
      <c r="K49" s="18"/>
    </row>
    <row r="50" spans="2:11" ht="15.75" customHeight="1" x14ac:dyDescent="0.35">
      <c r="I50" s="18"/>
      <c r="J50" s="18"/>
      <c r="K50" s="18"/>
    </row>
    <row r="51" spans="2:11" ht="15.75" customHeight="1" x14ac:dyDescent="0.35">
      <c r="I51" s="18"/>
      <c r="J51" s="18"/>
      <c r="K51" s="18"/>
    </row>
    <row r="52" spans="2:11" ht="15.75" customHeight="1" x14ac:dyDescent="0.35">
      <c r="I52" s="18"/>
      <c r="J52" s="18"/>
      <c r="K52" s="18"/>
    </row>
    <row r="53" spans="2:11" ht="15" customHeight="1" x14ac:dyDescent="0.35">
      <c r="I53" s="18"/>
      <c r="J53" s="18"/>
      <c r="K53" s="18"/>
    </row>
    <row r="54" spans="2:11" ht="18" x14ac:dyDescent="0.35">
      <c r="B54" s="58" t="s">
        <v>60</v>
      </c>
      <c r="C54" s="58"/>
      <c r="I54" s="18"/>
      <c r="J54" s="18"/>
      <c r="K54" s="18"/>
    </row>
    <row r="55" spans="2:11" ht="15.5" x14ac:dyDescent="0.35">
      <c r="B55" s="11" t="s">
        <v>37</v>
      </c>
      <c r="C55" s="11" t="s">
        <v>38</v>
      </c>
      <c r="D55" s="11" t="s">
        <v>39</v>
      </c>
      <c r="E55" s="17" t="s">
        <v>40</v>
      </c>
      <c r="F55" s="11" t="s">
        <v>41</v>
      </c>
      <c r="I55" s="18"/>
      <c r="J55" s="18"/>
      <c r="K55" s="18"/>
    </row>
    <row r="56" spans="2:11" ht="15.5" x14ac:dyDescent="0.35">
      <c r="B56" s="11">
        <v>1</v>
      </c>
      <c r="C56" s="11" t="s">
        <v>74</v>
      </c>
      <c r="D56" s="11" t="s">
        <v>60</v>
      </c>
      <c r="E56" s="23">
        <v>43</v>
      </c>
      <c r="F56" s="11" t="s">
        <v>42</v>
      </c>
      <c r="I56" s="18"/>
      <c r="J56" s="18"/>
      <c r="K56" s="18"/>
    </row>
    <row r="57" spans="2:11" ht="15.5" x14ac:dyDescent="0.35">
      <c r="B57" s="11">
        <v>2</v>
      </c>
      <c r="C57" s="11" t="s">
        <v>75</v>
      </c>
      <c r="D57" s="11" t="s">
        <v>60</v>
      </c>
      <c r="E57" s="25">
        <v>50</v>
      </c>
      <c r="F57" s="11" t="s">
        <v>42</v>
      </c>
      <c r="I57" s="18"/>
      <c r="J57" s="18"/>
      <c r="K57" s="18"/>
    </row>
    <row r="58" spans="2:11" ht="15" customHeight="1" x14ac:dyDescent="0.35">
      <c r="I58" s="18"/>
      <c r="J58" s="18"/>
      <c r="K58" s="18"/>
    </row>
    <row r="59" spans="2:11" ht="15" customHeight="1" x14ac:dyDescent="0.35">
      <c r="I59" s="18"/>
      <c r="J59" s="18"/>
      <c r="K59" s="18"/>
    </row>
    <row r="60" spans="2:11" ht="15" customHeight="1" x14ac:dyDescent="0.35">
      <c r="I60" s="18"/>
      <c r="J60" s="18"/>
      <c r="K60" s="18"/>
    </row>
    <row r="61" spans="2:11" ht="15.75" customHeight="1" x14ac:dyDescent="0.35">
      <c r="I61" s="18"/>
      <c r="J61" s="18"/>
      <c r="K61" s="18"/>
    </row>
    <row r="62" spans="2:11" ht="15.75" customHeight="1" x14ac:dyDescent="0.35">
      <c r="I62" s="18"/>
      <c r="J62" s="18"/>
      <c r="K62" s="18"/>
    </row>
    <row r="63" spans="2:11" ht="15.75" customHeight="1" x14ac:dyDescent="0.35">
      <c r="I63" s="18"/>
      <c r="J63" s="18"/>
      <c r="K63" s="18"/>
    </row>
    <row r="64" spans="2:11" ht="15.75" customHeight="1" x14ac:dyDescent="0.35">
      <c r="I64" s="18"/>
      <c r="J64" s="18"/>
      <c r="K64" s="18"/>
    </row>
    <row r="65" spans="2:11" ht="15.75" customHeight="1" x14ac:dyDescent="0.35">
      <c r="I65" s="18"/>
      <c r="J65" s="18"/>
      <c r="K65" s="18"/>
    </row>
    <row r="66" spans="2:11" ht="15" customHeight="1" x14ac:dyDescent="0.35">
      <c r="I66" s="18"/>
      <c r="J66" s="18"/>
      <c r="K66" s="18"/>
    </row>
    <row r="67" spans="2:11" ht="18" x14ac:dyDescent="0.35">
      <c r="B67" s="58" t="s">
        <v>58</v>
      </c>
      <c r="C67" s="58"/>
      <c r="I67" s="18"/>
      <c r="J67" s="18"/>
      <c r="K67" s="18"/>
    </row>
    <row r="68" spans="2:11" ht="15.5" x14ac:dyDescent="0.35">
      <c r="B68" s="11" t="s">
        <v>37</v>
      </c>
      <c r="C68" s="11" t="s">
        <v>38</v>
      </c>
      <c r="D68" s="11" t="s">
        <v>39</v>
      </c>
      <c r="E68" s="17" t="s">
        <v>40</v>
      </c>
      <c r="F68" s="11" t="s">
        <v>41</v>
      </c>
      <c r="I68" s="18"/>
      <c r="J68" s="18"/>
      <c r="K68" s="18"/>
    </row>
    <row r="69" spans="2:11" ht="15.5" x14ac:dyDescent="0.35">
      <c r="B69" s="11">
        <v>1</v>
      </c>
      <c r="C69" s="11" t="s">
        <v>73</v>
      </c>
      <c r="D69" s="11" t="s">
        <v>58</v>
      </c>
      <c r="E69" s="27">
        <v>38</v>
      </c>
      <c r="F69" s="11" t="s">
        <v>42</v>
      </c>
      <c r="I69" s="18"/>
      <c r="J69" s="18"/>
      <c r="K69" s="18"/>
    </row>
    <row r="70" spans="2:11" ht="15" customHeight="1" x14ac:dyDescent="0.35">
      <c r="I70" s="18"/>
      <c r="J70" s="18"/>
      <c r="K70" s="18"/>
    </row>
    <row r="71" spans="2:11" ht="15" customHeight="1" x14ac:dyDescent="0.35">
      <c r="I71" s="18"/>
      <c r="J71" s="18"/>
      <c r="K71" s="18"/>
    </row>
    <row r="72" spans="2:11" ht="15" customHeight="1" x14ac:dyDescent="0.35">
      <c r="I72" s="18"/>
      <c r="J72" s="18"/>
      <c r="K72" s="18"/>
    </row>
    <row r="73" spans="2:11" ht="15" customHeight="1" x14ac:dyDescent="0.35">
      <c r="I73" s="18"/>
      <c r="J73" s="18"/>
      <c r="K73" s="18"/>
    </row>
    <row r="74" spans="2:11" ht="15.75" customHeight="1" x14ac:dyDescent="0.35">
      <c r="I74" s="18"/>
      <c r="J74" s="18"/>
      <c r="K74" s="18"/>
    </row>
    <row r="75" spans="2:11" ht="15.75" customHeight="1" x14ac:dyDescent="0.35">
      <c r="I75" s="18"/>
      <c r="J75" s="18"/>
      <c r="K75" s="18"/>
    </row>
    <row r="76" spans="2:11" ht="15.75" customHeight="1" x14ac:dyDescent="0.35">
      <c r="I76" s="18"/>
      <c r="J76" s="18"/>
      <c r="K76" s="18"/>
    </row>
    <row r="77" spans="2:11" ht="15.75" customHeight="1" x14ac:dyDescent="0.35">
      <c r="I77" s="18"/>
      <c r="J77" s="18"/>
      <c r="K77" s="18"/>
    </row>
    <row r="78" spans="2:11" ht="15.75" customHeight="1" x14ac:dyDescent="0.35">
      <c r="I78" s="18"/>
      <c r="J78" s="18"/>
      <c r="K78" s="18"/>
    </row>
    <row r="79" spans="2:11" ht="15" customHeight="1" x14ac:dyDescent="0.35">
      <c r="I79" s="18"/>
      <c r="J79" s="18"/>
      <c r="K79" s="18"/>
    </row>
    <row r="80" spans="2:11" ht="15" customHeight="1" x14ac:dyDescent="0.35">
      <c r="I80" s="18"/>
      <c r="J80" s="18"/>
      <c r="K80" s="18"/>
    </row>
    <row r="81" spans="2:11" ht="18" x14ac:dyDescent="0.35">
      <c r="B81" s="59" t="s">
        <v>61</v>
      </c>
      <c r="C81" s="59"/>
      <c r="D81" s="59"/>
      <c r="I81" s="18"/>
      <c r="J81" s="18"/>
      <c r="K81" s="18"/>
    </row>
    <row r="82" spans="2:11" ht="15.5" x14ac:dyDescent="0.35">
      <c r="B82" s="11" t="s">
        <v>37</v>
      </c>
      <c r="C82" s="11" t="s">
        <v>38</v>
      </c>
      <c r="D82" s="11" t="s">
        <v>39</v>
      </c>
      <c r="E82" s="17" t="s">
        <v>40</v>
      </c>
      <c r="F82" s="11" t="s">
        <v>41</v>
      </c>
      <c r="I82" s="18"/>
      <c r="J82" s="18"/>
      <c r="K82" s="18"/>
    </row>
    <row r="83" spans="2:11" ht="15.5" x14ac:dyDescent="0.35">
      <c r="B83" s="11">
        <v>1</v>
      </c>
      <c r="C83" s="11" t="s">
        <v>64</v>
      </c>
      <c r="D83" s="11" t="s">
        <v>61</v>
      </c>
      <c r="E83" s="23">
        <v>46</v>
      </c>
      <c r="F83" s="11" t="s">
        <v>42</v>
      </c>
      <c r="I83" s="18"/>
      <c r="J83" s="18"/>
      <c r="K83" s="18"/>
    </row>
    <row r="84" spans="2:11" ht="15" customHeight="1" x14ac:dyDescent="0.35">
      <c r="I84" s="18"/>
      <c r="J84" s="18"/>
      <c r="K84" s="18"/>
    </row>
    <row r="85" spans="2:11" ht="15" customHeight="1" x14ac:dyDescent="0.35">
      <c r="I85" s="18"/>
      <c r="J85" s="18"/>
      <c r="K85" s="18"/>
    </row>
    <row r="86" spans="2:11" ht="15" customHeight="1" x14ac:dyDescent="0.35">
      <c r="I86" s="18"/>
      <c r="J86" s="18"/>
      <c r="K86" s="18"/>
    </row>
    <row r="87" spans="2:11" ht="15" customHeight="1" x14ac:dyDescent="0.35">
      <c r="I87" s="18"/>
      <c r="J87" s="18"/>
      <c r="K87" s="18"/>
    </row>
    <row r="88" spans="2:11" ht="15.75" customHeight="1" x14ac:dyDescent="0.35">
      <c r="I88" s="18"/>
      <c r="J88" s="18"/>
      <c r="K88" s="18"/>
    </row>
    <row r="89" spans="2:11" ht="15.75" customHeight="1" x14ac:dyDescent="0.35">
      <c r="I89" s="18"/>
      <c r="J89" s="18"/>
      <c r="K89" s="18"/>
    </row>
    <row r="90" spans="2:11" ht="15.75" customHeight="1" x14ac:dyDescent="0.35">
      <c r="I90" s="18"/>
      <c r="J90" s="18"/>
      <c r="K90" s="18"/>
    </row>
    <row r="91" spans="2:11" ht="15.75" customHeight="1" x14ac:dyDescent="0.35">
      <c r="I91" s="18"/>
      <c r="J91" s="18"/>
      <c r="K91" s="18"/>
    </row>
    <row r="92" spans="2:11" ht="15.75" customHeight="1" x14ac:dyDescent="0.35">
      <c r="I92" s="18"/>
      <c r="J92" s="18"/>
      <c r="K92" s="18"/>
    </row>
    <row r="93" spans="2:11" ht="15" customHeight="1" x14ac:dyDescent="0.35">
      <c r="I93" s="18"/>
      <c r="J93" s="18"/>
      <c r="K93" s="18"/>
    </row>
    <row r="94" spans="2:11" ht="18" x14ac:dyDescent="0.35">
      <c r="B94" s="58" t="s">
        <v>62</v>
      </c>
      <c r="C94" s="58"/>
      <c r="I94" s="18"/>
      <c r="J94" s="18"/>
      <c r="K94" s="18"/>
    </row>
    <row r="95" spans="2:11" ht="15.5" x14ac:dyDescent="0.35">
      <c r="B95" s="11" t="s">
        <v>37</v>
      </c>
      <c r="C95" s="11" t="s">
        <v>38</v>
      </c>
      <c r="D95" s="11" t="s">
        <v>39</v>
      </c>
      <c r="E95" s="17" t="s">
        <v>40</v>
      </c>
      <c r="F95" s="11" t="s">
        <v>41</v>
      </c>
      <c r="I95" s="18"/>
      <c r="J95" s="18"/>
      <c r="K95" s="18"/>
    </row>
    <row r="96" spans="2:11" ht="15.5" x14ac:dyDescent="0.35">
      <c r="B96" s="11">
        <v>1</v>
      </c>
      <c r="C96" s="11" t="s">
        <v>76</v>
      </c>
      <c r="D96" s="11" t="s">
        <v>68</v>
      </c>
      <c r="E96" s="23">
        <v>48</v>
      </c>
      <c r="F96" s="11" t="s">
        <v>42</v>
      </c>
      <c r="I96" s="18"/>
      <c r="J96" s="18"/>
      <c r="K96" s="18"/>
    </row>
    <row r="97" spans="2:11" ht="15.5" x14ac:dyDescent="0.35">
      <c r="B97" s="11">
        <v>2</v>
      </c>
      <c r="C97" s="11" t="s">
        <v>77</v>
      </c>
      <c r="D97" s="11" t="s">
        <v>68</v>
      </c>
      <c r="E97" s="29">
        <v>55</v>
      </c>
      <c r="F97" s="11" t="s">
        <v>42</v>
      </c>
      <c r="I97" s="18"/>
      <c r="J97" s="18"/>
      <c r="K97" s="18"/>
    </row>
    <row r="98" spans="2:11" ht="15" customHeight="1" x14ac:dyDescent="0.35">
      <c r="I98" s="18"/>
      <c r="J98" s="18"/>
      <c r="K98" s="18"/>
    </row>
    <row r="99" spans="2:11" ht="15" customHeight="1" x14ac:dyDescent="0.35">
      <c r="I99" s="18"/>
      <c r="J99" s="18"/>
      <c r="K99" s="18"/>
    </row>
    <row r="100" spans="2:11" ht="15" customHeight="1" x14ac:dyDescent="0.35">
      <c r="I100" s="18"/>
      <c r="J100" s="18"/>
      <c r="K100" s="18"/>
    </row>
    <row r="101" spans="2:11" ht="15.75" customHeight="1" x14ac:dyDescent="0.35">
      <c r="I101" s="18"/>
      <c r="J101" s="18"/>
      <c r="K101" s="18"/>
    </row>
    <row r="102" spans="2:11" ht="15.75" customHeight="1" x14ac:dyDescent="0.35">
      <c r="I102" s="18"/>
      <c r="J102" s="18"/>
      <c r="K102" s="18"/>
    </row>
    <row r="103" spans="2:11" ht="15.75" customHeight="1" x14ac:dyDescent="0.35">
      <c r="I103" s="18"/>
      <c r="J103" s="18"/>
      <c r="K103" s="18"/>
    </row>
    <row r="104" spans="2:11" ht="15.75" customHeight="1" x14ac:dyDescent="0.35">
      <c r="I104" s="18"/>
      <c r="J104" s="18"/>
      <c r="K104" s="18"/>
    </row>
    <row r="105" spans="2:11" ht="15.75" customHeight="1" x14ac:dyDescent="0.35">
      <c r="I105" s="18"/>
      <c r="J105" s="18"/>
      <c r="K105" s="18"/>
    </row>
  </sheetData>
  <mergeCells count="8">
    <mergeCell ref="B94:C94"/>
    <mergeCell ref="B81:D81"/>
    <mergeCell ref="B2:C2"/>
    <mergeCell ref="B15:C15"/>
    <mergeCell ref="B28:C28"/>
    <mergeCell ref="B41:C41"/>
    <mergeCell ref="B54:C54"/>
    <mergeCell ref="B67:C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220E-7B59-4550-BFF8-D21324B325AB}">
  <dimension ref="A3:GD159"/>
  <sheetViews>
    <sheetView topLeftCell="EI1" zoomScale="42" zoomScaleNormal="100" workbookViewId="0">
      <selection activeCell="FK7" sqref="FK7:GD159"/>
    </sheetView>
  </sheetViews>
  <sheetFormatPr defaultRowHeight="14.5" x14ac:dyDescent="0.35"/>
  <cols>
    <col min="3" max="3" width="11.453125" customWidth="1"/>
    <col min="4" max="20" width="2.7265625" bestFit="1" customWidth="1"/>
    <col min="29" max="29" width="9.1796875" customWidth="1"/>
    <col min="50" max="50" width="11.453125" customWidth="1"/>
    <col min="51" max="67" width="2.453125" bestFit="1" customWidth="1"/>
    <col min="96" max="96" width="10.7265625" customWidth="1"/>
    <col min="97" max="97" width="11.26953125" customWidth="1"/>
    <col min="98" max="114" width="2.453125" bestFit="1" customWidth="1"/>
    <col min="131" max="131" width="11.453125" customWidth="1"/>
    <col min="145" max="161" width="2.453125" customWidth="1"/>
  </cols>
  <sheetData>
    <row r="3" spans="1:186" x14ac:dyDescent="0.35">
      <c r="D3" s="86" t="s">
        <v>0</v>
      </c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AY3" s="86" t="s">
        <v>34</v>
      </c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  <c r="BM3" s="86"/>
      <c r="BN3" s="86"/>
      <c r="BO3" s="86"/>
      <c r="CT3" s="86" t="s">
        <v>35</v>
      </c>
      <c r="CU3" s="86"/>
      <c r="CV3" s="86"/>
      <c r="CW3" s="86"/>
      <c r="CX3" s="86"/>
      <c r="CY3" s="86"/>
      <c r="CZ3" s="86"/>
      <c r="DA3" s="86"/>
      <c r="DB3" s="86"/>
      <c r="DC3" s="86"/>
      <c r="DD3" s="86"/>
      <c r="DE3" s="86"/>
      <c r="DF3" s="86"/>
      <c r="DG3" s="86"/>
      <c r="DH3" s="86"/>
      <c r="DI3" s="86"/>
      <c r="DJ3" s="86"/>
      <c r="EO3" s="86" t="s">
        <v>84</v>
      </c>
      <c r="EP3" s="86"/>
      <c r="EQ3" s="86"/>
      <c r="ER3" s="86"/>
      <c r="ES3" s="86"/>
      <c r="ET3" s="86"/>
      <c r="EU3" s="86"/>
      <c r="EV3" s="86"/>
      <c r="EW3" s="86"/>
      <c r="EX3" s="86"/>
      <c r="EY3" s="86"/>
      <c r="EZ3" s="86"/>
      <c r="FA3" s="86"/>
      <c r="FB3" s="86"/>
      <c r="FC3" s="86"/>
      <c r="FD3" s="86"/>
      <c r="FE3" s="86"/>
    </row>
    <row r="5" spans="1:186" x14ac:dyDescent="0.35">
      <c r="A5" s="85" t="s">
        <v>1</v>
      </c>
      <c r="B5" s="85"/>
      <c r="AV5" s="85" t="s">
        <v>1</v>
      </c>
      <c r="AW5" s="85"/>
      <c r="CQ5" s="85" t="s">
        <v>1</v>
      </c>
      <c r="CR5" s="85"/>
      <c r="EL5" s="85" t="s">
        <v>1</v>
      </c>
      <c r="EM5" s="85"/>
    </row>
    <row r="7" spans="1:186" ht="15" customHeight="1" x14ac:dyDescent="0.35">
      <c r="A7" s="79" t="s">
        <v>2</v>
      </c>
      <c r="B7" s="79"/>
      <c r="C7" s="79"/>
      <c r="D7" s="2">
        <v>9</v>
      </c>
      <c r="E7" s="2">
        <v>8</v>
      </c>
      <c r="F7" s="2">
        <v>7</v>
      </c>
      <c r="G7" s="2">
        <v>6</v>
      </c>
      <c r="H7" s="2">
        <v>5</v>
      </c>
      <c r="I7" s="2">
        <v>4</v>
      </c>
      <c r="J7" s="2">
        <v>3</v>
      </c>
      <c r="K7" s="2">
        <v>2</v>
      </c>
      <c r="L7" s="2">
        <v>1</v>
      </c>
      <c r="M7" s="2">
        <v>2</v>
      </c>
      <c r="N7" s="2">
        <v>3</v>
      </c>
      <c r="O7" s="2">
        <v>4</v>
      </c>
      <c r="P7" s="2">
        <v>5</v>
      </c>
      <c r="Q7" s="2">
        <v>6</v>
      </c>
      <c r="R7" s="2">
        <v>7</v>
      </c>
      <c r="S7" s="2">
        <v>8</v>
      </c>
      <c r="T7" s="2">
        <v>9</v>
      </c>
      <c r="U7" s="79" t="s">
        <v>3</v>
      </c>
      <c r="V7" s="79"/>
      <c r="W7" s="79"/>
      <c r="Z7" s="60"/>
      <c r="AA7" s="60"/>
      <c r="AB7" s="60" t="s">
        <v>78</v>
      </c>
      <c r="AC7" s="60"/>
      <c r="AD7" s="60" t="s">
        <v>79</v>
      </c>
      <c r="AE7" s="60"/>
      <c r="AF7" s="60" t="s">
        <v>4</v>
      </c>
      <c r="AG7" s="60"/>
      <c r="AH7" s="60" t="s">
        <v>5</v>
      </c>
      <c r="AI7" s="60"/>
      <c r="AJ7" s="60" t="s">
        <v>32</v>
      </c>
      <c r="AK7" s="60"/>
      <c r="AL7" s="60" t="s">
        <v>7</v>
      </c>
      <c r="AM7" s="60"/>
      <c r="AN7" s="60" t="s">
        <v>8</v>
      </c>
      <c r="AO7" s="60"/>
      <c r="AP7" s="60" t="s">
        <v>80</v>
      </c>
      <c r="AQ7" s="60"/>
      <c r="AR7" s="60" t="s">
        <v>33</v>
      </c>
      <c r="AS7" s="60"/>
      <c r="AV7" s="79" t="s">
        <v>2</v>
      </c>
      <c r="AW7" s="79"/>
      <c r="AX7" s="79"/>
      <c r="AY7" s="2">
        <v>9</v>
      </c>
      <c r="AZ7" s="2">
        <v>8</v>
      </c>
      <c r="BA7" s="2">
        <v>7</v>
      </c>
      <c r="BB7" s="2">
        <v>6</v>
      </c>
      <c r="BC7" s="2">
        <v>5</v>
      </c>
      <c r="BD7" s="2">
        <v>4</v>
      </c>
      <c r="BE7" s="2">
        <v>3</v>
      </c>
      <c r="BF7" s="2">
        <v>2</v>
      </c>
      <c r="BG7" s="2">
        <v>1</v>
      </c>
      <c r="BH7" s="2">
        <v>2</v>
      </c>
      <c r="BI7" s="2">
        <v>3</v>
      </c>
      <c r="BJ7" s="2">
        <v>4</v>
      </c>
      <c r="BK7" s="2">
        <v>5</v>
      </c>
      <c r="BL7" s="2">
        <v>6</v>
      </c>
      <c r="BM7" s="2">
        <v>7</v>
      </c>
      <c r="BN7" s="2">
        <v>8</v>
      </c>
      <c r="BO7" s="2">
        <v>9</v>
      </c>
      <c r="BP7" s="79" t="s">
        <v>3</v>
      </c>
      <c r="BQ7" s="79"/>
      <c r="BR7" s="79"/>
      <c r="BU7" s="60"/>
      <c r="BV7" s="60"/>
      <c r="BW7" s="60" t="s">
        <v>78</v>
      </c>
      <c r="BX7" s="60"/>
      <c r="BY7" s="60" t="s">
        <v>79</v>
      </c>
      <c r="BZ7" s="60"/>
      <c r="CA7" s="60" t="s">
        <v>4</v>
      </c>
      <c r="CB7" s="60"/>
      <c r="CC7" s="60" t="s">
        <v>5</v>
      </c>
      <c r="CD7" s="60"/>
      <c r="CE7" s="60" t="s">
        <v>32</v>
      </c>
      <c r="CF7" s="60"/>
      <c r="CG7" s="60" t="s">
        <v>7</v>
      </c>
      <c r="CH7" s="60"/>
      <c r="CI7" s="60" t="s">
        <v>8</v>
      </c>
      <c r="CJ7" s="60"/>
      <c r="CK7" s="60" t="s">
        <v>80</v>
      </c>
      <c r="CL7" s="60"/>
      <c r="CM7" s="60" t="s">
        <v>33</v>
      </c>
      <c r="CN7" s="60"/>
      <c r="CQ7" s="79" t="s">
        <v>2</v>
      </c>
      <c r="CR7" s="79"/>
      <c r="CS7" s="79"/>
      <c r="CT7" s="2">
        <v>9</v>
      </c>
      <c r="CU7" s="2">
        <v>8</v>
      </c>
      <c r="CV7" s="2">
        <v>7</v>
      </c>
      <c r="CW7" s="2">
        <v>6</v>
      </c>
      <c r="CX7" s="2">
        <v>5</v>
      </c>
      <c r="CY7" s="2">
        <v>4</v>
      </c>
      <c r="CZ7" s="2">
        <v>3</v>
      </c>
      <c r="DA7" s="2">
        <v>2</v>
      </c>
      <c r="DB7" s="2">
        <v>1</v>
      </c>
      <c r="DC7" s="2">
        <v>2</v>
      </c>
      <c r="DD7" s="2">
        <v>3</v>
      </c>
      <c r="DE7" s="2">
        <v>4</v>
      </c>
      <c r="DF7" s="2">
        <v>5</v>
      </c>
      <c r="DG7" s="2">
        <v>6</v>
      </c>
      <c r="DH7" s="2">
        <v>7</v>
      </c>
      <c r="DI7" s="2">
        <v>8</v>
      </c>
      <c r="DJ7" s="2">
        <v>9</v>
      </c>
      <c r="DK7" s="79" t="s">
        <v>3</v>
      </c>
      <c r="DL7" s="79"/>
      <c r="DM7" s="79"/>
      <c r="DP7" s="60"/>
      <c r="DQ7" s="60"/>
      <c r="DR7" s="60" t="s">
        <v>78</v>
      </c>
      <c r="DS7" s="60"/>
      <c r="DT7" s="60" t="s">
        <v>79</v>
      </c>
      <c r="DU7" s="60"/>
      <c r="DV7" s="60" t="s">
        <v>4</v>
      </c>
      <c r="DW7" s="60"/>
      <c r="DX7" s="60" t="s">
        <v>5</v>
      </c>
      <c r="DY7" s="60"/>
      <c r="DZ7" s="60" t="s">
        <v>32</v>
      </c>
      <c r="EA7" s="60"/>
      <c r="EB7" s="60" t="s">
        <v>7</v>
      </c>
      <c r="EC7" s="60"/>
      <c r="ED7" s="60" t="s">
        <v>8</v>
      </c>
      <c r="EE7" s="60"/>
      <c r="EF7" s="60" t="s">
        <v>80</v>
      </c>
      <c r="EG7" s="60"/>
      <c r="EH7" s="60" t="s">
        <v>33</v>
      </c>
      <c r="EI7" s="60"/>
      <c r="EL7" s="79" t="s">
        <v>2</v>
      </c>
      <c r="EM7" s="79"/>
      <c r="EN7" s="79"/>
      <c r="EO7" s="2">
        <v>9</v>
      </c>
      <c r="EP7" s="2">
        <v>8</v>
      </c>
      <c r="EQ7" s="2">
        <v>7</v>
      </c>
      <c r="ER7" s="2">
        <v>6</v>
      </c>
      <c r="ES7" s="2">
        <v>5</v>
      </c>
      <c r="ET7" s="2">
        <v>4</v>
      </c>
      <c r="EU7" s="2">
        <v>3</v>
      </c>
      <c r="EV7" s="2">
        <v>2</v>
      </c>
      <c r="EW7" s="2">
        <v>1</v>
      </c>
      <c r="EX7" s="2">
        <v>2</v>
      </c>
      <c r="EY7" s="2">
        <v>3</v>
      </c>
      <c r="EZ7" s="2">
        <v>4</v>
      </c>
      <c r="FA7" s="2">
        <v>5</v>
      </c>
      <c r="FB7" s="2">
        <v>6</v>
      </c>
      <c r="FC7" s="2">
        <v>7</v>
      </c>
      <c r="FD7" s="2">
        <v>8</v>
      </c>
      <c r="FE7" s="2">
        <v>9</v>
      </c>
      <c r="FF7" s="79" t="s">
        <v>3</v>
      </c>
      <c r="FG7" s="79"/>
      <c r="FH7" s="79"/>
      <c r="FK7" s="60"/>
      <c r="FL7" s="60"/>
      <c r="FM7" s="60" t="s">
        <v>78</v>
      </c>
      <c r="FN7" s="60"/>
      <c r="FO7" s="60" t="s">
        <v>79</v>
      </c>
      <c r="FP7" s="60"/>
      <c r="FQ7" s="60" t="s">
        <v>4</v>
      </c>
      <c r="FR7" s="60"/>
      <c r="FS7" s="60" t="s">
        <v>5</v>
      </c>
      <c r="FT7" s="60"/>
      <c r="FU7" s="60" t="s">
        <v>32</v>
      </c>
      <c r="FV7" s="60"/>
      <c r="FW7" s="60" t="s">
        <v>7</v>
      </c>
      <c r="FX7" s="60"/>
      <c r="FY7" s="60" t="s">
        <v>8</v>
      </c>
      <c r="FZ7" s="60"/>
      <c r="GA7" s="60" t="s">
        <v>80</v>
      </c>
      <c r="GB7" s="60"/>
      <c r="GC7" s="60" t="s">
        <v>33</v>
      </c>
      <c r="GD7" s="60"/>
    </row>
    <row r="8" spans="1:186" x14ac:dyDescent="0.35">
      <c r="A8" s="80" t="s">
        <v>78</v>
      </c>
      <c r="B8" s="80"/>
      <c r="C8" s="80"/>
      <c r="D8" s="2"/>
      <c r="E8" s="2"/>
      <c r="F8" s="2"/>
      <c r="G8" s="2"/>
      <c r="H8" s="2"/>
      <c r="I8" s="2"/>
      <c r="J8" s="10"/>
      <c r="K8" s="2"/>
      <c r="L8" s="2"/>
      <c r="M8" s="2"/>
      <c r="N8" s="4"/>
      <c r="O8" s="2"/>
      <c r="P8" s="2"/>
      <c r="Q8" s="2"/>
      <c r="R8" s="2"/>
      <c r="S8" s="2"/>
      <c r="T8" s="2"/>
      <c r="U8" s="80" t="s">
        <v>79</v>
      </c>
      <c r="V8" s="80"/>
      <c r="W8" s="8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V8" s="80" t="s">
        <v>78</v>
      </c>
      <c r="AW8" s="80"/>
      <c r="AX8" s="80"/>
      <c r="AY8" s="2"/>
      <c r="AZ8" s="2"/>
      <c r="BA8" s="2"/>
      <c r="BB8" s="2"/>
      <c r="BC8" s="2"/>
      <c r="BD8" s="2"/>
      <c r="BE8" s="10"/>
      <c r="BF8" s="2"/>
      <c r="BG8" s="2"/>
      <c r="BH8" s="2"/>
      <c r="BI8" s="4"/>
      <c r="BJ8" s="2"/>
      <c r="BK8" s="2"/>
      <c r="BL8" s="2"/>
      <c r="BM8" s="2"/>
      <c r="BN8" s="2"/>
      <c r="BO8" s="2"/>
      <c r="BP8" s="80" t="s">
        <v>79</v>
      </c>
      <c r="BQ8" s="80"/>
      <c r="BR8" s="8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Q8" s="80" t="s">
        <v>78</v>
      </c>
      <c r="CR8" s="80"/>
      <c r="CS8" s="80"/>
      <c r="CT8" s="2"/>
      <c r="CU8" s="2"/>
      <c r="CV8" s="2"/>
      <c r="CW8" s="2"/>
      <c r="CX8" s="2"/>
      <c r="CY8" s="2"/>
      <c r="CZ8" s="4"/>
      <c r="DA8" s="2"/>
      <c r="DB8" s="2"/>
      <c r="DC8" s="2"/>
      <c r="DD8" s="4"/>
      <c r="DE8" s="2"/>
      <c r="DF8" s="2"/>
      <c r="DG8" s="2"/>
      <c r="DH8" s="2"/>
      <c r="DI8" s="2"/>
      <c r="DJ8" s="10"/>
      <c r="DK8" s="80" t="s">
        <v>79</v>
      </c>
      <c r="DL8" s="80"/>
      <c r="DM8" s="8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L8" s="80" t="s">
        <v>78</v>
      </c>
      <c r="EM8" s="80"/>
      <c r="EN8" s="80"/>
      <c r="EO8" s="2"/>
      <c r="EQ8" s="2"/>
      <c r="ER8" s="2"/>
      <c r="ES8" s="2"/>
      <c r="ET8" s="2"/>
      <c r="EU8" s="4"/>
      <c r="EV8" s="2"/>
      <c r="EW8" s="2"/>
      <c r="EX8" s="2"/>
      <c r="EY8" s="10"/>
      <c r="EZ8" s="2"/>
      <c r="FA8" s="2"/>
      <c r="FB8" s="2"/>
      <c r="FC8" s="2"/>
      <c r="FD8" s="2"/>
      <c r="FE8" s="2"/>
      <c r="FF8" s="80" t="s">
        <v>79</v>
      </c>
      <c r="FG8" s="80"/>
      <c r="FH8" s="8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</row>
    <row r="9" spans="1:186" ht="15" customHeight="1" x14ac:dyDescent="0.35">
      <c r="A9" s="80" t="s">
        <v>78</v>
      </c>
      <c r="B9" s="80"/>
      <c r="C9" s="8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T9" s="2"/>
      <c r="U9" s="80" t="s">
        <v>4</v>
      </c>
      <c r="V9" s="80"/>
      <c r="W9" s="80"/>
      <c r="Z9" s="60" t="s">
        <v>78</v>
      </c>
      <c r="AA9" s="60"/>
      <c r="AB9" s="62">
        <v>1</v>
      </c>
      <c r="AC9" s="62"/>
      <c r="AD9" s="60">
        <f>1/3</f>
        <v>0.33333333333333331</v>
      </c>
      <c r="AE9" s="60"/>
      <c r="AF9" s="63">
        <v>5</v>
      </c>
      <c r="AG9" s="64"/>
      <c r="AH9" s="60">
        <f>1/7</f>
        <v>0.14285714285714285</v>
      </c>
      <c r="AI9" s="60"/>
      <c r="AJ9" s="60">
        <f>1/9</f>
        <v>0.1111111111111111</v>
      </c>
      <c r="AK9" s="60"/>
      <c r="AL9" s="60">
        <v>3</v>
      </c>
      <c r="AM9" s="60"/>
      <c r="AN9" s="60">
        <v>5</v>
      </c>
      <c r="AO9" s="60"/>
      <c r="AP9" s="60">
        <f>1/2</f>
        <v>0.5</v>
      </c>
      <c r="AQ9" s="60"/>
      <c r="AR9" s="60">
        <f>1/5</f>
        <v>0.2</v>
      </c>
      <c r="AS9" s="60"/>
      <c r="AV9" s="80" t="s">
        <v>78</v>
      </c>
      <c r="AW9" s="80"/>
      <c r="AX9" s="80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3"/>
      <c r="BL9" s="2"/>
      <c r="BM9" s="2"/>
      <c r="BN9" s="2"/>
      <c r="BO9" s="2"/>
      <c r="BP9" s="80" t="s">
        <v>4</v>
      </c>
      <c r="BQ9" s="80"/>
      <c r="BR9" s="80"/>
      <c r="BU9" s="60" t="s">
        <v>78</v>
      </c>
      <c r="BV9" s="60"/>
      <c r="BW9" s="62">
        <v>1</v>
      </c>
      <c r="BX9" s="62"/>
      <c r="BY9" s="60">
        <f>1/3</f>
        <v>0.33333333333333331</v>
      </c>
      <c r="BZ9" s="60"/>
      <c r="CA9" s="63">
        <v>5</v>
      </c>
      <c r="CB9" s="64"/>
      <c r="CC9" s="60">
        <f>1/5</f>
        <v>0.2</v>
      </c>
      <c r="CD9" s="60"/>
      <c r="CE9" s="60">
        <f>1/9</f>
        <v>0.1111111111111111</v>
      </c>
      <c r="CF9" s="60"/>
      <c r="CG9" s="60">
        <v>9</v>
      </c>
      <c r="CH9" s="60"/>
      <c r="CI9" s="60">
        <v>5</v>
      </c>
      <c r="CJ9" s="60"/>
      <c r="CK9" s="60">
        <f>1/7</f>
        <v>0.14285714285714285</v>
      </c>
      <c r="CL9" s="60"/>
      <c r="CM9" s="60">
        <f>1/5</f>
        <v>0.2</v>
      </c>
      <c r="CN9" s="60"/>
      <c r="CQ9" s="80" t="s">
        <v>78</v>
      </c>
      <c r="CR9" s="80"/>
      <c r="CS9" s="80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5"/>
      <c r="DG9" s="2"/>
      <c r="DH9" s="3"/>
      <c r="DI9" s="2"/>
      <c r="DJ9" s="2"/>
      <c r="DK9" s="80" t="s">
        <v>4</v>
      </c>
      <c r="DL9" s="80"/>
      <c r="DM9" s="80"/>
      <c r="DP9" s="60" t="s">
        <v>78</v>
      </c>
      <c r="DQ9" s="60"/>
      <c r="DR9" s="62">
        <v>1</v>
      </c>
      <c r="DS9" s="62"/>
      <c r="DT9" s="60">
        <v>9</v>
      </c>
      <c r="DU9" s="60"/>
      <c r="DV9" s="63">
        <v>7</v>
      </c>
      <c r="DW9" s="64"/>
      <c r="DX9" s="60">
        <v>7</v>
      </c>
      <c r="DY9" s="60"/>
      <c r="DZ9" s="60">
        <v>5</v>
      </c>
      <c r="EA9" s="60"/>
      <c r="EB9" s="60">
        <f>1/7</f>
        <v>0.14285714285714285</v>
      </c>
      <c r="EC9" s="60"/>
      <c r="ED9" s="60">
        <f>1/9</f>
        <v>0.1111111111111111</v>
      </c>
      <c r="EE9" s="60"/>
      <c r="EF9" s="60">
        <f>1/5</f>
        <v>0.2</v>
      </c>
      <c r="EG9" s="60"/>
      <c r="EH9" s="60">
        <f>1/5</f>
        <v>0.2</v>
      </c>
      <c r="EI9" s="60"/>
      <c r="EL9" s="80" t="s">
        <v>78</v>
      </c>
      <c r="EM9" s="80"/>
      <c r="EN9" s="80"/>
      <c r="EO9" s="3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5"/>
      <c r="FB9" s="2"/>
      <c r="FC9" s="2"/>
      <c r="FD9" s="2"/>
      <c r="FE9" s="2"/>
      <c r="FF9" s="80" t="s">
        <v>4</v>
      </c>
      <c r="FG9" s="80"/>
      <c r="FH9" s="80"/>
      <c r="FK9" s="60" t="s">
        <v>78</v>
      </c>
      <c r="FL9" s="60"/>
      <c r="FM9" s="62">
        <v>1</v>
      </c>
      <c r="FN9" s="62"/>
      <c r="FO9" s="60">
        <v>3</v>
      </c>
      <c r="FP9" s="60"/>
      <c r="FQ9" s="63">
        <f>1/9</f>
        <v>0.1111111111111111</v>
      </c>
      <c r="FR9" s="64"/>
      <c r="FS9" s="60">
        <v>7</v>
      </c>
      <c r="FT9" s="60"/>
      <c r="FU9" s="60">
        <v>7</v>
      </c>
      <c r="FV9" s="60"/>
      <c r="FW9" s="60">
        <v>3</v>
      </c>
      <c r="FX9" s="60"/>
      <c r="FY9" s="60">
        <f>1/7</f>
        <v>0.14285714285714285</v>
      </c>
      <c r="FZ9" s="60"/>
      <c r="GA9" s="60">
        <f>1/4</f>
        <v>0.25</v>
      </c>
      <c r="GB9" s="60"/>
      <c r="GC9" s="60">
        <f>1/5</f>
        <v>0.2</v>
      </c>
      <c r="GD9" s="60"/>
    </row>
    <row r="10" spans="1:186" x14ac:dyDescent="0.35">
      <c r="A10" s="80" t="s">
        <v>78</v>
      </c>
      <c r="B10" s="80"/>
      <c r="C10" s="80"/>
      <c r="D10" s="2"/>
      <c r="E10" s="2"/>
      <c r="F10" s="3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80" t="s">
        <v>5</v>
      </c>
      <c r="V10" s="80"/>
      <c r="W10" s="80"/>
      <c r="Z10" s="60"/>
      <c r="AA10" s="60"/>
      <c r="AB10" s="62"/>
      <c r="AC10" s="62"/>
      <c r="AD10" s="60"/>
      <c r="AE10" s="60"/>
      <c r="AF10" s="65"/>
      <c r="AG10" s="66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V10" s="80" t="s">
        <v>78</v>
      </c>
      <c r="AW10" s="80"/>
      <c r="AX10" s="80"/>
      <c r="AY10" s="2"/>
      <c r="AZ10" s="2"/>
      <c r="BA10" s="5"/>
      <c r="BB10" s="2"/>
      <c r="BC10" s="3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80" t="s">
        <v>5</v>
      </c>
      <c r="BQ10" s="80"/>
      <c r="BR10" s="80"/>
      <c r="BU10" s="60"/>
      <c r="BV10" s="60"/>
      <c r="BW10" s="62"/>
      <c r="BX10" s="62"/>
      <c r="BY10" s="60"/>
      <c r="BZ10" s="60"/>
      <c r="CA10" s="65"/>
      <c r="CB10" s="66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Q10" s="80" t="s">
        <v>78</v>
      </c>
      <c r="CR10" s="80"/>
      <c r="CS10" s="80"/>
      <c r="CT10" s="2"/>
      <c r="CU10" s="2"/>
      <c r="CV10" s="5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3"/>
      <c r="DI10" s="2"/>
      <c r="DJ10" s="2"/>
      <c r="DK10" s="80" t="s">
        <v>5</v>
      </c>
      <c r="DL10" s="80"/>
      <c r="DM10" s="80"/>
      <c r="DP10" s="60"/>
      <c r="DQ10" s="60"/>
      <c r="DR10" s="62"/>
      <c r="DS10" s="62"/>
      <c r="DT10" s="60"/>
      <c r="DU10" s="60"/>
      <c r="DV10" s="65"/>
      <c r="DW10" s="66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L10" s="80" t="s">
        <v>78</v>
      </c>
      <c r="EM10" s="80"/>
      <c r="EN10" s="80"/>
      <c r="EO10" s="2"/>
      <c r="EP10" s="2"/>
      <c r="EQ10" s="5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3"/>
      <c r="FD10" s="2"/>
      <c r="FE10" s="2"/>
      <c r="FF10" s="80" t="s">
        <v>5</v>
      </c>
      <c r="FG10" s="80"/>
      <c r="FH10" s="80"/>
      <c r="FK10" s="60"/>
      <c r="FL10" s="60"/>
      <c r="FM10" s="62"/>
      <c r="FN10" s="62"/>
      <c r="FO10" s="60"/>
      <c r="FP10" s="60"/>
      <c r="FQ10" s="65"/>
      <c r="FR10" s="66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</row>
    <row r="11" spans="1:186" ht="15" customHeight="1" x14ac:dyDescent="0.35">
      <c r="A11" s="80" t="s">
        <v>78</v>
      </c>
      <c r="B11" s="80"/>
      <c r="C11" s="80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80" t="s">
        <v>6</v>
      </c>
      <c r="V11" s="80"/>
      <c r="W11" s="80"/>
      <c r="Z11" s="60" t="s">
        <v>79</v>
      </c>
      <c r="AA11" s="60"/>
      <c r="AB11" s="60">
        <v>3</v>
      </c>
      <c r="AC11" s="60"/>
      <c r="AD11" s="62">
        <v>1</v>
      </c>
      <c r="AE11" s="62"/>
      <c r="AF11" s="60">
        <f>1/5</f>
        <v>0.2</v>
      </c>
      <c r="AG11" s="60"/>
      <c r="AH11" s="60">
        <f>1/3</f>
        <v>0.33333333333333331</v>
      </c>
      <c r="AI11" s="60"/>
      <c r="AJ11" s="60">
        <f>1/3</f>
        <v>0.33333333333333331</v>
      </c>
      <c r="AK11" s="60"/>
      <c r="AL11" s="60">
        <v>7</v>
      </c>
      <c r="AM11" s="60"/>
      <c r="AN11" s="60">
        <v>3</v>
      </c>
      <c r="AO11" s="60"/>
      <c r="AP11" s="60">
        <v>5</v>
      </c>
      <c r="AQ11" s="60"/>
      <c r="AR11" s="60">
        <v>3</v>
      </c>
      <c r="AS11" s="60"/>
      <c r="AV11" s="80" t="s">
        <v>78</v>
      </c>
      <c r="AW11" s="80"/>
      <c r="AX11" s="80"/>
      <c r="AY11" s="3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80" t="s">
        <v>6</v>
      </c>
      <c r="BQ11" s="80"/>
      <c r="BR11" s="80"/>
      <c r="BU11" s="60" t="s">
        <v>79</v>
      </c>
      <c r="BV11" s="60"/>
      <c r="BW11" s="60">
        <v>3</v>
      </c>
      <c r="BX11" s="60"/>
      <c r="BY11" s="62">
        <v>1</v>
      </c>
      <c r="BZ11" s="62"/>
      <c r="CA11" s="60">
        <f>1/5</f>
        <v>0.2</v>
      </c>
      <c r="CB11" s="60"/>
      <c r="CC11" s="60">
        <v>5</v>
      </c>
      <c r="CD11" s="60"/>
      <c r="CE11" s="60">
        <f>1/9</f>
        <v>0.1111111111111111</v>
      </c>
      <c r="CF11" s="60"/>
      <c r="CG11" s="60">
        <v>7</v>
      </c>
      <c r="CH11" s="60"/>
      <c r="CI11" s="60">
        <f>1/3</f>
        <v>0.33333333333333331</v>
      </c>
      <c r="CJ11" s="60"/>
      <c r="CK11" s="60">
        <v>5</v>
      </c>
      <c r="CL11" s="60"/>
      <c r="CM11" s="60">
        <v>3</v>
      </c>
      <c r="CN11" s="60"/>
      <c r="CQ11" s="80" t="s">
        <v>78</v>
      </c>
      <c r="CR11" s="80"/>
      <c r="CS11" s="80"/>
      <c r="CT11" s="5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3"/>
      <c r="DG11" s="2"/>
      <c r="DH11" s="2"/>
      <c r="DI11" s="2"/>
      <c r="DJ11" s="2"/>
      <c r="DK11" s="80" t="s">
        <v>6</v>
      </c>
      <c r="DL11" s="80"/>
      <c r="DM11" s="80"/>
      <c r="DP11" s="60" t="s">
        <v>79</v>
      </c>
      <c r="DQ11" s="60"/>
      <c r="DR11" s="60">
        <f>1/9</f>
        <v>0.1111111111111111</v>
      </c>
      <c r="DS11" s="60"/>
      <c r="DT11" s="62">
        <v>1</v>
      </c>
      <c r="DU11" s="62"/>
      <c r="DV11" s="60">
        <f>1/5</f>
        <v>0.2</v>
      </c>
      <c r="DW11" s="60"/>
      <c r="DX11" s="60">
        <v>7</v>
      </c>
      <c r="DY11" s="60"/>
      <c r="DZ11" s="60">
        <f>1/7</f>
        <v>0.14285714285714285</v>
      </c>
      <c r="EA11" s="60"/>
      <c r="EB11" s="60">
        <v>7</v>
      </c>
      <c r="EC11" s="60"/>
      <c r="ED11" s="60">
        <f>1/9</f>
        <v>0.1111111111111111</v>
      </c>
      <c r="EE11" s="60"/>
      <c r="EF11" s="60">
        <v>7</v>
      </c>
      <c r="EG11" s="60"/>
      <c r="EH11" s="60">
        <f>1/9</f>
        <v>0.1111111111111111</v>
      </c>
      <c r="EI11" s="60"/>
      <c r="EL11" s="80" t="s">
        <v>78</v>
      </c>
      <c r="EM11" s="80"/>
      <c r="EN11" s="80"/>
      <c r="EO11" s="5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3"/>
      <c r="FD11" s="2"/>
      <c r="FE11" s="2"/>
      <c r="FF11" s="80" t="s">
        <v>6</v>
      </c>
      <c r="FG11" s="80"/>
      <c r="FH11" s="80"/>
      <c r="FK11" s="60" t="s">
        <v>79</v>
      </c>
      <c r="FL11" s="60"/>
      <c r="FM11" s="60">
        <f>1/3</f>
        <v>0.33333333333333331</v>
      </c>
      <c r="FN11" s="60"/>
      <c r="FO11" s="62">
        <v>1</v>
      </c>
      <c r="FP11" s="62"/>
      <c r="FQ11" s="60">
        <f>1/9</f>
        <v>0.1111111111111111</v>
      </c>
      <c r="FR11" s="60"/>
      <c r="FS11" s="60">
        <v>7</v>
      </c>
      <c r="FT11" s="60"/>
      <c r="FU11" s="60">
        <f>1/7</f>
        <v>0.14285714285714285</v>
      </c>
      <c r="FV11" s="60"/>
      <c r="FW11" s="60">
        <v>7</v>
      </c>
      <c r="FX11" s="60"/>
      <c r="FY11" s="60">
        <f>1/7</f>
        <v>0.14285714285714285</v>
      </c>
      <c r="FZ11" s="60"/>
      <c r="GA11" s="60">
        <v>5</v>
      </c>
      <c r="GB11" s="60"/>
      <c r="GC11" s="60">
        <v>3</v>
      </c>
      <c r="GD11" s="60"/>
    </row>
    <row r="12" spans="1:186" x14ac:dyDescent="0.35">
      <c r="A12" s="80" t="s">
        <v>78</v>
      </c>
      <c r="B12" s="80"/>
      <c r="C12" s="80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  <c r="O12" s="2"/>
      <c r="P12" s="2"/>
      <c r="Q12" s="2"/>
      <c r="R12" s="2"/>
      <c r="S12" s="2"/>
      <c r="T12" s="2"/>
      <c r="U12" s="80" t="s">
        <v>7</v>
      </c>
      <c r="V12" s="80"/>
      <c r="W12" s="80"/>
      <c r="Z12" s="60"/>
      <c r="AA12" s="60"/>
      <c r="AB12" s="60"/>
      <c r="AC12" s="60"/>
      <c r="AD12" s="62"/>
      <c r="AE12" s="62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V12" s="80" t="s">
        <v>78</v>
      </c>
      <c r="AW12" s="80"/>
      <c r="AX12" s="80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5"/>
      <c r="BJ12" s="2"/>
      <c r="BK12" s="2"/>
      <c r="BL12" s="2"/>
      <c r="BM12" s="2"/>
      <c r="BN12" s="2"/>
      <c r="BO12" s="3"/>
      <c r="BP12" s="80" t="s">
        <v>7</v>
      </c>
      <c r="BQ12" s="80"/>
      <c r="BR12" s="80"/>
      <c r="BU12" s="60"/>
      <c r="BV12" s="60"/>
      <c r="BW12" s="60"/>
      <c r="BX12" s="60"/>
      <c r="BY12" s="62"/>
      <c r="BZ12" s="62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Q12" s="80" t="s">
        <v>78</v>
      </c>
      <c r="CR12" s="80"/>
      <c r="CS12" s="80"/>
      <c r="CT12" s="2"/>
      <c r="CU12" s="2"/>
      <c r="CV12" s="3"/>
      <c r="CW12" s="2"/>
      <c r="CX12" s="2"/>
      <c r="CY12" s="2"/>
      <c r="CZ12" s="2"/>
      <c r="DA12" s="2"/>
      <c r="DB12" s="2"/>
      <c r="DC12" s="2"/>
      <c r="DD12" s="5"/>
      <c r="DE12" s="2"/>
      <c r="DF12" s="2"/>
      <c r="DG12" s="2"/>
      <c r="DH12" s="2"/>
      <c r="DI12" s="2"/>
      <c r="DJ12" s="2"/>
      <c r="DK12" s="80" t="s">
        <v>7</v>
      </c>
      <c r="DL12" s="80"/>
      <c r="DM12" s="80"/>
      <c r="DP12" s="60"/>
      <c r="DQ12" s="60"/>
      <c r="DR12" s="60"/>
      <c r="DS12" s="60"/>
      <c r="DT12" s="62"/>
      <c r="DU12" s="62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L12" s="80" t="s">
        <v>78</v>
      </c>
      <c r="EM12" s="80"/>
      <c r="EN12" s="80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3"/>
      <c r="EZ12" s="2"/>
      <c r="FA12" s="2"/>
      <c r="FB12" s="2"/>
      <c r="FC12" s="2"/>
      <c r="FD12" s="2"/>
      <c r="FE12" s="2"/>
      <c r="FF12" s="80" t="s">
        <v>7</v>
      </c>
      <c r="FG12" s="80"/>
      <c r="FH12" s="80"/>
      <c r="FK12" s="60"/>
      <c r="FL12" s="60"/>
      <c r="FM12" s="60"/>
      <c r="FN12" s="60"/>
      <c r="FO12" s="62"/>
      <c r="FP12" s="62"/>
      <c r="FQ12" s="60"/>
      <c r="FR12" s="60"/>
      <c r="FS12" s="60"/>
      <c r="FT12" s="60"/>
      <c r="FU12" s="60"/>
      <c r="FV12" s="60"/>
      <c r="FW12" s="60"/>
      <c r="FX12" s="60"/>
      <c r="FY12" s="60"/>
      <c r="FZ12" s="60"/>
      <c r="GA12" s="60"/>
      <c r="GB12" s="60"/>
      <c r="GC12" s="60"/>
      <c r="GD12" s="60"/>
    </row>
    <row r="13" spans="1:186" ht="15" customHeight="1" x14ac:dyDescent="0.35">
      <c r="A13" s="80" t="s">
        <v>78</v>
      </c>
      <c r="B13" s="80"/>
      <c r="C13" s="80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T13" s="2"/>
      <c r="U13" s="80" t="s">
        <v>8</v>
      </c>
      <c r="V13" s="80"/>
      <c r="W13" s="80"/>
      <c r="Z13" s="60" t="s">
        <v>4</v>
      </c>
      <c r="AA13" s="60"/>
      <c r="AB13" s="60">
        <f>1/5</f>
        <v>0.2</v>
      </c>
      <c r="AC13" s="60"/>
      <c r="AD13" s="60">
        <v>5</v>
      </c>
      <c r="AE13" s="60"/>
      <c r="AF13" s="62">
        <v>1</v>
      </c>
      <c r="AG13" s="62"/>
      <c r="AH13" s="60">
        <v>7</v>
      </c>
      <c r="AI13" s="60"/>
      <c r="AJ13" s="60">
        <f>1/5</f>
        <v>0.2</v>
      </c>
      <c r="AK13" s="60"/>
      <c r="AL13" s="60">
        <v>3</v>
      </c>
      <c r="AM13" s="60"/>
      <c r="AN13" s="60">
        <v>5</v>
      </c>
      <c r="AO13" s="60"/>
      <c r="AP13" s="60">
        <f>1/3</f>
        <v>0.33333333333333331</v>
      </c>
      <c r="AQ13" s="60"/>
      <c r="AR13" s="60">
        <f>1/7</f>
        <v>0.14285714285714285</v>
      </c>
      <c r="AS13" s="60"/>
      <c r="AV13" s="80" t="s">
        <v>78</v>
      </c>
      <c r="AW13" s="80"/>
      <c r="AX13" s="80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3"/>
      <c r="BL13" s="2"/>
      <c r="BM13" s="2"/>
      <c r="BN13" s="2"/>
      <c r="BO13" s="2"/>
      <c r="BP13" s="80" t="s">
        <v>8</v>
      </c>
      <c r="BQ13" s="80"/>
      <c r="BR13" s="80"/>
      <c r="BU13" s="60" t="s">
        <v>4</v>
      </c>
      <c r="BV13" s="60"/>
      <c r="BW13" s="60">
        <f>1/5</f>
        <v>0.2</v>
      </c>
      <c r="BX13" s="60"/>
      <c r="BY13" s="60">
        <v>5</v>
      </c>
      <c r="BZ13" s="60"/>
      <c r="CA13" s="62">
        <v>1</v>
      </c>
      <c r="CB13" s="62"/>
      <c r="CC13" s="60">
        <v>7</v>
      </c>
      <c r="CD13" s="60"/>
      <c r="CE13" s="60">
        <f>1/7</f>
        <v>0.14285714285714285</v>
      </c>
      <c r="CF13" s="60"/>
      <c r="CG13" s="60">
        <v>9</v>
      </c>
      <c r="CH13" s="60"/>
      <c r="CI13" s="60">
        <v>9</v>
      </c>
      <c r="CJ13" s="60"/>
      <c r="CK13" s="60">
        <v>5</v>
      </c>
      <c r="CL13" s="60"/>
      <c r="CM13" s="60">
        <f>1/7</f>
        <v>0.14285714285714285</v>
      </c>
      <c r="CN13" s="60"/>
      <c r="CQ13" s="80" t="s">
        <v>78</v>
      </c>
      <c r="CR13" s="80"/>
      <c r="CS13" s="80"/>
      <c r="CT13" s="3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5"/>
      <c r="DG13" s="2"/>
      <c r="DH13" s="2"/>
      <c r="DI13" s="2"/>
      <c r="DJ13" s="2"/>
      <c r="DK13" s="80" t="s">
        <v>8</v>
      </c>
      <c r="DL13" s="80"/>
      <c r="DM13" s="80"/>
      <c r="DP13" s="60" t="s">
        <v>4</v>
      </c>
      <c r="DQ13" s="60"/>
      <c r="DR13" s="60">
        <f>1/7</f>
        <v>0.14285714285714285</v>
      </c>
      <c r="DS13" s="60"/>
      <c r="DT13" s="60">
        <v>5</v>
      </c>
      <c r="DU13" s="60"/>
      <c r="DV13" s="62">
        <v>1</v>
      </c>
      <c r="DW13" s="62"/>
      <c r="DX13" s="60">
        <v>7</v>
      </c>
      <c r="DY13" s="60"/>
      <c r="DZ13" s="60">
        <f>1/9</f>
        <v>0.1111111111111111</v>
      </c>
      <c r="EA13" s="60"/>
      <c r="EB13" s="60">
        <v>7</v>
      </c>
      <c r="EC13" s="60"/>
      <c r="ED13" s="60">
        <f>1/6</f>
        <v>0.16666666666666666</v>
      </c>
      <c r="EE13" s="60"/>
      <c r="EF13" s="60">
        <v>5</v>
      </c>
      <c r="EG13" s="60"/>
      <c r="EH13" s="60">
        <f>1/7</f>
        <v>0.14285714285714285</v>
      </c>
      <c r="EI13" s="60"/>
      <c r="EL13" s="80" t="s">
        <v>78</v>
      </c>
      <c r="EM13" s="80"/>
      <c r="EN13" s="80"/>
      <c r="EO13" s="2"/>
      <c r="EP13" s="2"/>
      <c r="EQ13" s="3"/>
      <c r="ER13" s="2"/>
      <c r="ES13" s="2"/>
      <c r="ET13" s="2"/>
      <c r="EU13" s="2"/>
      <c r="EV13" s="2"/>
      <c r="EW13" s="2"/>
      <c r="EX13" s="2"/>
      <c r="EY13" s="2"/>
      <c r="EZ13" s="2"/>
      <c r="FA13" s="5"/>
      <c r="FB13" s="2"/>
      <c r="FC13" s="2"/>
      <c r="FD13" s="2"/>
      <c r="FE13" s="2"/>
      <c r="FF13" s="80" t="s">
        <v>8</v>
      </c>
      <c r="FG13" s="80"/>
      <c r="FH13" s="80"/>
      <c r="FK13" s="60" t="s">
        <v>4</v>
      </c>
      <c r="FL13" s="60"/>
      <c r="FM13" s="60">
        <v>9</v>
      </c>
      <c r="FN13" s="60"/>
      <c r="FO13" s="60">
        <v>9</v>
      </c>
      <c r="FP13" s="60"/>
      <c r="FQ13" s="62">
        <v>1</v>
      </c>
      <c r="FR13" s="62"/>
      <c r="FS13" s="60">
        <v>9</v>
      </c>
      <c r="FT13" s="60"/>
      <c r="FU13" s="60">
        <f>1/7</f>
        <v>0.14285714285714285</v>
      </c>
      <c r="FV13" s="60"/>
      <c r="FW13" s="60">
        <v>7</v>
      </c>
      <c r="FX13" s="60"/>
      <c r="FY13" s="60">
        <f>1/5</f>
        <v>0.2</v>
      </c>
      <c r="FZ13" s="60"/>
      <c r="GA13" s="60">
        <v>5</v>
      </c>
      <c r="GB13" s="60"/>
      <c r="GC13" s="60">
        <v>7</v>
      </c>
      <c r="GD13" s="60"/>
    </row>
    <row r="14" spans="1:186" x14ac:dyDescent="0.35">
      <c r="A14" s="80" t="s">
        <v>78</v>
      </c>
      <c r="B14" s="80"/>
      <c r="C14" s="80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5"/>
      <c r="U14" s="80" t="s">
        <v>80</v>
      </c>
      <c r="V14" s="80"/>
      <c r="W14" s="80"/>
      <c r="Z14" s="60"/>
      <c r="AA14" s="60"/>
      <c r="AB14" s="60"/>
      <c r="AC14" s="60"/>
      <c r="AD14" s="60"/>
      <c r="AE14" s="60"/>
      <c r="AF14" s="62"/>
      <c r="AG14" s="62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V14" s="80" t="s">
        <v>78</v>
      </c>
      <c r="AW14" s="80"/>
      <c r="AX14" s="80"/>
      <c r="AY14" s="2"/>
      <c r="AZ14" s="2"/>
      <c r="BA14" s="3"/>
      <c r="BB14" s="2"/>
      <c r="BC14" s="2"/>
      <c r="BD14" s="2"/>
      <c r="BE14" s="2"/>
      <c r="BF14" s="5"/>
      <c r="BG14" s="2"/>
      <c r="BH14" s="2"/>
      <c r="BI14" s="2"/>
      <c r="BJ14" s="2"/>
      <c r="BK14" s="2"/>
      <c r="BL14" s="2"/>
      <c r="BM14" s="2"/>
      <c r="BN14" s="2"/>
      <c r="BO14" s="5"/>
      <c r="BP14" s="80" t="s">
        <v>80</v>
      </c>
      <c r="BQ14" s="80"/>
      <c r="BR14" s="80"/>
      <c r="BU14" s="60"/>
      <c r="BV14" s="60"/>
      <c r="BW14" s="60"/>
      <c r="BX14" s="60"/>
      <c r="BY14" s="60"/>
      <c r="BZ14" s="60"/>
      <c r="CA14" s="62"/>
      <c r="CB14" s="62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Q14" s="80" t="s">
        <v>78</v>
      </c>
      <c r="CR14" s="80"/>
      <c r="CS14" s="80"/>
      <c r="CT14" s="2"/>
      <c r="CU14" s="2"/>
      <c r="CV14" s="2"/>
      <c r="CW14" s="2"/>
      <c r="CX14" s="3"/>
      <c r="CY14" s="2"/>
      <c r="CZ14" s="2"/>
      <c r="DA14" s="5"/>
      <c r="DB14" s="5"/>
      <c r="DC14" s="2"/>
      <c r="DD14" s="2"/>
      <c r="DE14" s="2"/>
      <c r="DF14" s="2"/>
      <c r="DG14" s="2"/>
      <c r="DH14" s="2"/>
      <c r="DI14" s="2"/>
      <c r="DJ14" s="5"/>
      <c r="DK14" s="80" t="s">
        <v>80</v>
      </c>
      <c r="DL14" s="80"/>
      <c r="DM14" s="80"/>
      <c r="DP14" s="60"/>
      <c r="DQ14" s="60"/>
      <c r="DR14" s="60"/>
      <c r="DS14" s="60"/>
      <c r="DT14" s="60"/>
      <c r="DU14" s="60"/>
      <c r="DV14" s="62"/>
      <c r="DW14" s="62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L14" s="80" t="s">
        <v>78</v>
      </c>
      <c r="EM14" s="80"/>
      <c r="EN14" s="80"/>
      <c r="EO14" s="2"/>
      <c r="EP14" s="2"/>
      <c r="EQ14" s="2"/>
      <c r="ER14" s="2"/>
      <c r="ES14" s="2"/>
      <c r="ET14" s="3"/>
      <c r="EU14" s="2"/>
      <c r="EV14" s="5"/>
      <c r="EW14" s="2"/>
      <c r="EX14" s="2"/>
      <c r="EY14" s="2"/>
      <c r="EZ14" s="2"/>
      <c r="FA14" s="2"/>
      <c r="FB14" s="2"/>
      <c r="FC14" s="2"/>
      <c r="FD14" s="2"/>
      <c r="FE14" s="5"/>
      <c r="FF14" s="80" t="s">
        <v>80</v>
      </c>
      <c r="FG14" s="80"/>
      <c r="FH14" s="80"/>
      <c r="FK14" s="60"/>
      <c r="FL14" s="60"/>
      <c r="FM14" s="60"/>
      <c r="FN14" s="60"/>
      <c r="FO14" s="60"/>
      <c r="FP14" s="60"/>
      <c r="FQ14" s="62"/>
      <c r="FR14" s="62"/>
      <c r="FS14" s="60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</row>
    <row r="15" spans="1:186" ht="15" customHeight="1" x14ac:dyDescent="0.35">
      <c r="A15" s="80" t="s">
        <v>78</v>
      </c>
      <c r="B15" s="80"/>
      <c r="C15" s="80"/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5"/>
      <c r="S15" s="2"/>
      <c r="T15" s="2"/>
      <c r="U15" s="80" t="s">
        <v>9</v>
      </c>
      <c r="V15" s="80"/>
      <c r="W15" s="80"/>
      <c r="Z15" s="60" t="s">
        <v>5</v>
      </c>
      <c r="AA15" s="60"/>
      <c r="AB15" s="60">
        <v>7</v>
      </c>
      <c r="AC15" s="60"/>
      <c r="AD15" s="60">
        <v>3</v>
      </c>
      <c r="AE15" s="60"/>
      <c r="AF15" s="60">
        <f>1/7</f>
        <v>0.14285714285714285</v>
      </c>
      <c r="AG15" s="60"/>
      <c r="AH15" s="62">
        <v>1</v>
      </c>
      <c r="AI15" s="62"/>
      <c r="AJ15" s="60">
        <f>1/5</f>
        <v>0.2</v>
      </c>
      <c r="AK15" s="60"/>
      <c r="AL15" s="60">
        <v>7</v>
      </c>
      <c r="AM15" s="60"/>
      <c r="AN15" s="60">
        <v>5</v>
      </c>
      <c r="AO15" s="60"/>
      <c r="AP15" s="60">
        <v>3</v>
      </c>
      <c r="AQ15" s="60"/>
      <c r="AR15" s="60">
        <f>1/3</f>
        <v>0.33333333333333331</v>
      </c>
      <c r="AS15" s="60"/>
      <c r="AV15" s="80" t="s">
        <v>78</v>
      </c>
      <c r="AW15" s="80"/>
      <c r="AX15" s="80"/>
      <c r="AY15" s="2"/>
      <c r="AZ15" s="2"/>
      <c r="BA15" s="2"/>
      <c r="BB15" s="2"/>
      <c r="BC15" s="3"/>
      <c r="BD15" s="2"/>
      <c r="BE15" s="2"/>
      <c r="BF15" s="2"/>
      <c r="BG15" s="2"/>
      <c r="BH15" s="2"/>
      <c r="BI15" s="2"/>
      <c r="BJ15" s="2"/>
      <c r="BK15" s="2"/>
      <c r="BL15" s="2"/>
      <c r="BM15" s="5"/>
      <c r="BN15" s="2"/>
      <c r="BO15" s="2"/>
      <c r="BP15" s="80" t="s">
        <v>9</v>
      </c>
      <c r="BQ15" s="80"/>
      <c r="BR15" s="80"/>
      <c r="BU15" s="60" t="s">
        <v>5</v>
      </c>
      <c r="BV15" s="60"/>
      <c r="BW15" s="60">
        <v>5</v>
      </c>
      <c r="BX15" s="60"/>
      <c r="BY15" s="60">
        <f>1/5</f>
        <v>0.2</v>
      </c>
      <c r="BZ15" s="60"/>
      <c r="CA15" s="60">
        <f>1/7</f>
        <v>0.14285714285714285</v>
      </c>
      <c r="CB15" s="60"/>
      <c r="CC15" s="62">
        <v>1</v>
      </c>
      <c r="CD15" s="62"/>
      <c r="CE15" s="60">
        <v>5</v>
      </c>
      <c r="CF15" s="60"/>
      <c r="CG15" s="60">
        <f>1/7</f>
        <v>0.14285714285714285</v>
      </c>
      <c r="CH15" s="60"/>
      <c r="CI15" s="60">
        <v>7</v>
      </c>
      <c r="CJ15" s="60"/>
      <c r="CK15" s="60">
        <v>3</v>
      </c>
      <c r="CL15" s="60"/>
      <c r="CM15" s="60">
        <v>7</v>
      </c>
      <c r="CN15" s="60"/>
      <c r="CQ15" s="80" t="s">
        <v>78</v>
      </c>
      <c r="CR15" s="80"/>
      <c r="CS15" s="80"/>
      <c r="CT15" s="2"/>
      <c r="CU15" s="2"/>
      <c r="CV15" s="2"/>
      <c r="CW15" s="2"/>
      <c r="CX15" s="3"/>
      <c r="CY15" s="2"/>
      <c r="CZ15" s="2"/>
      <c r="DA15" s="2"/>
      <c r="DB15" s="2"/>
      <c r="DC15" s="2"/>
      <c r="DD15" s="2"/>
      <c r="DE15" s="2"/>
      <c r="DF15" s="2"/>
      <c r="DG15" s="2"/>
      <c r="DH15" s="5"/>
      <c r="DI15" s="2"/>
      <c r="DJ15" s="2"/>
      <c r="DK15" s="80" t="s">
        <v>9</v>
      </c>
      <c r="DL15" s="80"/>
      <c r="DM15" s="80"/>
      <c r="DP15" s="60" t="s">
        <v>5</v>
      </c>
      <c r="DQ15" s="60"/>
      <c r="DR15" s="60">
        <f>1/7</f>
        <v>0.14285714285714285</v>
      </c>
      <c r="DS15" s="60"/>
      <c r="DT15" s="60">
        <f>1/7</f>
        <v>0.14285714285714285</v>
      </c>
      <c r="DU15" s="60"/>
      <c r="DV15" s="60">
        <f>1/7</f>
        <v>0.14285714285714285</v>
      </c>
      <c r="DW15" s="60"/>
      <c r="DX15" s="62">
        <v>1</v>
      </c>
      <c r="DY15" s="62"/>
      <c r="DZ15" s="60">
        <v>3</v>
      </c>
      <c r="EA15" s="60"/>
      <c r="EB15" s="60">
        <v>7</v>
      </c>
      <c r="EC15" s="60"/>
      <c r="ED15" s="60">
        <f>1/9</f>
        <v>0.1111111111111111</v>
      </c>
      <c r="EE15" s="60"/>
      <c r="EF15" s="60">
        <v>3</v>
      </c>
      <c r="EG15" s="60"/>
      <c r="EH15" s="60">
        <f>1/3</f>
        <v>0.33333333333333331</v>
      </c>
      <c r="EI15" s="60"/>
      <c r="EL15" s="80" t="s">
        <v>78</v>
      </c>
      <c r="EM15" s="80"/>
      <c r="EN15" s="80"/>
      <c r="EO15" s="2"/>
      <c r="EP15" s="2"/>
      <c r="EQ15" s="2"/>
      <c r="ER15" s="2"/>
      <c r="ES15" s="3"/>
      <c r="ET15" s="2"/>
      <c r="EU15" s="2"/>
      <c r="EV15" s="2"/>
      <c r="EW15" s="2"/>
      <c r="EX15" s="2"/>
      <c r="EY15" s="2"/>
      <c r="EZ15" s="2"/>
      <c r="FA15" s="2"/>
      <c r="FB15" s="2"/>
      <c r="FC15" s="5"/>
      <c r="FD15" s="2"/>
      <c r="FE15" s="2"/>
      <c r="FF15" s="80" t="s">
        <v>9</v>
      </c>
      <c r="FG15" s="80"/>
      <c r="FH15" s="80"/>
      <c r="FK15" s="60" t="s">
        <v>5</v>
      </c>
      <c r="FL15" s="60"/>
      <c r="FM15" s="60">
        <f>1/7</f>
        <v>0.14285714285714285</v>
      </c>
      <c r="FN15" s="60"/>
      <c r="FO15" s="60">
        <f>1/7</f>
        <v>0.14285714285714285</v>
      </c>
      <c r="FP15" s="60"/>
      <c r="FQ15" s="60">
        <f>1/9</f>
        <v>0.1111111111111111</v>
      </c>
      <c r="FR15" s="60"/>
      <c r="FS15" s="62">
        <v>1</v>
      </c>
      <c r="FT15" s="62"/>
      <c r="FU15" s="60">
        <f>1/5</f>
        <v>0.2</v>
      </c>
      <c r="FV15" s="60"/>
      <c r="FW15" s="60">
        <v>9</v>
      </c>
      <c r="FX15" s="60"/>
      <c r="FY15" s="60">
        <v>7</v>
      </c>
      <c r="FZ15" s="60"/>
      <c r="GA15" s="60">
        <v>9</v>
      </c>
      <c r="GB15" s="60"/>
      <c r="GC15" s="60"/>
      <c r="GD15" s="60"/>
    </row>
    <row r="16" spans="1:186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Z16" s="60"/>
      <c r="AA16" s="60"/>
      <c r="AB16" s="60"/>
      <c r="AC16" s="60"/>
      <c r="AD16" s="60"/>
      <c r="AE16" s="60"/>
      <c r="AF16" s="60"/>
      <c r="AG16" s="60"/>
      <c r="AH16" s="62"/>
      <c r="AI16" s="62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U16" s="60"/>
      <c r="BV16" s="60"/>
      <c r="BW16" s="60"/>
      <c r="BX16" s="60"/>
      <c r="BY16" s="60"/>
      <c r="BZ16" s="60"/>
      <c r="CA16" s="60"/>
      <c r="CB16" s="60"/>
      <c r="CC16" s="62"/>
      <c r="CD16" s="62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P16" s="60"/>
      <c r="DQ16" s="60"/>
      <c r="DR16" s="60"/>
      <c r="DS16" s="60"/>
      <c r="DT16" s="60"/>
      <c r="DU16" s="60"/>
      <c r="DV16" s="60"/>
      <c r="DW16" s="60"/>
      <c r="DX16" s="62"/>
      <c r="DY16" s="62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K16" s="60"/>
      <c r="FL16" s="60"/>
      <c r="FM16" s="60"/>
      <c r="FN16" s="60"/>
      <c r="FO16" s="60"/>
      <c r="FP16" s="60"/>
      <c r="FQ16" s="60"/>
      <c r="FR16" s="60"/>
      <c r="FS16" s="62"/>
      <c r="FT16" s="62"/>
      <c r="FU16" s="60"/>
      <c r="FV16" s="60"/>
      <c r="FW16" s="60"/>
      <c r="FX16" s="60"/>
      <c r="FY16" s="60"/>
      <c r="FZ16" s="60"/>
      <c r="GA16" s="60"/>
      <c r="GB16" s="60"/>
      <c r="GC16" s="60"/>
      <c r="GD16" s="60"/>
    </row>
    <row r="17" spans="1:186" ht="15" customHeight="1" x14ac:dyDescent="0.35">
      <c r="A17" s="79" t="s">
        <v>2</v>
      </c>
      <c r="B17" s="79"/>
      <c r="C17" s="79"/>
      <c r="D17" s="2">
        <v>9</v>
      </c>
      <c r="E17" s="2">
        <v>8</v>
      </c>
      <c r="F17" s="2">
        <v>7</v>
      </c>
      <c r="G17" s="2">
        <v>6</v>
      </c>
      <c r="H17" s="2">
        <v>5</v>
      </c>
      <c r="I17" s="2">
        <v>4</v>
      </c>
      <c r="J17" s="2">
        <v>3</v>
      </c>
      <c r="K17" s="2">
        <v>2</v>
      </c>
      <c r="L17" s="2">
        <v>1</v>
      </c>
      <c r="M17" s="2">
        <v>2</v>
      </c>
      <c r="N17" s="2">
        <v>3</v>
      </c>
      <c r="O17" s="2">
        <v>4</v>
      </c>
      <c r="P17" s="2">
        <v>5</v>
      </c>
      <c r="Q17" s="2">
        <v>6</v>
      </c>
      <c r="R17" s="2">
        <v>7</v>
      </c>
      <c r="S17" s="2">
        <v>8</v>
      </c>
      <c r="T17" s="2">
        <v>9</v>
      </c>
      <c r="U17" s="79" t="s">
        <v>3</v>
      </c>
      <c r="V17" s="79"/>
      <c r="W17" s="79"/>
      <c r="Z17" s="60" t="s">
        <v>32</v>
      </c>
      <c r="AA17" s="60"/>
      <c r="AB17" s="60">
        <v>9</v>
      </c>
      <c r="AC17" s="60"/>
      <c r="AD17" s="60">
        <v>3</v>
      </c>
      <c r="AE17" s="60"/>
      <c r="AF17" s="60">
        <v>5</v>
      </c>
      <c r="AG17" s="60"/>
      <c r="AH17" s="60">
        <v>5</v>
      </c>
      <c r="AI17" s="60"/>
      <c r="AJ17" s="62">
        <v>1</v>
      </c>
      <c r="AK17" s="62"/>
      <c r="AL17" s="60">
        <v>9</v>
      </c>
      <c r="AM17" s="60"/>
      <c r="AN17" s="60">
        <v>7</v>
      </c>
      <c r="AO17" s="60"/>
      <c r="AP17" s="60">
        <v>5</v>
      </c>
      <c r="AQ17" s="60"/>
      <c r="AR17" s="60">
        <v>3</v>
      </c>
      <c r="AS17" s="60"/>
      <c r="AV17" s="79" t="s">
        <v>2</v>
      </c>
      <c r="AW17" s="79"/>
      <c r="AX17" s="79"/>
      <c r="AY17" s="2">
        <v>9</v>
      </c>
      <c r="AZ17" s="2">
        <v>8</v>
      </c>
      <c r="BA17" s="2">
        <v>7</v>
      </c>
      <c r="BB17" s="2">
        <v>6</v>
      </c>
      <c r="BC17" s="2">
        <v>5</v>
      </c>
      <c r="BD17" s="2">
        <v>4</v>
      </c>
      <c r="BE17" s="2">
        <v>3</v>
      </c>
      <c r="BF17" s="2">
        <v>2</v>
      </c>
      <c r="BG17" s="2">
        <v>1</v>
      </c>
      <c r="BH17" s="2">
        <v>2</v>
      </c>
      <c r="BI17" s="2">
        <v>3</v>
      </c>
      <c r="BJ17" s="2">
        <v>4</v>
      </c>
      <c r="BK17" s="2">
        <v>5</v>
      </c>
      <c r="BL17" s="2">
        <v>6</v>
      </c>
      <c r="BM17" s="2">
        <v>7</v>
      </c>
      <c r="BN17" s="2">
        <v>8</v>
      </c>
      <c r="BO17" s="2">
        <v>9</v>
      </c>
      <c r="BP17" s="79" t="s">
        <v>3</v>
      </c>
      <c r="BQ17" s="79"/>
      <c r="BR17" s="79"/>
      <c r="BU17" s="60" t="s">
        <v>32</v>
      </c>
      <c r="BV17" s="60"/>
      <c r="BW17" s="60">
        <v>9</v>
      </c>
      <c r="BX17" s="60"/>
      <c r="BY17" s="60">
        <v>9</v>
      </c>
      <c r="BZ17" s="60"/>
      <c r="CA17" s="60">
        <v>7</v>
      </c>
      <c r="CB17" s="60"/>
      <c r="CC17" s="60">
        <f>1/5</f>
        <v>0.2</v>
      </c>
      <c r="CD17" s="60"/>
      <c r="CE17" s="62">
        <v>1</v>
      </c>
      <c r="CF17" s="62"/>
      <c r="CG17" s="60">
        <v>9</v>
      </c>
      <c r="CH17" s="60"/>
      <c r="CI17" s="60">
        <f>1/7</f>
        <v>0.14285714285714285</v>
      </c>
      <c r="CJ17" s="60"/>
      <c r="CK17" s="60">
        <v>7</v>
      </c>
      <c r="CL17" s="60"/>
      <c r="CM17" s="60">
        <v>7</v>
      </c>
      <c r="CN17" s="60"/>
      <c r="CQ17" s="79" t="s">
        <v>2</v>
      </c>
      <c r="CR17" s="79"/>
      <c r="CS17" s="79"/>
      <c r="CT17" s="2">
        <v>9</v>
      </c>
      <c r="CU17" s="2">
        <v>8</v>
      </c>
      <c r="CV17" s="2">
        <v>7</v>
      </c>
      <c r="CW17" s="2">
        <v>6</v>
      </c>
      <c r="CX17" s="2">
        <v>5</v>
      </c>
      <c r="CY17" s="2">
        <v>4</v>
      </c>
      <c r="CZ17" s="2">
        <v>3</v>
      </c>
      <c r="DA17" s="2">
        <v>2</v>
      </c>
      <c r="DB17" s="2">
        <v>1</v>
      </c>
      <c r="DC17" s="2">
        <v>2</v>
      </c>
      <c r="DD17" s="2">
        <v>3</v>
      </c>
      <c r="DE17" s="2">
        <v>4</v>
      </c>
      <c r="DF17" s="2">
        <v>5</v>
      </c>
      <c r="DG17" s="2">
        <v>6</v>
      </c>
      <c r="DH17" s="2">
        <v>7</v>
      </c>
      <c r="DI17" s="2">
        <v>8</v>
      </c>
      <c r="DJ17" s="2">
        <v>9</v>
      </c>
      <c r="DK17" s="79" t="s">
        <v>3</v>
      </c>
      <c r="DL17" s="79"/>
      <c r="DM17" s="79"/>
      <c r="DP17" s="60" t="s">
        <v>32</v>
      </c>
      <c r="DQ17" s="60"/>
      <c r="DR17" s="60">
        <f>1/5</f>
        <v>0.2</v>
      </c>
      <c r="DS17" s="60"/>
      <c r="DT17" s="60">
        <v>7</v>
      </c>
      <c r="DU17" s="60"/>
      <c r="DV17" s="60">
        <v>9</v>
      </c>
      <c r="DW17" s="60"/>
      <c r="DX17" s="60">
        <f>1/3</f>
        <v>0.33333333333333331</v>
      </c>
      <c r="DY17" s="60"/>
      <c r="DZ17" s="62">
        <v>1</v>
      </c>
      <c r="EA17" s="62"/>
      <c r="EB17" s="60">
        <v>9</v>
      </c>
      <c r="EC17" s="60"/>
      <c r="ED17" s="60">
        <f>1/7</f>
        <v>0.14285714285714285</v>
      </c>
      <c r="EE17" s="60"/>
      <c r="EF17" s="60">
        <f>1/5</f>
        <v>0.2</v>
      </c>
      <c r="EG17" s="60"/>
      <c r="EH17" s="60">
        <v>3</v>
      </c>
      <c r="EI17" s="60"/>
      <c r="EL17" s="79" t="s">
        <v>2</v>
      </c>
      <c r="EM17" s="79"/>
      <c r="EN17" s="79"/>
      <c r="EO17" s="2">
        <v>9</v>
      </c>
      <c r="EP17" s="2">
        <v>8</v>
      </c>
      <c r="EQ17" s="2">
        <v>7</v>
      </c>
      <c r="ER17" s="2">
        <v>6</v>
      </c>
      <c r="ES17" s="2">
        <v>5</v>
      </c>
      <c r="ET17" s="2">
        <v>4</v>
      </c>
      <c r="EU17" s="2">
        <v>3</v>
      </c>
      <c r="EV17" s="2">
        <v>2</v>
      </c>
      <c r="EW17" s="2">
        <v>1</v>
      </c>
      <c r="EX17" s="2">
        <v>2</v>
      </c>
      <c r="EY17" s="2">
        <v>3</v>
      </c>
      <c r="EZ17" s="2">
        <v>4</v>
      </c>
      <c r="FA17" s="2">
        <v>5</v>
      </c>
      <c r="FB17" s="2">
        <v>6</v>
      </c>
      <c r="FC17" s="2">
        <v>7</v>
      </c>
      <c r="FD17" s="2">
        <v>8</v>
      </c>
      <c r="FE17" s="2">
        <v>9</v>
      </c>
      <c r="FF17" s="79" t="s">
        <v>3</v>
      </c>
      <c r="FG17" s="79"/>
      <c r="FH17" s="79"/>
      <c r="FK17" s="60" t="s">
        <v>32</v>
      </c>
      <c r="FL17" s="60"/>
      <c r="FM17" s="60">
        <f>1/7</f>
        <v>0.14285714285714285</v>
      </c>
      <c r="FN17" s="60"/>
      <c r="FO17" s="60">
        <v>7</v>
      </c>
      <c r="FP17" s="60"/>
      <c r="FQ17" s="60">
        <v>7</v>
      </c>
      <c r="FR17" s="60"/>
      <c r="FS17" s="60">
        <v>5</v>
      </c>
      <c r="FT17" s="60"/>
      <c r="FU17" s="62">
        <v>1</v>
      </c>
      <c r="FV17" s="62"/>
      <c r="FW17" s="60">
        <v>9</v>
      </c>
      <c r="FX17" s="60"/>
      <c r="FY17" s="60">
        <f>1/5</f>
        <v>0.2</v>
      </c>
      <c r="FZ17" s="60"/>
      <c r="GA17" s="60">
        <v>7</v>
      </c>
      <c r="GB17" s="60"/>
      <c r="GC17" s="60">
        <v>9</v>
      </c>
      <c r="GD17" s="60"/>
    </row>
    <row r="18" spans="1:186" x14ac:dyDescent="0.35">
      <c r="A18" s="80" t="s">
        <v>79</v>
      </c>
      <c r="B18" s="80"/>
      <c r="C18" s="80"/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80" t="s">
        <v>4</v>
      </c>
      <c r="V18" s="80"/>
      <c r="W18" s="8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2"/>
      <c r="AK18" s="62"/>
      <c r="AL18" s="60"/>
      <c r="AM18" s="60"/>
      <c r="AN18" s="60"/>
      <c r="AO18" s="60"/>
      <c r="AP18" s="60"/>
      <c r="AQ18" s="60"/>
      <c r="AR18" s="60"/>
      <c r="AS18" s="60"/>
      <c r="AV18" s="80" t="s">
        <v>79</v>
      </c>
      <c r="AW18" s="80"/>
      <c r="AX18" s="80"/>
      <c r="AY18" s="2"/>
      <c r="AZ18" s="2"/>
      <c r="BA18" s="2"/>
      <c r="BB18" s="2"/>
      <c r="BC18" s="3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80" t="s">
        <v>4</v>
      </c>
      <c r="BQ18" s="80"/>
      <c r="BR18" s="8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2"/>
      <c r="CF18" s="62"/>
      <c r="CG18" s="60"/>
      <c r="CH18" s="60"/>
      <c r="CI18" s="60"/>
      <c r="CJ18" s="60"/>
      <c r="CK18" s="60"/>
      <c r="CL18" s="60"/>
      <c r="CM18" s="60"/>
      <c r="CN18" s="60"/>
      <c r="CQ18" s="80" t="s">
        <v>79</v>
      </c>
      <c r="CR18" s="80"/>
      <c r="CS18" s="80"/>
      <c r="CT18" s="2"/>
      <c r="CU18" s="2"/>
      <c r="CV18" s="2"/>
      <c r="CW18" s="2"/>
      <c r="CX18" s="3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80" t="s">
        <v>4</v>
      </c>
      <c r="DL18" s="80"/>
      <c r="DM18" s="8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2"/>
      <c r="EA18" s="62"/>
      <c r="EB18" s="60"/>
      <c r="EC18" s="60"/>
      <c r="ED18" s="60"/>
      <c r="EE18" s="60"/>
      <c r="EF18" s="60"/>
      <c r="EG18" s="60"/>
      <c r="EH18" s="60"/>
      <c r="EI18" s="60"/>
      <c r="EL18" s="80" t="s">
        <v>79</v>
      </c>
      <c r="EM18" s="80"/>
      <c r="EN18" s="80"/>
      <c r="EO18" s="3"/>
      <c r="EP18" s="2"/>
      <c r="EQ18" s="2"/>
      <c r="ER18" s="2"/>
      <c r="ES18" s="5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80" t="s">
        <v>4</v>
      </c>
      <c r="FG18" s="80"/>
      <c r="FH18" s="80"/>
      <c r="FK18" s="60"/>
      <c r="FL18" s="60"/>
      <c r="FM18" s="60"/>
      <c r="FN18" s="60"/>
      <c r="FO18" s="60"/>
      <c r="FP18" s="60"/>
      <c r="FQ18" s="60"/>
      <c r="FR18" s="60"/>
      <c r="FS18" s="60"/>
      <c r="FT18" s="60"/>
      <c r="FU18" s="62"/>
      <c r="FV18" s="62"/>
      <c r="FW18" s="60"/>
      <c r="FX18" s="60"/>
      <c r="FY18" s="60"/>
      <c r="FZ18" s="60"/>
      <c r="GA18" s="60"/>
      <c r="GB18" s="60"/>
      <c r="GC18" s="60"/>
      <c r="GD18" s="60"/>
    </row>
    <row r="19" spans="1:186" ht="15" customHeight="1" x14ac:dyDescent="0.35">
      <c r="A19" s="80" t="s">
        <v>79</v>
      </c>
      <c r="B19" s="80"/>
      <c r="C19" s="80"/>
      <c r="D19" s="2"/>
      <c r="E19" s="2"/>
      <c r="F19" s="2"/>
      <c r="G19" s="2"/>
      <c r="H19" s="2"/>
      <c r="I19" s="2"/>
      <c r="J19" s="3"/>
      <c r="K19" s="2"/>
      <c r="L19" s="2"/>
      <c r="M19" s="2"/>
      <c r="N19" s="2"/>
      <c r="O19" s="2"/>
      <c r="P19" s="2"/>
      <c r="Q19" s="2"/>
      <c r="R19" s="2"/>
      <c r="S19" s="2"/>
      <c r="T19" s="2"/>
      <c r="U19" s="80" t="s">
        <v>5</v>
      </c>
      <c r="V19" s="80"/>
      <c r="W19" s="80"/>
      <c r="Z19" s="60" t="s">
        <v>7</v>
      </c>
      <c r="AA19" s="60"/>
      <c r="AB19" s="60">
        <f>1/3</f>
        <v>0.33333333333333331</v>
      </c>
      <c r="AC19" s="60"/>
      <c r="AD19" s="60">
        <f>1/7</f>
        <v>0.14285714285714285</v>
      </c>
      <c r="AE19" s="60"/>
      <c r="AF19" s="60">
        <f>1/3</f>
        <v>0.33333333333333331</v>
      </c>
      <c r="AG19" s="60"/>
      <c r="AH19" s="60">
        <f>1/7</f>
        <v>0.14285714285714285</v>
      </c>
      <c r="AI19" s="60"/>
      <c r="AJ19" s="60">
        <f>1/9</f>
        <v>0.1111111111111111</v>
      </c>
      <c r="AK19" s="60"/>
      <c r="AL19" s="62">
        <v>1</v>
      </c>
      <c r="AM19" s="62"/>
      <c r="AN19" s="60">
        <f>1/7</f>
        <v>0.14285714285714285</v>
      </c>
      <c r="AO19" s="60"/>
      <c r="AP19" s="60">
        <v>3</v>
      </c>
      <c r="AQ19" s="60"/>
      <c r="AR19" s="60">
        <v>3</v>
      </c>
      <c r="AS19" s="60"/>
      <c r="AV19" s="80" t="s">
        <v>79</v>
      </c>
      <c r="AW19" s="80"/>
      <c r="AX19" s="80"/>
      <c r="AY19" s="2"/>
      <c r="AZ19" s="2"/>
      <c r="BA19" s="2"/>
      <c r="BB19" s="2"/>
      <c r="BC19" s="2"/>
      <c r="BD19" s="2"/>
      <c r="BE19" s="5"/>
      <c r="BF19" s="2"/>
      <c r="BG19" s="2"/>
      <c r="BH19" s="2"/>
      <c r="BI19" s="2"/>
      <c r="BJ19" s="2"/>
      <c r="BK19" s="3"/>
      <c r="BL19" s="2"/>
      <c r="BM19" s="2"/>
      <c r="BN19" s="2"/>
      <c r="BO19" s="2"/>
      <c r="BP19" s="80" t="s">
        <v>5</v>
      </c>
      <c r="BQ19" s="80"/>
      <c r="BR19" s="80"/>
      <c r="BU19" s="60" t="s">
        <v>7</v>
      </c>
      <c r="BV19" s="60"/>
      <c r="BW19" s="60">
        <f>1/9</f>
        <v>0.1111111111111111</v>
      </c>
      <c r="BX19" s="60"/>
      <c r="BY19" s="60">
        <f>1/7</f>
        <v>0.14285714285714285</v>
      </c>
      <c r="BZ19" s="60"/>
      <c r="CA19" s="60">
        <f>1/9</f>
        <v>0.1111111111111111</v>
      </c>
      <c r="CB19" s="60"/>
      <c r="CC19" s="60">
        <v>7</v>
      </c>
      <c r="CD19" s="60"/>
      <c r="CE19" s="60">
        <f>1/9</f>
        <v>0.1111111111111111</v>
      </c>
      <c r="CF19" s="60"/>
      <c r="CG19" s="62">
        <v>1</v>
      </c>
      <c r="CH19" s="62"/>
      <c r="CI19" s="60">
        <f>1/7</f>
        <v>0.14285714285714285</v>
      </c>
      <c r="CJ19" s="60"/>
      <c r="CK19" s="60">
        <v>7</v>
      </c>
      <c r="CL19" s="60"/>
      <c r="CM19" s="60">
        <v>7</v>
      </c>
      <c r="CN19" s="60"/>
      <c r="CQ19" s="80" t="s">
        <v>79</v>
      </c>
      <c r="CR19" s="80"/>
      <c r="CS19" s="80"/>
      <c r="CT19" s="2"/>
      <c r="CU19" s="2"/>
      <c r="CV19" s="2"/>
      <c r="CW19" s="2"/>
      <c r="CX19" s="2"/>
      <c r="CY19" s="2"/>
      <c r="CZ19" s="5"/>
      <c r="DA19" s="2"/>
      <c r="DB19" s="2"/>
      <c r="DC19" s="2"/>
      <c r="DD19" s="2"/>
      <c r="DE19" s="2"/>
      <c r="DF19" s="2"/>
      <c r="DG19" s="2"/>
      <c r="DH19" s="3"/>
      <c r="DI19" s="2"/>
      <c r="DJ19" s="2"/>
      <c r="DK19" s="80" t="s">
        <v>5</v>
      </c>
      <c r="DL19" s="80"/>
      <c r="DM19" s="80"/>
      <c r="DP19" s="60" t="s">
        <v>7</v>
      </c>
      <c r="DQ19" s="60"/>
      <c r="DR19" s="60">
        <v>7</v>
      </c>
      <c r="DS19" s="60"/>
      <c r="DT19" s="60">
        <f>1/7</f>
        <v>0.14285714285714285</v>
      </c>
      <c r="DU19" s="60"/>
      <c r="DV19" s="60">
        <f>1/7</f>
        <v>0.14285714285714285</v>
      </c>
      <c r="DW19" s="60"/>
      <c r="DX19" s="60">
        <f>1/7</f>
        <v>0.14285714285714285</v>
      </c>
      <c r="DY19" s="60"/>
      <c r="DZ19" s="60">
        <f>1/9</f>
        <v>0.1111111111111111</v>
      </c>
      <c r="EA19" s="60"/>
      <c r="EB19" s="62">
        <v>1</v>
      </c>
      <c r="EC19" s="62"/>
      <c r="ED19" s="60">
        <f>1/7</f>
        <v>0.14285714285714285</v>
      </c>
      <c r="EE19" s="60"/>
      <c r="EF19" s="60">
        <v>3</v>
      </c>
      <c r="EG19" s="60"/>
      <c r="EH19" s="60">
        <v>5</v>
      </c>
      <c r="EI19" s="60"/>
      <c r="EL19" s="80" t="s">
        <v>79</v>
      </c>
      <c r="EM19" s="80"/>
      <c r="EN19" s="80"/>
      <c r="EO19" s="2"/>
      <c r="EP19" s="2"/>
      <c r="EQ19" s="2"/>
      <c r="ER19" s="2"/>
      <c r="ES19" s="2"/>
      <c r="ET19" s="2"/>
      <c r="EU19" s="5"/>
      <c r="EV19" s="2"/>
      <c r="EW19" s="2"/>
      <c r="EX19" s="2"/>
      <c r="EY19" s="2"/>
      <c r="EZ19" s="2"/>
      <c r="FA19" s="2"/>
      <c r="FB19" s="2"/>
      <c r="FC19" s="3"/>
      <c r="FD19" s="2"/>
      <c r="FE19" s="2"/>
      <c r="FF19" s="80" t="s">
        <v>5</v>
      </c>
      <c r="FG19" s="80"/>
      <c r="FH19" s="80"/>
      <c r="FK19" s="60" t="s">
        <v>7</v>
      </c>
      <c r="FL19" s="60"/>
      <c r="FM19" s="60">
        <f>1/3</f>
        <v>0.33333333333333331</v>
      </c>
      <c r="FN19" s="60"/>
      <c r="FO19" s="60">
        <f>1/7</f>
        <v>0.14285714285714285</v>
      </c>
      <c r="FP19" s="60"/>
      <c r="FQ19" s="60">
        <f>1/7</f>
        <v>0.14285714285714285</v>
      </c>
      <c r="FR19" s="60"/>
      <c r="FS19" s="60">
        <f>1/9</f>
        <v>0.1111111111111111</v>
      </c>
      <c r="FT19" s="60"/>
      <c r="FU19" s="60">
        <f>1/9</f>
        <v>0.1111111111111111</v>
      </c>
      <c r="FV19" s="60"/>
      <c r="FW19" s="62">
        <v>1</v>
      </c>
      <c r="FX19" s="62"/>
      <c r="FY19" s="60">
        <f>1/7</f>
        <v>0.14285714285714285</v>
      </c>
      <c r="FZ19" s="60"/>
      <c r="GA19" s="60">
        <v>7</v>
      </c>
      <c r="GB19" s="60"/>
      <c r="GC19" s="60">
        <v>5</v>
      </c>
      <c r="GD19" s="60"/>
    </row>
    <row r="20" spans="1:186" x14ac:dyDescent="0.35">
      <c r="A20" s="80" t="s">
        <v>79</v>
      </c>
      <c r="B20" s="80"/>
      <c r="C20" s="80"/>
      <c r="D20" s="2"/>
      <c r="E20" s="2"/>
      <c r="F20" s="2"/>
      <c r="G20" s="2"/>
      <c r="H20" s="2"/>
      <c r="I20" s="2"/>
      <c r="J20" s="3"/>
      <c r="K20" s="2"/>
      <c r="L20" s="2"/>
      <c r="M20" s="2"/>
      <c r="N20" s="2"/>
      <c r="O20" s="2"/>
      <c r="P20" s="2"/>
      <c r="Q20" s="2"/>
      <c r="R20" s="2"/>
      <c r="S20" s="2"/>
      <c r="T20" s="2"/>
      <c r="U20" s="80" t="s">
        <v>6</v>
      </c>
      <c r="V20" s="80"/>
      <c r="W20" s="8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2"/>
      <c r="AM20" s="62"/>
      <c r="AN20" s="60"/>
      <c r="AO20" s="60"/>
      <c r="AP20" s="60"/>
      <c r="AQ20" s="60"/>
      <c r="AR20" s="60"/>
      <c r="AS20" s="60"/>
      <c r="AV20" s="80" t="s">
        <v>79</v>
      </c>
      <c r="AW20" s="80"/>
      <c r="AX20" s="80"/>
      <c r="AY20" s="3"/>
      <c r="AZ20" s="2"/>
      <c r="BA20" s="2"/>
      <c r="BB20" s="2"/>
      <c r="BC20" s="2"/>
      <c r="BD20" s="2"/>
      <c r="BE20" s="5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80" t="s">
        <v>6</v>
      </c>
      <c r="BQ20" s="80"/>
      <c r="BR20" s="8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2"/>
      <c r="CH20" s="62"/>
      <c r="CI20" s="60"/>
      <c r="CJ20" s="60"/>
      <c r="CK20" s="60"/>
      <c r="CL20" s="60"/>
      <c r="CM20" s="60"/>
      <c r="CN20" s="60"/>
      <c r="CQ20" s="80" t="s">
        <v>79</v>
      </c>
      <c r="CR20" s="80"/>
      <c r="CS20" s="80"/>
      <c r="CT20" s="2"/>
      <c r="CU20" s="2"/>
      <c r="CV20" s="3"/>
      <c r="CW20" s="2"/>
      <c r="CX20" s="2"/>
      <c r="CY20" s="2"/>
      <c r="CZ20" s="5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80" t="s">
        <v>6</v>
      </c>
      <c r="DL20" s="80"/>
      <c r="DM20" s="8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2"/>
      <c r="EC20" s="62"/>
      <c r="ED20" s="60"/>
      <c r="EE20" s="60"/>
      <c r="EF20" s="60"/>
      <c r="EG20" s="60"/>
      <c r="EH20" s="60"/>
      <c r="EI20" s="60"/>
      <c r="EL20" s="80" t="s">
        <v>79</v>
      </c>
      <c r="EM20" s="80"/>
      <c r="EN20" s="80"/>
      <c r="EO20" s="2"/>
      <c r="EP20" s="2"/>
      <c r="EQ20" s="3"/>
      <c r="ER20" s="2"/>
      <c r="ES20" s="2"/>
      <c r="ET20" s="2"/>
      <c r="EU20" s="5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80" t="s">
        <v>6</v>
      </c>
      <c r="FG20" s="80"/>
      <c r="FH20" s="8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2"/>
      <c r="FX20" s="62"/>
      <c r="FY20" s="60"/>
      <c r="FZ20" s="60"/>
      <c r="GA20" s="60"/>
      <c r="GB20" s="60"/>
      <c r="GC20" s="60"/>
      <c r="GD20" s="60"/>
    </row>
    <row r="21" spans="1:186" ht="15" customHeight="1" x14ac:dyDescent="0.35">
      <c r="A21" s="80" t="s">
        <v>79</v>
      </c>
      <c r="B21" s="80"/>
      <c r="C21" s="80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3"/>
      <c r="S21" s="2"/>
      <c r="T21" s="2"/>
      <c r="U21" s="80" t="s">
        <v>7</v>
      </c>
      <c r="V21" s="80"/>
      <c r="W21" s="80"/>
      <c r="Z21" s="60" t="s">
        <v>8</v>
      </c>
      <c r="AA21" s="60"/>
      <c r="AB21" s="60">
        <f>1/5</f>
        <v>0.2</v>
      </c>
      <c r="AC21" s="60"/>
      <c r="AD21" s="60">
        <f>1/3</f>
        <v>0.33333333333333331</v>
      </c>
      <c r="AE21" s="60"/>
      <c r="AF21" s="60">
        <f>1/5</f>
        <v>0.2</v>
      </c>
      <c r="AG21" s="60"/>
      <c r="AH21" s="60">
        <f>1/5</f>
        <v>0.2</v>
      </c>
      <c r="AI21" s="60"/>
      <c r="AJ21" s="60">
        <f>1/7</f>
        <v>0.14285714285714285</v>
      </c>
      <c r="AK21" s="60"/>
      <c r="AL21" s="60">
        <v>7</v>
      </c>
      <c r="AM21" s="60"/>
      <c r="AN21" s="62">
        <v>1</v>
      </c>
      <c r="AO21" s="62"/>
      <c r="AP21" s="60">
        <v>7</v>
      </c>
      <c r="AQ21" s="60"/>
      <c r="AR21" s="60">
        <f>1/3</f>
        <v>0.33333333333333331</v>
      </c>
      <c r="AS21" s="60"/>
      <c r="AV21" s="80" t="s">
        <v>79</v>
      </c>
      <c r="AW21" s="80"/>
      <c r="AX21" s="80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3"/>
      <c r="BN21" s="2"/>
      <c r="BO21" s="2"/>
      <c r="BP21" s="80" t="s">
        <v>7</v>
      </c>
      <c r="BQ21" s="80"/>
      <c r="BR21" s="80"/>
      <c r="BU21" s="60" t="s">
        <v>8</v>
      </c>
      <c r="BV21" s="60"/>
      <c r="BW21" s="60">
        <f>1/5</f>
        <v>0.2</v>
      </c>
      <c r="BX21" s="60"/>
      <c r="BY21" s="60">
        <v>3</v>
      </c>
      <c r="BZ21" s="60"/>
      <c r="CA21" s="60">
        <f>1/9</f>
        <v>0.1111111111111111</v>
      </c>
      <c r="CB21" s="60"/>
      <c r="CC21" s="60">
        <f>1/7</f>
        <v>0.14285714285714285</v>
      </c>
      <c r="CD21" s="60"/>
      <c r="CE21" s="60">
        <v>7</v>
      </c>
      <c r="CF21" s="60"/>
      <c r="CG21" s="60">
        <v>7</v>
      </c>
      <c r="CH21" s="60"/>
      <c r="CI21" s="62">
        <v>1</v>
      </c>
      <c r="CJ21" s="62"/>
      <c r="CK21" s="60">
        <v>5</v>
      </c>
      <c r="CL21" s="60"/>
      <c r="CM21" s="60">
        <f>1/7</f>
        <v>0.14285714285714285</v>
      </c>
      <c r="CN21" s="60"/>
      <c r="CQ21" s="80" t="s">
        <v>79</v>
      </c>
      <c r="CR21" s="80"/>
      <c r="CS21" s="80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3"/>
      <c r="DI21" s="2"/>
      <c r="DJ21" s="2"/>
      <c r="DK21" s="80" t="s">
        <v>7</v>
      </c>
      <c r="DL21" s="80"/>
      <c r="DM21" s="80"/>
      <c r="DP21" s="60" t="s">
        <v>8</v>
      </c>
      <c r="DQ21" s="60"/>
      <c r="DR21" s="60">
        <v>9</v>
      </c>
      <c r="DS21" s="60"/>
      <c r="DT21" s="60">
        <v>9</v>
      </c>
      <c r="DU21" s="60"/>
      <c r="DV21" s="60">
        <v>6</v>
      </c>
      <c r="DW21" s="60"/>
      <c r="DX21" s="60">
        <v>9</v>
      </c>
      <c r="DY21" s="60"/>
      <c r="DZ21" s="60">
        <v>7</v>
      </c>
      <c r="EA21" s="60"/>
      <c r="EB21" s="60">
        <v>7</v>
      </c>
      <c r="EC21" s="60"/>
      <c r="ED21" s="62">
        <v>1</v>
      </c>
      <c r="EE21" s="62"/>
      <c r="EF21" s="60">
        <v>7</v>
      </c>
      <c r="EG21" s="60"/>
      <c r="EH21" s="60">
        <f>1/8</f>
        <v>0.125</v>
      </c>
      <c r="EI21" s="60"/>
      <c r="EL21" s="80" t="s">
        <v>79</v>
      </c>
      <c r="EM21" s="80"/>
      <c r="EN21" s="80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3"/>
      <c r="FD21" s="2"/>
      <c r="FE21" s="2"/>
      <c r="FF21" s="80" t="s">
        <v>7</v>
      </c>
      <c r="FG21" s="80"/>
      <c r="FH21" s="80"/>
      <c r="FK21" s="60" t="s">
        <v>8</v>
      </c>
      <c r="FL21" s="60"/>
      <c r="FM21" s="60">
        <v>7</v>
      </c>
      <c r="FN21" s="60"/>
      <c r="FO21" s="60">
        <v>9</v>
      </c>
      <c r="FP21" s="60"/>
      <c r="FQ21" s="60">
        <v>5</v>
      </c>
      <c r="FR21" s="60"/>
      <c r="FS21" s="60">
        <f>1/7</f>
        <v>0.14285714285714285</v>
      </c>
      <c r="FT21" s="60"/>
      <c r="FU21" s="60">
        <v>5</v>
      </c>
      <c r="FV21" s="60"/>
      <c r="FW21" s="60">
        <v>7</v>
      </c>
      <c r="FX21" s="60"/>
      <c r="FY21" s="62">
        <v>1</v>
      </c>
      <c r="FZ21" s="62"/>
      <c r="GA21" s="60">
        <v>9</v>
      </c>
      <c r="GB21" s="60"/>
      <c r="GC21" s="61">
        <f>1/9</f>
        <v>0.1111111111111111</v>
      </c>
      <c r="GD21" s="61"/>
    </row>
    <row r="22" spans="1:186" x14ac:dyDescent="0.35">
      <c r="A22" s="80" t="s">
        <v>79</v>
      </c>
      <c r="B22" s="80"/>
      <c r="C22" s="80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  <c r="O22" s="2"/>
      <c r="P22" s="2"/>
      <c r="Q22" s="2"/>
      <c r="R22" s="2"/>
      <c r="S22" s="2"/>
      <c r="T22" s="5"/>
      <c r="U22" s="80" t="s">
        <v>8</v>
      </c>
      <c r="V22" s="80"/>
      <c r="W22" s="8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2"/>
      <c r="AO22" s="62"/>
      <c r="AP22" s="60"/>
      <c r="AQ22" s="60"/>
      <c r="AR22" s="60"/>
      <c r="AS22" s="60"/>
      <c r="AV22" s="80" t="s">
        <v>79</v>
      </c>
      <c r="AW22" s="80"/>
      <c r="AX22" s="80"/>
      <c r="AY22" s="2"/>
      <c r="AZ22" s="2"/>
      <c r="BA22" s="2"/>
      <c r="BB22" s="2"/>
      <c r="BC22" s="2"/>
      <c r="BD22" s="2"/>
      <c r="BE22" s="3"/>
      <c r="BF22" s="2"/>
      <c r="BG22" s="2"/>
      <c r="BH22" s="2"/>
      <c r="BI22" s="5"/>
      <c r="BJ22" s="2"/>
      <c r="BK22" s="2"/>
      <c r="BL22" s="2"/>
      <c r="BM22" s="2"/>
      <c r="BN22" s="2"/>
      <c r="BO22" s="5"/>
      <c r="BP22" s="80" t="s">
        <v>8</v>
      </c>
      <c r="BQ22" s="80"/>
      <c r="BR22" s="8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2"/>
      <c r="CJ22" s="62"/>
      <c r="CK22" s="60"/>
      <c r="CL22" s="60"/>
      <c r="CM22" s="60"/>
      <c r="CN22" s="60"/>
      <c r="CQ22" s="80" t="s">
        <v>79</v>
      </c>
      <c r="CR22" s="80"/>
      <c r="CS22" s="80"/>
      <c r="CT22" s="3"/>
      <c r="CU22" s="2"/>
      <c r="CV22" s="2"/>
      <c r="CW22" s="2"/>
      <c r="CX22" s="2"/>
      <c r="CY22" s="2"/>
      <c r="CZ22" s="2"/>
      <c r="DA22" s="2"/>
      <c r="DB22" s="2"/>
      <c r="DC22" s="2"/>
      <c r="DD22" s="5"/>
      <c r="DE22" s="2"/>
      <c r="DF22" s="2"/>
      <c r="DG22" s="2"/>
      <c r="DH22" s="2"/>
      <c r="DI22" s="2"/>
      <c r="DJ22" s="5"/>
      <c r="DK22" s="80" t="s">
        <v>8</v>
      </c>
      <c r="DL22" s="80"/>
      <c r="DM22" s="8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2"/>
      <c r="EE22" s="62"/>
      <c r="EF22" s="60"/>
      <c r="EG22" s="60"/>
      <c r="EH22" s="60"/>
      <c r="EI22" s="60"/>
      <c r="EL22" s="80" t="s">
        <v>79</v>
      </c>
      <c r="EM22" s="80"/>
      <c r="EN22" s="80"/>
      <c r="EO22" s="3"/>
      <c r="EP22" s="2"/>
      <c r="EQ22" s="2"/>
      <c r="ER22" s="2"/>
      <c r="ES22" s="2"/>
      <c r="ET22" s="2"/>
      <c r="EU22" s="2"/>
      <c r="EV22" s="2"/>
      <c r="EW22" s="2"/>
      <c r="EX22" s="2"/>
      <c r="EY22" s="5"/>
      <c r="EZ22" s="2"/>
      <c r="FA22" s="2"/>
      <c r="FB22" s="2"/>
      <c r="FC22" s="2"/>
      <c r="FD22" s="2"/>
      <c r="FE22" s="5"/>
      <c r="FF22" s="80" t="s">
        <v>8</v>
      </c>
      <c r="FG22" s="80"/>
      <c r="FH22" s="80"/>
      <c r="FK22" s="60"/>
      <c r="FL22" s="60"/>
      <c r="FM22" s="60"/>
      <c r="FN22" s="60"/>
      <c r="FO22" s="60"/>
      <c r="FP22" s="60"/>
      <c r="FQ22" s="60"/>
      <c r="FR22" s="60"/>
      <c r="FS22" s="60"/>
      <c r="FT22" s="60"/>
      <c r="FU22" s="60"/>
      <c r="FV22" s="60"/>
      <c r="FW22" s="60"/>
      <c r="FX22" s="60"/>
      <c r="FY22" s="62"/>
      <c r="FZ22" s="62"/>
      <c r="GA22" s="60"/>
      <c r="GB22" s="60"/>
      <c r="GC22" s="61"/>
      <c r="GD22" s="61"/>
    </row>
    <row r="23" spans="1:186" ht="15" customHeight="1" x14ac:dyDescent="0.35">
      <c r="A23" s="80" t="s">
        <v>79</v>
      </c>
      <c r="B23" s="80"/>
      <c r="C23" s="80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2"/>
      <c r="R23" s="2"/>
      <c r="S23" s="2"/>
      <c r="T23" s="2"/>
      <c r="U23" s="80" t="s">
        <v>80</v>
      </c>
      <c r="V23" s="80"/>
      <c r="W23" s="80"/>
      <c r="Z23" s="60" t="s">
        <v>80</v>
      </c>
      <c r="AA23" s="60"/>
      <c r="AB23" s="60">
        <v>2</v>
      </c>
      <c r="AC23" s="60"/>
      <c r="AD23" s="60">
        <f>1/5</f>
        <v>0.2</v>
      </c>
      <c r="AE23" s="60"/>
      <c r="AF23" s="60">
        <v>3</v>
      </c>
      <c r="AG23" s="60"/>
      <c r="AH23" s="60">
        <f>1/3</f>
        <v>0.33333333333333331</v>
      </c>
      <c r="AI23" s="60"/>
      <c r="AJ23" s="60">
        <f>1/5</f>
        <v>0.2</v>
      </c>
      <c r="AK23" s="60"/>
      <c r="AL23" s="60">
        <f>1/3</f>
        <v>0.33333333333333331</v>
      </c>
      <c r="AM23" s="60"/>
      <c r="AN23" s="60">
        <f>1/7</f>
        <v>0.14285714285714285</v>
      </c>
      <c r="AO23" s="60"/>
      <c r="AP23" s="62">
        <v>1</v>
      </c>
      <c r="AQ23" s="62"/>
      <c r="AR23" s="60">
        <f>1/7</f>
        <v>0.14285714285714285</v>
      </c>
      <c r="AS23" s="60"/>
      <c r="AV23" s="80" t="s">
        <v>79</v>
      </c>
      <c r="AW23" s="80"/>
      <c r="AX23" s="80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3"/>
      <c r="BL23" s="2"/>
      <c r="BM23" s="2"/>
      <c r="BN23" s="2"/>
      <c r="BO23" s="2"/>
      <c r="BP23" s="80" t="s">
        <v>80</v>
      </c>
      <c r="BQ23" s="80"/>
      <c r="BR23" s="80"/>
      <c r="BU23" s="60" t="s">
        <v>80</v>
      </c>
      <c r="BV23" s="60"/>
      <c r="BW23" s="60">
        <v>7</v>
      </c>
      <c r="BX23" s="60"/>
      <c r="BY23" s="60">
        <f>1/5</f>
        <v>0.2</v>
      </c>
      <c r="BZ23" s="60"/>
      <c r="CA23" s="60">
        <f>1/5</f>
        <v>0.2</v>
      </c>
      <c r="CB23" s="60"/>
      <c r="CC23" s="60">
        <f>1/3</f>
        <v>0.33333333333333331</v>
      </c>
      <c r="CD23" s="60"/>
      <c r="CE23" s="60">
        <f>1/7</f>
        <v>0.14285714285714285</v>
      </c>
      <c r="CF23" s="60"/>
      <c r="CG23" s="60">
        <f>1/7</f>
        <v>0.14285714285714285</v>
      </c>
      <c r="CH23" s="60"/>
      <c r="CI23" s="60">
        <f>1/5</f>
        <v>0.2</v>
      </c>
      <c r="CJ23" s="60"/>
      <c r="CK23" s="62">
        <v>1</v>
      </c>
      <c r="CL23" s="62"/>
      <c r="CM23" s="60">
        <f>1/7</f>
        <v>0.14285714285714285</v>
      </c>
      <c r="CN23" s="60"/>
      <c r="CQ23" s="80" t="s">
        <v>79</v>
      </c>
      <c r="CR23" s="80"/>
      <c r="CS23" s="80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5"/>
      <c r="DG23" s="2"/>
      <c r="DH23" s="3"/>
      <c r="DI23" s="2"/>
      <c r="DJ23" s="2"/>
      <c r="DK23" s="80" t="s">
        <v>80</v>
      </c>
      <c r="DL23" s="80"/>
      <c r="DM23" s="80"/>
      <c r="DP23" s="60" t="s">
        <v>80</v>
      </c>
      <c r="DQ23" s="60"/>
      <c r="DR23" s="60">
        <v>5</v>
      </c>
      <c r="DS23" s="60"/>
      <c r="DT23" s="60">
        <f>1/7</f>
        <v>0.14285714285714285</v>
      </c>
      <c r="DU23" s="60"/>
      <c r="DV23" s="60">
        <f>1/5</f>
        <v>0.2</v>
      </c>
      <c r="DW23" s="60"/>
      <c r="DX23" s="60">
        <f>1/3</f>
        <v>0.33333333333333331</v>
      </c>
      <c r="DY23" s="60"/>
      <c r="DZ23" s="60">
        <v>5</v>
      </c>
      <c r="EA23" s="60"/>
      <c r="EB23" s="60">
        <f>1/3</f>
        <v>0.33333333333333331</v>
      </c>
      <c r="EC23" s="60"/>
      <c r="ED23" s="60">
        <f>1/7</f>
        <v>0.14285714285714285</v>
      </c>
      <c r="EE23" s="60"/>
      <c r="EF23" s="62">
        <v>1</v>
      </c>
      <c r="EG23" s="62"/>
      <c r="EH23" s="60">
        <f>1/7</f>
        <v>0.14285714285714285</v>
      </c>
      <c r="EI23" s="60"/>
      <c r="EL23" s="80" t="s">
        <v>79</v>
      </c>
      <c r="EM23" s="80"/>
      <c r="EN23" s="80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3"/>
      <c r="FB23" s="2"/>
      <c r="FC23" s="2"/>
      <c r="FD23" s="2"/>
      <c r="FE23" s="2"/>
      <c r="FF23" s="80" t="s">
        <v>80</v>
      </c>
      <c r="FG23" s="80"/>
      <c r="FH23" s="80"/>
      <c r="FK23" s="60" t="s">
        <v>80</v>
      </c>
      <c r="FL23" s="60"/>
      <c r="FM23" s="60">
        <v>4</v>
      </c>
      <c r="FN23" s="60"/>
      <c r="FO23" s="60">
        <f>1/5</f>
        <v>0.2</v>
      </c>
      <c r="FP23" s="60"/>
      <c r="FQ23" s="60">
        <f>1/5</f>
        <v>0.2</v>
      </c>
      <c r="FR23" s="60"/>
      <c r="FS23" s="60">
        <f>1/9</f>
        <v>0.1111111111111111</v>
      </c>
      <c r="FT23" s="60"/>
      <c r="FU23" s="60">
        <f>1/7</f>
        <v>0.14285714285714285</v>
      </c>
      <c r="FV23" s="60"/>
      <c r="FW23" s="60">
        <f>1/7</f>
        <v>0.14285714285714285</v>
      </c>
      <c r="FX23" s="60"/>
      <c r="FY23" s="60">
        <f>1/9</f>
        <v>0.1111111111111111</v>
      </c>
      <c r="FZ23" s="60"/>
      <c r="GA23" s="62">
        <v>1</v>
      </c>
      <c r="GB23" s="62"/>
      <c r="GC23" s="60">
        <f>1/7</f>
        <v>0.14285714285714285</v>
      </c>
      <c r="GD23" s="60"/>
    </row>
    <row r="24" spans="1:186" x14ac:dyDescent="0.35">
      <c r="A24" s="80" t="s">
        <v>79</v>
      </c>
      <c r="B24" s="80"/>
      <c r="C24" s="80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  <c r="O24" s="2"/>
      <c r="P24" s="2"/>
      <c r="Q24" s="2"/>
      <c r="R24" s="2"/>
      <c r="S24" s="2"/>
      <c r="T24" s="2"/>
      <c r="U24" s="80" t="s">
        <v>9</v>
      </c>
      <c r="V24" s="80"/>
      <c r="W24" s="8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2"/>
      <c r="AQ24" s="62"/>
      <c r="AR24" s="60"/>
      <c r="AS24" s="60"/>
      <c r="AV24" s="80" t="s">
        <v>79</v>
      </c>
      <c r="AW24" s="80"/>
      <c r="AX24" s="80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3"/>
      <c r="BJ24" s="2"/>
      <c r="BK24" s="2"/>
      <c r="BL24" s="2"/>
      <c r="BM24" s="2"/>
      <c r="BN24" s="2"/>
      <c r="BO24" s="2"/>
      <c r="BP24" s="80" t="s">
        <v>9</v>
      </c>
      <c r="BQ24" s="80"/>
      <c r="BR24" s="8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2"/>
      <c r="CL24" s="62"/>
      <c r="CM24" s="60"/>
      <c r="CN24" s="60"/>
      <c r="CQ24" s="80" t="s">
        <v>79</v>
      </c>
      <c r="CR24" s="80"/>
      <c r="CS24" s="80"/>
      <c r="CT24" s="2"/>
      <c r="CU24" s="2"/>
      <c r="CV24" s="2"/>
      <c r="CW24" s="2"/>
      <c r="CX24" s="2"/>
      <c r="CY24" s="2"/>
      <c r="CZ24" s="3"/>
      <c r="DA24" s="2"/>
      <c r="DB24" s="2"/>
      <c r="DC24" s="2"/>
      <c r="DD24" s="5"/>
      <c r="DE24" s="2"/>
      <c r="DF24" s="2"/>
      <c r="DG24" s="2"/>
      <c r="DH24" s="2"/>
      <c r="DI24" s="2"/>
      <c r="DJ24" s="2"/>
      <c r="DK24" s="80" t="s">
        <v>9</v>
      </c>
      <c r="DL24" s="80"/>
      <c r="DM24" s="8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2"/>
      <c r="EG24" s="62"/>
      <c r="EH24" s="60"/>
      <c r="EI24" s="60"/>
      <c r="EL24" s="80" t="s">
        <v>79</v>
      </c>
      <c r="EM24" s="80"/>
      <c r="EN24" s="80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3"/>
      <c r="EZ24" s="2"/>
      <c r="FA24" s="2"/>
      <c r="FB24" s="2"/>
      <c r="FC24" s="2"/>
      <c r="FD24" s="2"/>
      <c r="FE24" s="2"/>
      <c r="FF24" s="80" t="s">
        <v>9</v>
      </c>
      <c r="FG24" s="80"/>
      <c r="FH24" s="80"/>
      <c r="FK24" s="60"/>
      <c r="FL24" s="60"/>
      <c r="FM24" s="60"/>
      <c r="FN24" s="60"/>
      <c r="FO24" s="60"/>
      <c r="FP24" s="60"/>
      <c r="FQ24" s="60"/>
      <c r="FR24" s="60"/>
      <c r="FS24" s="60"/>
      <c r="FT24" s="60"/>
      <c r="FU24" s="60"/>
      <c r="FV24" s="60"/>
      <c r="FW24" s="60"/>
      <c r="FX24" s="60"/>
      <c r="FY24" s="60"/>
      <c r="FZ24" s="60"/>
      <c r="GA24" s="62"/>
      <c r="GB24" s="62"/>
      <c r="GC24" s="60"/>
      <c r="GD24" s="60"/>
    </row>
    <row r="25" spans="1:186" ht="1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Z25" s="60" t="s">
        <v>33</v>
      </c>
      <c r="AA25" s="60"/>
      <c r="AB25" s="60">
        <v>5</v>
      </c>
      <c r="AC25" s="60"/>
      <c r="AD25" s="60">
        <f>1/3</f>
        <v>0.33333333333333331</v>
      </c>
      <c r="AE25" s="60"/>
      <c r="AF25" s="60">
        <v>7</v>
      </c>
      <c r="AG25" s="60"/>
      <c r="AH25" s="60">
        <v>3</v>
      </c>
      <c r="AI25" s="60"/>
      <c r="AJ25" s="60">
        <f>1/3</f>
        <v>0.33333333333333331</v>
      </c>
      <c r="AK25" s="60"/>
      <c r="AL25" s="60">
        <f>1/3</f>
        <v>0.33333333333333331</v>
      </c>
      <c r="AM25" s="60"/>
      <c r="AN25" s="60">
        <v>3</v>
      </c>
      <c r="AO25" s="60"/>
      <c r="AP25" s="60">
        <v>7</v>
      </c>
      <c r="AQ25" s="60"/>
      <c r="AR25" s="62">
        <v>1</v>
      </c>
      <c r="AS25" s="62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U25" s="60" t="s">
        <v>33</v>
      </c>
      <c r="BV25" s="60"/>
      <c r="BW25" s="60">
        <v>5</v>
      </c>
      <c r="BX25" s="60"/>
      <c r="BY25" s="60">
        <f>1/3</f>
        <v>0.33333333333333331</v>
      </c>
      <c r="BZ25" s="60"/>
      <c r="CA25" s="60">
        <v>7</v>
      </c>
      <c r="CB25" s="60"/>
      <c r="CC25" s="60">
        <f>1/7</f>
        <v>0.14285714285714285</v>
      </c>
      <c r="CD25" s="60"/>
      <c r="CE25" s="60">
        <f>1/7</f>
        <v>0.14285714285714285</v>
      </c>
      <c r="CF25" s="60"/>
      <c r="CG25" s="60">
        <f>1/7</f>
        <v>0.14285714285714285</v>
      </c>
      <c r="CH25" s="60"/>
      <c r="CI25" s="60">
        <v>7</v>
      </c>
      <c r="CJ25" s="60"/>
      <c r="CK25" s="60">
        <v>7</v>
      </c>
      <c r="CL25" s="60"/>
      <c r="CM25" s="62">
        <v>1</v>
      </c>
      <c r="CN25" s="62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P25" s="60" t="s">
        <v>33</v>
      </c>
      <c r="DQ25" s="60"/>
      <c r="DR25" s="60">
        <v>5</v>
      </c>
      <c r="DS25" s="60"/>
      <c r="DT25" s="60">
        <v>3</v>
      </c>
      <c r="DU25" s="60"/>
      <c r="DV25" s="60">
        <v>7</v>
      </c>
      <c r="DW25" s="60"/>
      <c r="DX25" s="60">
        <v>3</v>
      </c>
      <c r="DY25" s="60"/>
      <c r="DZ25" s="60">
        <f>1/3</f>
        <v>0.33333333333333331</v>
      </c>
      <c r="EA25" s="60"/>
      <c r="EB25" s="60">
        <f>1/5</f>
        <v>0.2</v>
      </c>
      <c r="EC25" s="60"/>
      <c r="ED25" s="60">
        <v>8</v>
      </c>
      <c r="EE25" s="60"/>
      <c r="EF25" s="60">
        <v>7</v>
      </c>
      <c r="EG25" s="60"/>
      <c r="EH25" s="62">
        <v>1</v>
      </c>
      <c r="EI25" s="62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K25" s="60" t="s">
        <v>33</v>
      </c>
      <c r="FL25" s="60"/>
      <c r="FM25" s="60">
        <v>5</v>
      </c>
      <c r="FN25" s="60"/>
      <c r="FO25" s="60">
        <f>1/3</f>
        <v>0.33333333333333331</v>
      </c>
      <c r="FP25" s="60"/>
      <c r="FQ25" s="60">
        <f>1/7</f>
        <v>0.14285714285714285</v>
      </c>
      <c r="FR25" s="60"/>
      <c r="FS25" s="60">
        <v>7</v>
      </c>
      <c r="FT25" s="60"/>
      <c r="FU25" s="60">
        <f>1/9</f>
        <v>0.1111111111111111</v>
      </c>
      <c r="FV25" s="60"/>
      <c r="FW25" s="60">
        <f>1/5</f>
        <v>0.2</v>
      </c>
      <c r="FX25" s="60"/>
      <c r="FY25" s="60">
        <v>9</v>
      </c>
      <c r="FZ25" s="60"/>
      <c r="GA25" s="60">
        <v>7</v>
      </c>
      <c r="GB25" s="60"/>
      <c r="GC25" s="62">
        <v>1</v>
      </c>
      <c r="GD25" s="62"/>
    </row>
    <row r="26" spans="1:186" x14ac:dyDescent="0.35">
      <c r="A26" s="79" t="s">
        <v>2</v>
      </c>
      <c r="B26" s="79"/>
      <c r="C26" s="79"/>
      <c r="D26" s="2">
        <v>9</v>
      </c>
      <c r="E26" s="2">
        <v>8</v>
      </c>
      <c r="F26" s="2">
        <v>7</v>
      </c>
      <c r="G26" s="2">
        <v>6</v>
      </c>
      <c r="H26" s="2">
        <v>5</v>
      </c>
      <c r="I26" s="2">
        <v>4</v>
      </c>
      <c r="J26" s="2">
        <v>3</v>
      </c>
      <c r="K26" s="2">
        <v>2</v>
      </c>
      <c r="L26" s="2">
        <v>1</v>
      </c>
      <c r="M26" s="2">
        <v>2</v>
      </c>
      <c r="N26" s="2">
        <v>3</v>
      </c>
      <c r="O26" s="2">
        <v>4</v>
      </c>
      <c r="P26" s="2">
        <v>5</v>
      </c>
      <c r="Q26" s="2">
        <v>6</v>
      </c>
      <c r="R26" s="2">
        <v>7</v>
      </c>
      <c r="S26" s="2">
        <v>8</v>
      </c>
      <c r="T26" s="2">
        <v>9</v>
      </c>
      <c r="U26" s="79" t="s">
        <v>3</v>
      </c>
      <c r="V26" s="79"/>
      <c r="W26" s="79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2"/>
      <c r="AS26" s="62"/>
      <c r="AV26" s="79" t="s">
        <v>2</v>
      </c>
      <c r="AW26" s="79"/>
      <c r="AX26" s="79"/>
      <c r="AY26" s="2">
        <v>9</v>
      </c>
      <c r="AZ26" s="2">
        <v>8</v>
      </c>
      <c r="BA26" s="2">
        <v>7</v>
      </c>
      <c r="BB26" s="2">
        <v>6</v>
      </c>
      <c r="BC26" s="2">
        <v>5</v>
      </c>
      <c r="BD26" s="2">
        <v>4</v>
      </c>
      <c r="BE26" s="2">
        <v>3</v>
      </c>
      <c r="BF26" s="2">
        <v>2</v>
      </c>
      <c r="BG26" s="2">
        <v>1</v>
      </c>
      <c r="BH26" s="2">
        <v>2</v>
      </c>
      <c r="BI26" s="2">
        <v>3</v>
      </c>
      <c r="BJ26" s="2">
        <v>4</v>
      </c>
      <c r="BK26" s="2">
        <v>5</v>
      </c>
      <c r="BL26" s="2">
        <v>6</v>
      </c>
      <c r="BM26" s="2">
        <v>7</v>
      </c>
      <c r="BN26" s="2">
        <v>8</v>
      </c>
      <c r="BO26" s="2">
        <v>9</v>
      </c>
      <c r="BP26" s="79" t="s">
        <v>3</v>
      </c>
      <c r="BQ26" s="79"/>
      <c r="BR26" s="79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2"/>
      <c r="CN26" s="62"/>
      <c r="CQ26" s="79" t="s">
        <v>2</v>
      </c>
      <c r="CR26" s="79"/>
      <c r="CS26" s="79"/>
      <c r="CT26" s="2">
        <v>9</v>
      </c>
      <c r="CU26" s="2">
        <v>8</v>
      </c>
      <c r="CV26" s="2">
        <v>7</v>
      </c>
      <c r="CW26" s="2">
        <v>6</v>
      </c>
      <c r="CX26" s="2">
        <v>5</v>
      </c>
      <c r="CY26" s="2">
        <v>4</v>
      </c>
      <c r="CZ26" s="2">
        <v>3</v>
      </c>
      <c r="DA26" s="2">
        <v>2</v>
      </c>
      <c r="DB26" s="2">
        <v>1</v>
      </c>
      <c r="DC26" s="2">
        <v>2</v>
      </c>
      <c r="DD26" s="2">
        <v>3</v>
      </c>
      <c r="DE26" s="2">
        <v>4</v>
      </c>
      <c r="DF26" s="2">
        <v>5</v>
      </c>
      <c r="DG26" s="2">
        <v>6</v>
      </c>
      <c r="DH26" s="2">
        <v>7</v>
      </c>
      <c r="DI26" s="2">
        <v>8</v>
      </c>
      <c r="DJ26" s="2">
        <v>9</v>
      </c>
      <c r="DK26" s="79" t="s">
        <v>3</v>
      </c>
      <c r="DL26" s="79"/>
      <c r="DM26" s="79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2"/>
      <c r="EI26" s="62"/>
      <c r="EL26" s="79" t="s">
        <v>2</v>
      </c>
      <c r="EM26" s="79"/>
      <c r="EN26" s="79"/>
      <c r="EO26" s="2">
        <v>9</v>
      </c>
      <c r="EP26" s="2">
        <v>8</v>
      </c>
      <c r="EQ26" s="2">
        <v>7</v>
      </c>
      <c r="ER26" s="2">
        <v>6</v>
      </c>
      <c r="ES26" s="2">
        <v>5</v>
      </c>
      <c r="ET26" s="2">
        <v>4</v>
      </c>
      <c r="EU26" s="2">
        <v>3</v>
      </c>
      <c r="EV26" s="2">
        <v>2</v>
      </c>
      <c r="EW26" s="2">
        <v>1</v>
      </c>
      <c r="EX26" s="2">
        <v>2</v>
      </c>
      <c r="EY26" s="2">
        <v>3</v>
      </c>
      <c r="EZ26" s="2">
        <v>4</v>
      </c>
      <c r="FA26" s="2">
        <v>5</v>
      </c>
      <c r="FB26" s="2">
        <v>6</v>
      </c>
      <c r="FC26" s="2">
        <v>7</v>
      </c>
      <c r="FD26" s="2">
        <v>8</v>
      </c>
      <c r="FE26" s="2">
        <v>9</v>
      </c>
      <c r="FF26" s="79" t="s">
        <v>3</v>
      </c>
      <c r="FG26" s="79"/>
      <c r="FH26" s="79"/>
      <c r="FK26" s="60"/>
      <c r="FL26" s="60"/>
      <c r="FM26" s="60"/>
      <c r="FN26" s="60"/>
      <c r="FO26" s="60"/>
      <c r="FP26" s="60"/>
      <c r="FQ26" s="60"/>
      <c r="FR26" s="60"/>
      <c r="FS26" s="60"/>
      <c r="FT26" s="60"/>
      <c r="FU26" s="60"/>
      <c r="FV26" s="60"/>
      <c r="FW26" s="60"/>
      <c r="FX26" s="60"/>
      <c r="FY26" s="60"/>
      <c r="FZ26" s="60"/>
      <c r="GA26" s="60"/>
      <c r="GB26" s="60"/>
      <c r="GC26" s="62"/>
      <c r="GD26" s="62"/>
    </row>
    <row r="27" spans="1:186" x14ac:dyDescent="0.35">
      <c r="A27" s="80" t="s">
        <v>4</v>
      </c>
      <c r="B27" s="80"/>
      <c r="C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"/>
      <c r="S27" s="2"/>
      <c r="T27" s="2"/>
      <c r="U27" s="80" t="s">
        <v>5</v>
      </c>
      <c r="V27" s="80"/>
      <c r="W27" s="80"/>
      <c r="AV27" s="80" t="s">
        <v>4</v>
      </c>
      <c r="AW27" s="80"/>
      <c r="AX27" s="80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3"/>
      <c r="BN27" s="2"/>
      <c r="BO27" s="2"/>
      <c r="BP27" s="80" t="s">
        <v>5</v>
      </c>
      <c r="BQ27" s="80"/>
      <c r="BR27" s="80"/>
      <c r="CQ27" s="80" t="s">
        <v>4</v>
      </c>
      <c r="CR27" s="80"/>
      <c r="CS27" s="80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3"/>
      <c r="DI27" s="2"/>
      <c r="DJ27" s="2"/>
      <c r="DK27" s="80" t="s">
        <v>5</v>
      </c>
      <c r="DL27" s="80"/>
      <c r="DM27" s="80"/>
      <c r="EL27" s="80" t="s">
        <v>4</v>
      </c>
      <c r="EM27" s="80"/>
      <c r="EN27" s="80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5"/>
      <c r="FD27" s="2"/>
      <c r="FE27" s="3"/>
      <c r="FF27" s="80" t="s">
        <v>5</v>
      </c>
      <c r="FG27" s="80"/>
      <c r="FH27" s="80"/>
    </row>
    <row r="28" spans="1:186" x14ac:dyDescent="0.35">
      <c r="A28" s="80" t="s">
        <v>4</v>
      </c>
      <c r="B28" s="80"/>
      <c r="C28" s="80"/>
      <c r="D28" s="2"/>
      <c r="E28" s="2"/>
      <c r="F28" s="2"/>
      <c r="G28" s="2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80" t="s">
        <v>6</v>
      </c>
      <c r="V28" s="80"/>
      <c r="W28" s="80"/>
      <c r="AV28" s="80" t="s">
        <v>4</v>
      </c>
      <c r="AW28" s="80"/>
      <c r="AX28" s="80"/>
      <c r="AY28" s="2"/>
      <c r="AZ28" s="2"/>
      <c r="BA28" s="3"/>
      <c r="BB28" s="2"/>
      <c r="BC28" s="5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80" t="s">
        <v>6</v>
      </c>
      <c r="BQ28" s="80"/>
      <c r="BR28" s="80"/>
      <c r="CQ28" s="80" t="s">
        <v>4</v>
      </c>
      <c r="CR28" s="80"/>
      <c r="CS28" s="80"/>
      <c r="CT28" s="3"/>
      <c r="CU28" s="2"/>
      <c r="CV28" s="2"/>
      <c r="CW28" s="2"/>
      <c r="CX28" s="5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80" t="s">
        <v>6</v>
      </c>
      <c r="DL28" s="80"/>
      <c r="DM28" s="80"/>
      <c r="EL28" s="80" t="s">
        <v>4</v>
      </c>
      <c r="EM28" s="80"/>
      <c r="EN28" s="80"/>
      <c r="EO28" s="2"/>
      <c r="EP28" s="2"/>
      <c r="EQ28" s="3"/>
      <c r="ER28" s="2"/>
      <c r="ES28" s="5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80" t="s">
        <v>6</v>
      </c>
      <c r="FG28" s="80"/>
      <c r="FH28" s="80"/>
    </row>
    <row r="29" spans="1:186" x14ac:dyDescent="0.35">
      <c r="A29" s="80" t="s">
        <v>4</v>
      </c>
      <c r="B29" s="80"/>
      <c r="C29" s="80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2"/>
      <c r="P29" s="2"/>
      <c r="Q29" s="2"/>
      <c r="R29" s="2"/>
      <c r="S29" s="2"/>
      <c r="T29" s="2"/>
      <c r="U29" s="80" t="s">
        <v>7</v>
      </c>
      <c r="V29" s="80"/>
      <c r="W29" s="80"/>
      <c r="AV29" s="80" t="s">
        <v>4</v>
      </c>
      <c r="AW29" s="80"/>
      <c r="AX29" s="80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5"/>
      <c r="BJ29" s="2"/>
      <c r="BK29" s="5"/>
      <c r="BL29" s="2"/>
      <c r="BM29" s="2"/>
      <c r="BN29" s="2"/>
      <c r="BO29" s="3"/>
      <c r="BP29" s="80" t="s">
        <v>7</v>
      </c>
      <c r="BQ29" s="80"/>
      <c r="BR29" s="80"/>
      <c r="CQ29" s="80" t="s">
        <v>4</v>
      </c>
      <c r="CR29" s="80"/>
      <c r="CS29" s="80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5"/>
      <c r="DE29" s="2"/>
      <c r="DF29" s="2"/>
      <c r="DG29" s="2"/>
      <c r="DH29" s="3"/>
      <c r="DI29" s="2"/>
      <c r="DJ29" s="2"/>
      <c r="DK29" s="80" t="s">
        <v>7</v>
      </c>
      <c r="DL29" s="80"/>
      <c r="DM29" s="80"/>
      <c r="EL29" s="80" t="s">
        <v>4</v>
      </c>
      <c r="EM29" s="80"/>
      <c r="EN29" s="80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5"/>
      <c r="EZ29" s="2"/>
      <c r="FA29" s="2"/>
      <c r="FB29" s="2"/>
      <c r="FC29" s="3"/>
      <c r="FD29" s="2"/>
      <c r="FE29" s="2"/>
      <c r="FF29" s="80" t="s">
        <v>7</v>
      </c>
      <c r="FG29" s="80"/>
      <c r="FH29" s="80"/>
    </row>
    <row r="30" spans="1:186" x14ac:dyDescent="0.35">
      <c r="A30" s="80" t="s">
        <v>4</v>
      </c>
      <c r="B30" s="80"/>
      <c r="C30" s="8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"/>
      <c r="Q30" s="2"/>
      <c r="R30" s="2"/>
      <c r="S30" s="2"/>
      <c r="T30" s="2"/>
      <c r="U30" s="80" t="s">
        <v>8</v>
      </c>
      <c r="V30" s="80"/>
      <c r="W30" s="80"/>
      <c r="AV30" s="80" t="s">
        <v>4</v>
      </c>
      <c r="AW30" s="80"/>
      <c r="AX30" s="80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5"/>
      <c r="BL30" s="2"/>
      <c r="BM30" s="2"/>
      <c r="BN30" s="2"/>
      <c r="BO30" s="3"/>
      <c r="BP30" s="80" t="s">
        <v>8</v>
      </c>
      <c r="BQ30" s="80"/>
      <c r="BR30" s="80"/>
      <c r="CQ30" s="80" t="s">
        <v>4</v>
      </c>
      <c r="CR30" s="80"/>
      <c r="CS30" s="80"/>
      <c r="CT30" s="2"/>
      <c r="CU30" s="2"/>
      <c r="CV30" s="2"/>
      <c r="CW30" s="3"/>
      <c r="CX30" s="2"/>
      <c r="CY30" s="2"/>
      <c r="CZ30" s="2"/>
      <c r="DA30" s="2"/>
      <c r="DB30" s="2"/>
      <c r="DC30" s="2"/>
      <c r="DD30" s="2"/>
      <c r="DE30" s="2"/>
      <c r="DF30" s="5"/>
      <c r="DG30" s="2"/>
      <c r="DH30" s="2"/>
      <c r="DI30" s="2"/>
      <c r="DJ30" s="2"/>
      <c r="DK30" s="80" t="s">
        <v>8</v>
      </c>
      <c r="DL30" s="80"/>
      <c r="DM30" s="80"/>
      <c r="EL30" s="80" t="s">
        <v>4</v>
      </c>
      <c r="EM30" s="80"/>
      <c r="EN30" s="80"/>
      <c r="EO30" s="2"/>
      <c r="EP30" s="2"/>
      <c r="EQ30" s="2"/>
      <c r="ER30" s="2"/>
      <c r="ES30" s="3"/>
      <c r="ET30" s="2"/>
      <c r="EU30" s="2"/>
      <c r="EV30" s="2"/>
      <c r="EW30" s="2"/>
      <c r="EX30" s="2"/>
      <c r="EY30" s="2"/>
      <c r="EZ30" s="2"/>
      <c r="FA30" s="5"/>
      <c r="FB30" s="2"/>
      <c r="FC30" s="2"/>
      <c r="FD30" s="2"/>
      <c r="FE30" s="2"/>
      <c r="FF30" s="80" t="s">
        <v>8</v>
      </c>
      <c r="FG30" s="80"/>
      <c r="FH30" s="80"/>
    </row>
    <row r="31" spans="1:186" x14ac:dyDescent="0.35">
      <c r="A31" s="80" t="s">
        <v>4</v>
      </c>
      <c r="B31" s="80"/>
      <c r="C31" s="80"/>
      <c r="D31" s="2"/>
      <c r="E31" s="2"/>
      <c r="F31" s="2"/>
      <c r="G31" s="2"/>
      <c r="H31" s="2"/>
      <c r="I31" s="2"/>
      <c r="J31" s="3"/>
      <c r="K31" s="2"/>
      <c r="L31" s="2"/>
      <c r="M31" s="2"/>
      <c r="N31" s="2"/>
      <c r="O31" s="2"/>
      <c r="P31" s="2"/>
      <c r="Q31" s="2"/>
      <c r="R31" s="2"/>
      <c r="S31" s="2"/>
      <c r="T31" s="2"/>
      <c r="U31" s="80" t="s">
        <v>80</v>
      </c>
      <c r="V31" s="80"/>
      <c r="W31" s="80"/>
      <c r="AV31" s="80" t="s">
        <v>4</v>
      </c>
      <c r="AW31" s="80"/>
      <c r="AX31" s="80"/>
      <c r="AY31" s="2"/>
      <c r="AZ31" s="2"/>
      <c r="BA31" s="2"/>
      <c r="BB31" s="2"/>
      <c r="BC31" s="2"/>
      <c r="BD31" s="2"/>
      <c r="BE31" s="5"/>
      <c r="BF31" s="2"/>
      <c r="BG31" s="2"/>
      <c r="BH31" s="2"/>
      <c r="BI31" s="2"/>
      <c r="BJ31" s="2"/>
      <c r="BK31" s="3"/>
      <c r="BL31" s="2"/>
      <c r="BM31" s="2"/>
      <c r="BN31" s="2"/>
      <c r="BO31" s="2"/>
      <c r="BP31" s="80" t="s">
        <v>80</v>
      </c>
      <c r="BQ31" s="80"/>
      <c r="BR31" s="80"/>
      <c r="CQ31" s="80" t="s">
        <v>4</v>
      </c>
      <c r="CR31" s="80"/>
      <c r="CS31" s="80"/>
      <c r="CT31" s="2"/>
      <c r="CU31" s="2"/>
      <c r="CV31" s="2"/>
      <c r="CW31" s="2"/>
      <c r="CX31" s="2"/>
      <c r="CY31" s="2"/>
      <c r="CZ31" s="5"/>
      <c r="DA31" s="2"/>
      <c r="DB31" s="2"/>
      <c r="DC31" s="2"/>
      <c r="DD31" s="2"/>
      <c r="DE31" s="2"/>
      <c r="DF31" s="3"/>
      <c r="DG31" s="2"/>
      <c r="DH31" s="2"/>
      <c r="DI31" s="2"/>
      <c r="DJ31" s="2"/>
      <c r="DK31" s="80" t="s">
        <v>80</v>
      </c>
      <c r="DL31" s="80"/>
      <c r="DM31" s="80"/>
      <c r="EL31" s="80" t="s">
        <v>4</v>
      </c>
      <c r="EM31" s="80"/>
      <c r="EN31" s="80"/>
      <c r="EO31" s="2"/>
      <c r="EP31" s="2"/>
      <c r="EQ31" s="2"/>
      <c r="ER31" s="2"/>
      <c r="ES31" s="2"/>
      <c r="ET31" s="2"/>
      <c r="EU31" s="5"/>
      <c r="EV31" s="2"/>
      <c r="EW31" s="2"/>
      <c r="EX31" s="2"/>
      <c r="EY31" s="2"/>
      <c r="EZ31" s="2"/>
      <c r="FA31" s="3"/>
      <c r="FB31" s="2"/>
      <c r="FC31" s="2"/>
      <c r="FD31" s="2"/>
      <c r="FE31" s="2"/>
      <c r="FF31" s="80" t="s">
        <v>80</v>
      </c>
      <c r="FG31" s="80"/>
      <c r="FH31" s="80"/>
    </row>
    <row r="32" spans="1:186" x14ac:dyDescent="0.35">
      <c r="A32" s="80" t="s">
        <v>4</v>
      </c>
      <c r="B32" s="80"/>
      <c r="C32" s="80"/>
      <c r="D32" s="2"/>
      <c r="E32" s="2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80" t="s">
        <v>9</v>
      </c>
      <c r="V32" s="80"/>
      <c r="W32" s="80"/>
      <c r="AV32" s="80" t="s">
        <v>4</v>
      </c>
      <c r="AW32" s="80"/>
      <c r="AX32" s="80"/>
      <c r="AY32" s="2"/>
      <c r="AZ32" s="2"/>
      <c r="BA32" s="3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80" t="s">
        <v>9</v>
      </c>
      <c r="BQ32" s="80"/>
      <c r="BR32" s="80"/>
      <c r="CQ32" s="80" t="s">
        <v>4</v>
      </c>
      <c r="CR32" s="80"/>
      <c r="CS32" s="80"/>
      <c r="CT32" s="2"/>
      <c r="CU32" s="2"/>
      <c r="CV32" s="3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80" t="s">
        <v>9</v>
      </c>
      <c r="DL32" s="80"/>
      <c r="DM32" s="80"/>
      <c r="EL32" s="80" t="s">
        <v>4</v>
      </c>
      <c r="EM32" s="80"/>
      <c r="EN32" s="80"/>
      <c r="EO32" s="2"/>
      <c r="EP32" s="2"/>
      <c r="EQ32" s="3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80" t="s">
        <v>9</v>
      </c>
      <c r="FG32" s="80"/>
      <c r="FH32" s="80"/>
    </row>
    <row r="33" spans="1:164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</row>
    <row r="34" spans="1:164" x14ac:dyDescent="0.35">
      <c r="A34" s="79" t="s">
        <v>2</v>
      </c>
      <c r="B34" s="79"/>
      <c r="C34" s="79"/>
      <c r="D34" s="2">
        <v>9</v>
      </c>
      <c r="E34" s="2">
        <v>8</v>
      </c>
      <c r="F34" s="2">
        <v>7</v>
      </c>
      <c r="G34" s="2">
        <v>6</v>
      </c>
      <c r="H34" s="2">
        <v>5</v>
      </c>
      <c r="I34" s="2">
        <v>4</v>
      </c>
      <c r="J34" s="2">
        <v>3</v>
      </c>
      <c r="K34" s="2">
        <v>2</v>
      </c>
      <c r="L34" s="2">
        <v>1</v>
      </c>
      <c r="M34" s="2">
        <v>2</v>
      </c>
      <c r="N34" s="2">
        <v>3</v>
      </c>
      <c r="O34" s="2">
        <v>4</v>
      </c>
      <c r="P34" s="2">
        <v>5</v>
      </c>
      <c r="Q34" s="2">
        <v>6</v>
      </c>
      <c r="R34" s="2">
        <v>7</v>
      </c>
      <c r="S34" s="2">
        <v>8</v>
      </c>
      <c r="T34" s="2">
        <v>9</v>
      </c>
      <c r="U34" s="79" t="s">
        <v>3</v>
      </c>
      <c r="V34" s="79"/>
      <c r="W34" s="79"/>
      <c r="AV34" s="79" t="s">
        <v>2</v>
      </c>
      <c r="AW34" s="79"/>
      <c r="AX34" s="79"/>
      <c r="AY34" s="2">
        <v>9</v>
      </c>
      <c r="AZ34" s="2">
        <v>8</v>
      </c>
      <c r="BA34" s="2">
        <v>7</v>
      </c>
      <c r="BB34" s="2">
        <v>6</v>
      </c>
      <c r="BC34" s="2">
        <v>5</v>
      </c>
      <c r="BD34" s="2">
        <v>4</v>
      </c>
      <c r="BE34" s="2">
        <v>3</v>
      </c>
      <c r="BF34" s="2">
        <v>2</v>
      </c>
      <c r="BG34" s="2">
        <v>1</v>
      </c>
      <c r="BH34" s="2">
        <v>2</v>
      </c>
      <c r="BI34" s="2">
        <v>3</v>
      </c>
      <c r="BJ34" s="2">
        <v>4</v>
      </c>
      <c r="BK34" s="2">
        <v>5</v>
      </c>
      <c r="BL34" s="2">
        <v>6</v>
      </c>
      <c r="BM34" s="2">
        <v>7</v>
      </c>
      <c r="BN34" s="2">
        <v>8</v>
      </c>
      <c r="BO34" s="2">
        <v>9</v>
      </c>
      <c r="BP34" s="79" t="s">
        <v>3</v>
      </c>
      <c r="BQ34" s="79"/>
      <c r="BR34" s="79"/>
      <c r="CQ34" s="79" t="s">
        <v>2</v>
      </c>
      <c r="CR34" s="79"/>
      <c r="CS34" s="79"/>
      <c r="CT34" s="2">
        <v>9</v>
      </c>
      <c r="CU34" s="2">
        <v>8</v>
      </c>
      <c r="CV34" s="2">
        <v>7</v>
      </c>
      <c r="CW34" s="2">
        <v>6</v>
      </c>
      <c r="CX34" s="2">
        <v>5</v>
      </c>
      <c r="CY34" s="2">
        <v>4</v>
      </c>
      <c r="CZ34" s="2">
        <v>3</v>
      </c>
      <c r="DA34" s="2">
        <v>2</v>
      </c>
      <c r="DB34" s="2">
        <v>1</v>
      </c>
      <c r="DC34" s="2">
        <v>2</v>
      </c>
      <c r="DD34" s="2">
        <v>3</v>
      </c>
      <c r="DE34" s="2">
        <v>4</v>
      </c>
      <c r="DF34" s="2">
        <v>5</v>
      </c>
      <c r="DG34" s="2">
        <v>6</v>
      </c>
      <c r="DH34" s="2">
        <v>7</v>
      </c>
      <c r="DI34" s="2">
        <v>8</v>
      </c>
      <c r="DJ34" s="2">
        <v>9</v>
      </c>
      <c r="DK34" s="79" t="s">
        <v>3</v>
      </c>
      <c r="DL34" s="79"/>
      <c r="DM34" s="79"/>
      <c r="EL34" s="79" t="s">
        <v>2</v>
      </c>
      <c r="EM34" s="79"/>
      <c r="EN34" s="79"/>
      <c r="EO34" s="2">
        <v>9</v>
      </c>
      <c r="EP34" s="2">
        <v>8</v>
      </c>
      <c r="EQ34" s="2">
        <v>7</v>
      </c>
      <c r="ER34" s="2">
        <v>6</v>
      </c>
      <c r="ES34" s="2">
        <v>5</v>
      </c>
      <c r="ET34" s="2">
        <v>4</v>
      </c>
      <c r="EU34" s="2">
        <v>3</v>
      </c>
      <c r="EV34" s="2">
        <v>2</v>
      </c>
      <c r="EW34" s="2">
        <v>1</v>
      </c>
      <c r="EX34" s="2">
        <v>2</v>
      </c>
      <c r="EY34" s="2">
        <v>3</v>
      </c>
      <c r="EZ34" s="2">
        <v>4</v>
      </c>
      <c r="FA34" s="2">
        <v>5</v>
      </c>
      <c r="FB34" s="2">
        <v>6</v>
      </c>
      <c r="FC34" s="2">
        <v>7</v>
      </c>
      <c r="FD34" s="2">
        <v>8</v>
      </c>
      <c r="FE34" s="2">
        <v>9</v>
      </c>
      <c r="FF34" s="79" t="s">
        <v>3</v>
      </c>
      <c r="FG34" s="79"/>
      <c r="FH34" s="79"/>
    </row>
    <row r="35" spans="1:164" x14ac:dyDescent="0.35">
      <c r="A35" s="80" t="s">
        <v>5</v>
      </c>
      <c r="B35" s="80"/>
      <c r="C35" s="80"/>
      <c r="D35" s="2"/>
      <c r="E35" s="2"/>
      <c r="F35" s="2"/>
      <c r="G35" s="2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80" t="s">
        <v>6</v>
      </c>
      <c r="V35" s="80"/>
      <c r="W35" s="80"/>
      <c r="AV35" s="80" t="s">
        <v>5</v>
      </c>
      <c r="AW35" s="80"/>
      <c r="AX35" s="80"/>
      <c r="AY35" s="2"/>
      <c r="AZ35" s="2"/>
      <c r="BA35" s="2"/>
      <c r="BB35" s="2"/>
      <c r="BC35" s="3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80" t="s">
        <v>6</v>
      </c>
      <c r="BQ35" s="80"/>
      <c r="BR35" s="80"/>
      <c r="CQ35" s="80" t="s">
        <v>5</v>
      </c>
      <c r="CR35" s="80"/>
      <c r="CS35" s="80"/>
      <c r="CT35" s="2"/>
      <c r="CU35" s="2"/>
      <c r="CV35" s="2"/>
      <c r="CW35" s="2"/>
      <c r="CX35" s="5"/>
      <c r="CY35" s="2"/>
      <c r="CZ35" s="2"/>
      <c r="DA35" s="2"/>
      <c r="DB35" s="2"/>
      <c r="DC35" s="2"/>
      <c r="DD35" s="3"/>
      <c r="DE35" s="2"/>
      <c r="DF35" s="2"/>
      <c r="DG35" s="2"/>
      <c r="DH35" s="2"/>
      <c r="DI35" s="2"/>
      <c r="DJ35" s="2"/>
      <c r="DK35" s="80" t="s">
        <v>6</v>
      </c>
      <c r="DL35" s="80"/>
      <c r="DM35" s="80"/>
      <c r="EL35" s="80" t="s">
        <v>5</v>
      </c>
      <c r="EM35" s="80"/>
      <c r="EN35" s="80"/>
      <c r="EO35" s="2"/>
      <c r="EP35" s="2"/>
      <c r="EQ35" s="2"/>
      <c r="ER35" s="2"/>
      <c r="ES35" s="3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80" t="s">
        <v>6</v>
      </c>
      <c r="FG35" s="80"/>
      <c r="FH35" s="80"/>
    </row>
    <row r="36" spans="1:164" x14ac:dyDescent="0.35">
      <c r="A36" s="80" t="s">
        <v>5</v>
      </c>
      <c r="B36" s="80"/>
      <c r="C36" s="8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3"/>
      <c r="S36" s="2"/>
      <c r="T36" s="2"/>
      <c r="U36" s="80" t="s">
        <v>7</v>
      </c>
      <c r="V36" s="80"/>
      <c r="W36" s="80"/>
      <c r="AV36" s="80" t="s">
        <v>5</v>
      </c>
      <c r="AW36" s="80"/>
      <c r="AX36" s="80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3"/>
      <c r="BN36" s="2"/>
      <c r="BO36" s="2"/>
      <c r="BP36" s="80" t="s">
        <v>7</v>
      </c>
      <c r="BQ36" s="80"/>
      <c r="BR36" s="80"/>
      <c r="CQ36" s="80" t="s">
        <v>5</v>
      </c>
      <c r="CR36" s="80"/>
      <c r="CS36" s="80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3"/>
      <c r="DI36" s="2"/>
      <c r="DJ36" s="2"/>
      <c r="DK36" s="80" t="s">
        <v>7</v>
      </c>
      <c r="DL36" s="80"/>
      <c r="DM36" s="80"/>
      <c r="EL36" s="80" t="s">
        <v>5</v>
      </c>
      <c r="EM36" s="80"/>
      <c r="EN36" s="80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5"/>
      <c r="FD36" s="2"/>
      <c r="FE36" s="3"/>
      <c r="FF36" s="80" t="s">
        <v>7</v>
      </c>
      <c r="FG36" s="80"/>
      <c r="FH36" s="80"/>
    </row>
    <row r="37" spans="1:164" x14ac:dyDescent="0.35">
      <c r="A37" s="80" t="s">
        <v>5</v>
      </c>
      <c r="B37" s="80"/>
      <c r="C37" s="8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2"/>
      <c r="R37" s="2"/>
      <c r="S37" s="2"/>
      <c r="T37" s="5"/>
      <c r="U37" s="80" t="s">
        <v>8</v>
      </c>
      <c r="V37" s="80"/>
      <c r="W37" s="80"/>
      <c r="AV37" s="80" t="s">
        <v>5</v>
      </c>
      <c r="AW37" s="80"/>
      <c r="AX37" s="80"/>
      <c r="AY37" s="2"/>
      <c r="AZ37" s="2"/>
      <c r="BA37" s="3"/>
      <c r="BB37" s="2"/>
      <c r="BC37" s="2"/>
      <c r="BD37" s="2"/>
      <c r="BE37" s="2"/>
      <c r="BF37" s="2"/>
      <c r="BG37" s="2"/>
      <c r="BH37" s="2"/>
      <c r="BI37" s="2"/>
      <c r="BJ37" s="2"/>
      <c r="BK37" s="5"/>
      <c r="BL37" s="2"/>
      <c r="BM37" s="2"/>
      <c r="BN37" s="2"/>
      <c r="BO37" s="5"/>
      <c r="BP37" s="80" t="s">
        <v>8</v>
      </c>
      <c r="BQ37" s="80"/>
      <c r="BR37" s="80"/>
      <c r="CQ37" s="80" t="s">
        <v>5</v>
      </c>
      <c r="CR37" s="80"/>
      <c r="CS37" s="80"/>
      <c r="CT37" s="3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5"/>
      <c r="DG37" s="2"/>
      <c r="DH37" s="2"/>
      <c r="DI37" s="2"/>
      <c r="DJ37" s="5"/>
      <c r="DK37" s="80" t="s">
        <v>8</v>
      </c>
      <c r="DL37" s="80"/>
      <c r="DM37" s="80"/>
      <c r="EL37" s="80" t="s">
        <v>5</v>
      </c>
      <c r="EM37" s="80"/>
      <c r="EN37" s="80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5"/>
      <c r="FB37" s="2"/>
      <c r="FC37" s="3"/>
      <c r="FD37" s="2"/>
      <c r="FE37" s="5"/>
      <c r="FF37" s="80" t="s">
        <v>8</v>
      </c>
      <c r="FG37" s="80"/>
      <c r="FH37" s="80"/>
    </row>
    <row r="38" spans="1:164" x14ac:dyDescent="0.35">
      <c r="A38" s="80" t="s">
        <v>5</v>
      </c>
      <c r="B38" s="80"/>
      <c r="C38" s="80"/>
      <c r="D38" s="2"/>
      <c r="E38" s="2"/>
      <c r="F38" s="2"/>
      <c r="G38" s="2"/>
      <c r="H38" s="2"/>
      <c r="I38" s="2"/>
      <c r="J38" s="2"/>
      <c r="K38" s="2"/>
      <c r="L38" s="2"/>
      <c r="M38" s="2"/>
      <c r="N38" s="3"/>
      <c r="O38" s="2"/>
      <c r="P38" s="2"/>
      <c r="Q38" s="2"/>
      <c r="R38" s="2"/>
      <c r="S38" s="2"/>
      <c r="T38" s="2"/>
      <c r="U38" s="80" t="s">
        <v>80</v>
      </c>
      <c r="V38" s="80"/>
      <c r="W38" s="80"/>
      <c r="AV38" s="80" t="s">
        <v>5</v>
      </c>
      <c r="AW38" s="80"/>
      <c r="AX38" s="80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3"/>
      <c r="BJ38" s="2"/>
      <c r="BK38" s="2"/>
      <c r="BL38" s="2"/>
      <c r="BM38" s="2"/>
      <c r="BN38" s="2"/>
      <c r="BO38" s="2"/>
      <c r="BP38" s="80" t="s">
        <v>80</v>
      </c>
      <c r="BQ38" s="80"/>
      <c r="BR38" s="80"/>
      <c r="CQ38" s="80" t="s">
        <v>5</v>
      </c>
      <c r="CR38" s="80"/>
      <c r="CS38" s="80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3"/>
      <c r="DE38" s="2"/>
      <c r="DF38" s="2"/>
      <c r="DG38" s="2"/>
      <c r="DH38" s="2"/>
      <c r="DI38" s="2"/>
      <c r="DJ38" s="2"/>
      <c r="DK38" s="80" t="s">
        <v>80</v>
      </c>
      <c r="DL38" s="80"/>
      <c r="DM38" s="80"/>
      <c r="EL38" s="80" t="s">
        <v>5</v>
      </c>
      <c r="EM38" s="80"/>
      <c r="EN38" s="80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5"/>
      <c r="EZ38" s="2"/>
      <c r="FA38" s="2"/>
      <c r="FB38" s="2"/>
      <c r="FC38" s="2"/>
      <c r="FD38" s="2"/>
      <c r="FE38" s="3"/>
      <c r="FF38" s="80" t="s">
        <v>80</v>
      </c>
      <c r="FG38" s="80"/>
      <c r="FH38" s="80"/>
    </row>
    <row r="39" spans="1:164" x14ac:dyDescent="0.35">
      <c r="A39" s="80" t="s">
        <v>5</v>
      </c>
      <c r="B39" s="80"/>
      <c r="C39" s="80"/>
      <c r="D39" s="2"/>
      <c r="E39" s="2"/>
      <c r="F39" s="2"/>
      <c r="G39" s="2"/>
      <c r="H39" s="2"/>
      <c r="I39" s="2"/>
      <c r="J39" s="3"/>
      <c r="K39" s="2"/>
      <c r="L39" s="2"/>
      <c r="M39" s="2"/>
      <c r="N39" s="2"/>
      <c r="O39" s="2"/>
      <c r="P39" s="2"/>
      <c r="Q39" s="2"/>
      <c r="R39" s="2"/>
      <c r="S39" s="2"/>
      <c r="T39" s="2"/>
      <c r="U39" s="80" t="s">
        <v>9</v>
      </c>
      <c r="V39" s="80"/>
      <c r="W39" s="80"/>
      <c r="AV39" s="80" t="s">
        <v>5</v>
      </c>
      <c r="AW39" s="80"/>
      <c r="AX39" s="80"/>
      <c r="AY39" s="2"/>
      <c r="AZ39" s="2"/>
      <c r="BA39" s="2"/>
      <c r="BB39" s="2"/>
      <c r="BC39" s="2"/>
      <c r="BD39" s="2"/>
      <c r="BE39" s="5"/>
      <c r="BF39" s="2"/>
      <c r="BG39" s="2"/>
      <c r="BH39" s="2"/>
      <c r="BI39" s="2"/>
      <c r="BJ39" s="2"/>
      <c r="BK39" s="2"/>
      <c r="BL39" s="2"/>
      <c r="BM39" s="3"/>
      <c r="BN39" s="2"/>
      <c r="BO39" s="2"/>
      <c r="BP39" s="80" t="s">
        <v>9</v>
      </c>
      <c r="BQ39" s="80"/>
      <c r="BR39" s="80"/>
      <c r="CQ39" s="80" t="s">
        <v>5</v>
      </c>
      <c r="CR39" s="80"/>
      <c r="CS39" s="80"/>
      <c r="CT39" s="2"/>
      <c r="CU39" s="2"/>
      <c r="CV39" s="2"/>
      <c r="CW39" s="2"/>
      <c r="CX39" s="2"/>
      <c r="CY39" s="2"/>
      <c r="CZ39" s="3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80" t="s">
        <v>9</v>
      </c>
      <c r="DL39" s="80"/>
      <c r="DM39" s="80"/>
      <c r="EL39" s="80" t="s">
        <v>5</v>
      </c>
      <c r="EM39" s="80"/>
      <c r="EN39" s="80"/>
      <c r="EO39" s="2"/>
      <c r="EP39" s="2"/>
      <c r="EQ39" s="3"/>
      <c r="ER39" s="2"/>
      <c r="ES39" s="2"/>
      <c r="ET39" s="2"/>
      <c r="EU39" s="5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80" t="s">
        <v>9</v>
      </c>
      <c r="FG39" s="80"/>
      <c r="FH39" s="80"/>
    </row>
    <row r="40" spans="1:164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</row>
    <row r="41" spans="1:164" x14ac:dyDescent="0.35">
      <c r="A41" s="79" t="s">
        <v>2</v>
      </c>
      <c r="B41" s="79"/>
      <c r="C41" s="79"/>
      <c r="D41" s="2">
        <v>9</v>
      </c>
      <c r="E41" s="2">
        <v>8</v>
      </c>
      <c r="F41" s="2">
        <v>7</v>
      </c>
      <c r="G41" s="2">
        <v>6</v>
      </c>
      <c r="H41" s="2">
        <v>5</v>
      </c>
      <c r="I41" s="2">
        <v>4</v>
      </c>
      <c r="J41" s="2">
        <v>3</v>
      </c>
      <c r="K41" s="2">
        <v>2</v>
      </c>
      <c r="L41" s="2">
        <v>1</v>
      </c>
      <c r="M41" s="2">
        <v>2</v>
      </c>
      <c r="N41" s="2">
        <v>3</v>
      </c>
      <c r="O41" s="2">
        <v>4</v>
      </c>
      <c r="P41" s="2">
        <v>5</v>
      </c>
      <c r="Q41" s="2">
        <v>6</v>
      </c>
      <c r="R41" s="2">
        <v>7</v>
      </c>
      <c r="S41" s="2">
        <v>8</v>
      </c>
      <c r="T41" s="2">
        <v>9</v>
      </c>
      <c r="U41" s="79" t="s">
        <v>3</v>
      </c>
      <c r="V41" s="79"/>
      <c r="W41" s="79"/>
      <c r="AV41" s="79" t="s">
        <v>2</v>
      </c>
      <c r="AW41" s="79"/>
      <c r="AX41" s="79"/>
      <c r="AY41" s="2">
        <v>9</v>
      </c>
      <c r="AZ41" s="2">
        <v>8</v>
      </c>
      <c r="BA41" s="2">
        <v>7</v>
      </c>
      <c r="BB41" s="2">
        <v>6</v>
      </c>
      <c r="BC41" s="2">
        <v>5</v>
      </c>
      <c r="BD41" s="2">
        <v>4</v>
      </c>
      <c r="BE41" s="2">
        <v>3</v>
      </c>
      <c r="BF41" s="2">
        <v>2</v>
      </c>
      <c r="BG41" s="2">
        <v>1</v>
      </c>
      <c r="BH41" s="2">
        <v>2</v>
      </c>
      <c r="BI41" s="2">
        <v>3</v>
      </c>
      <c r="BJ41" s="2">
        <v>4</v>
      </c>
      <c r="BK41" s="2">
        <v>5</v>
      </c>
      <c r="BL41" s="2">
        <v>6</v>
      </c>
      <c r="BM41" s="2">
        <v>7</v>
      </c>
      <c r="BN41" s="2">
        <v>8</v>
      </c>
      <c r="BO41" s="2">
        <v>9</v>
      </c>
      <c r="BP41" s="79" t="s">
        <v>3</v>
      </c>
      <c r="BQ41" s="79"/>
      <c r="BR41" s="79"/>
      <c r="CQ41" s="79" t="s">
        <v>2</v>
      </c>
      <c r="CR41" s="79"/>
      <c r="CS41" s="79"/>
      <c r="CT41" s="2">
        <v>9</v>
      </c>
      <c r="CU41" s="2">
        <v>8</v>
      </c>
      <c r="CV41" s="2">
        <v>7</v>
      </c>
      <c r="CW41" s="2">
        <v>6</v>
      </c>
      <c r="CX41" s="2">
        <v>5</v>
      </c>
      <c r="CY41" s="2">
        <v>4</v>
      </c>
      <c r="CZ41" s="2">
        <v>3</v>
      </c>
      <c r="DA41" s="2">
        <v>2</v>
      </c>
      <c r="DB41" s="2">
        <v>1</v>
      </c>
      <c r="DC41" s="2">
        <v>2</v>
      </c>
      <c r="DD41" s="2">
        <v>3</v>
      </c>
      <c r="DE41" s="2">
        <v>4</v>
      </c>
      <c r="DF41" s="2">
        <v>5</v>
      </c>
      <c r="DG41" s="2">
        <v>6</v>
      </c>
      <c r="DH41" s="2">
        <v>7</v>
      </c>
      <c r="DI41" s="2">
        <v>8</v>
      </c>
      <c r="DJ41" s="2">
        <v>9</v>
      </c>
      <c r="DK41" s="79" t="s">
        <v>3</v>
      </c>
      <c r="DL41" s="79"/>
      <c r="DM41" s="79"/>
      <c r="EL41" s="79" t="s">
        <v>2</v>
      </c>
      <c r="EM41" s="79"/>
      <c r="EN41" s="79"/>
      <c r="EO41" s="2">
        <v>9</v>
      </c>
      <c r="EP41" s="2">
        <v>8</v>
      </c>
      <c r="EQ41" s="2">
        <v>7</v>
      </c>
      <c r="ER41" s="2">
        <v>6</v>
      </c>
      <c r="ES41" s="2">
        <v>5</v>
      </c>
      <c r="ET41" s="2">
        <v>4</v>
      </c>
      <c r="EU41" s="2">
        <v>3</v>
      </c>
      <c r="EV41" s="2">
        <v>2</v>
      </c>
      <c r="EW41" s="2">
        <v>1</v>
      </c>
      <c r="EX41" s="2">
        <v>2</v>
      </c>
      <c r="EY41" s="2">
        <v>3</v>
      </c>
      <c r="EZ41" s="2">
        <v>4</v>
      </c>
      <c r="FA41" s="2">
        <v>5</v>
      </c>
      <c r="FB41" s="2">
        <v>6</v>
      </c>
      <c r="FC41" s="2">
        <v>7</v>
      </c>
      <c r="FD41" s="2">
        <v>8</v>
      </c>
      <c r="FE41" s="2">
        <v>9</v>
      </c>
      <c r="FF41" s="79" t="s">
        <v>3</v>
      </c>
      <c r="FG41" s="79"/>
      <c r="FH41" s="79"/>
    </row>
    <row r="42" spans="1:164" x14ac:dyDescent="0.35">
      <c r="A42" s="80" t="s">
        <v>6</v>
      </c>
      <c r="B42" s="80"/>
      <c r="C42" s="80"/>
      <c r="D42" s="2"/>
      <c r="E42" s="2"/>
      <c r="F42" s="2"/>
      <c r="G42" s="2"/>
      <c r="H42" s="2"/>
      <c r="I42" s="2"/>
      <c r="J42" s="2"/>
      <c r="K42" s="2"/>
      <c r="L42" s="2"/>
      <c r="M42" s="2"/>
      <c r="N42" s="5"/>
      <c r="O42" s="2"/>
      <c r="P42" s="2"/>
      <c r="Q42" s="2"/>
      <c r="R42" s="2"/>
      <c r="S42" s="2"/>
      <c r="T42" s="3"/>
      <c r="U42" s="80" t="s">
        <v>7</v>
      </c>
      <c r="V42" s="80"/>
      <c r="W42" s="80"/>
      <c r="AV42" s="80" t="s">
        <v>6</v>
      </c>
      <c r="AW42" s="80"/>
      <c r="AX42" s="80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5"/>
      <c r="BJ42" s="2"/>
      <c r="BK42" s="2"/>
      <c r="BL42" s="2"/>
      <c r="BM42" s="2"/>
      <c r="BN42" s="2"/>
      <c r="BO42" s="3"/>
      <c r="BP42" s="80" t="s">
        <v>7</v>
      </c>
      <c r="BQ42" s="80"/>
      <c r="BR42" s="80"/>
      <c r="CQ42" s="80" t="s">
        <v>6</v>
      </c>
      <c r="CR42" s="80"/>
      <c r="CS42" s="80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5"/>
      <c r="DE42" s="2"/>
      <c r="DF42" s="2"/>
      <c r="DG42" s="2"/>
      <c r="DH42" s="2"/>
      <c r="DI42" s="2"/>
      <c r="DJ42" s="3"/>
      <c r="DK42" s="80" t="s">
        <v>7</v>
      </c>
      <c r="DL42" s="80"/>
      <c r="DM42" s="80"/>
      <c r="EL42" s="80" t="s">
        <v>6</v>
      </c>
      <c r="EM42" s="80"/>
      <c r="EN42" s="80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5"/>
      <c r="EZ42" s="2"/>
      <c r="FA42" s="2"/>
      <c r="FB42" s="2"/>
      <c r="FC42" s="2"/>
      <c r="FD42" s="2"/>
      <c r="FE42" s="3"/>
      <c r="FF42" s="80" t="s">
        <v>7</v>
      </c>
      <c r="FG42" s="80"/>
      <c r="FH42" s="80"/>
    </row>
    <row r="43" spans="1:164" x14ac:dyDescent="0.35">
      <c r="A43" s="80" t="s">
        <v>6</v>
      </c>
      <c r="B43" s="80"/>
      <c r="C43" s="80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5"/>
      <c r="P43" s="5"/>
      <c r="Q43" s="2"/>
      <c r="R43" s="3"/>
      <c r="S43" s="2"/>
      <c r="T43" s="2"/>
      <c r="U43" s="80" t="s">
        <v>8</v>
      </c>
      <c r="V43" s="80"/>
      <c r="W43" s="80"/>
      <c r="AV43" s="80" t="s">
        <v>6</v>
      </c>
      <c r="AW43" s="80"/>
      <c r="AX43" s="80"/>
      <c r="AY43" s="2"/>
      <c r="AZ43" s="2"/>
      <c r="BA43" s="3"/>
      <c r="BB43" s="2"/>
      <c r="BC43" s="2"/>
      <c r="BD43" s="2"/>
      <c r="BE43" s="2"/>
      <c r="BF43" s="2"/>
      <c r="BG43" s="2"/>
      <c r="BH43" s="2"/>
      <c r="BI43" s="2"/>
      <c r="BJ43" s="5"/>
      <c r="BK43" s="5"/>
      <c r="BL43" s="2"/>
      <c r="BM43" s="2"/>
      <c r="BN43" s="2"/>
      <c r="BO43" s="2"/>
      <c r="BP43" s="80" t="s">
        <v>8</v>
      </c>
      <c r="BQ43" s="80"/>
      <c r="BR43" s="80"/>
      <c r="CQ43" s="80" t="s">
        <v>6</v>
      </c>
      <c r="CR43" s="80"/>
      <c r="CS43" s="80"/>
      <c r="CT43" s="2"/>
      <c r="CU43" s="2"/>
      <c r="CV43" s="3"/>
      <c r="CW43" s="2"/>
      <c r="CX43" s="2"/>
      <c r="CY43" s="2"/>
      <c r="CZ43" s="2"/>
      <c r="DA43" s="2"/>
      <c r="DB43" s="2"/>
      <c r="DC43" s="2"/>
      <c r="DD43" s="2"/>
      <c r="DE43" s="5"/>
      <c r="DF43" s="5"/>
      <c r="DG43" s="2"/>
      <c r="DH43" s="2"/>
      <c r="DI43" s="2"/>
      <c r="DJ43" s="2"/>
      <c r="DK43" s="80" t="s">
        <v>8</v>
      </c>
      <c r="DL43" s="80"/>
      <c r="DM43" s="80"/>
      <c r="EL43" s="80" t="s">
        <v>6</v>
      </c>
      <c r="EM43" s="80"/>
      <c r="EN43" s="80"/>
      <c r="EO43" s="2"/>
      <c r="EP43" s="2"/>
      <c r="EQ43" s="2"/>
      <c r="ER43" s="2"/>
      <c r="ES43" s="3"/>
      <c r="ET43" s="2"/>
      <c r="EU43" s="2"/>
      <c r="EV43" s="2"/>
      <c r="EW43" s="2"/>
      <c r="EX43" s="2"/>
      <c r="EY43" s="2"/>
      <c r="EZ43" s="5"/>
      <c r="FA43" s="5"/>
      <c r="FB43" s="2"/>
      <c r="FC43" s="2"/>
      <c r="FD43" s="2"/>
      <c r="FE43" s="2"/>
      <c r="FF43" s="80" t="s">
        <v>8</v>
      </c>
      <c r="FG43" s="80"/>
      <c r="FH43" s="80"/>
    </row>
    <row r="44" spans="1:164" x14ac:dyDescent="0.35">
      <c r="A44" s="80" t="s">
        <v>6</v>
      </c>
      <c r="B44" s="80"/>
      <c r="C44" s="80"/>
      <c r="D44" s="2"/>
      <c r="E44" s="2"/>
      <c r="F44" s="2"/>
      <c r="G44" s="2"/>
      <c r="H44" s="2"/>
      <c r="I44" s="2"/>
      <c r="J44" s="2"/>
      <c r="K44" s="2"/>
      <c r="L44" s="2"/>
      <c r="M44" s="2"/>
      <c r="N44" s="5"/>
      <c r="O44" s="2"/>
      <c r="P44" s="3"/>
      <c r="Q44" s="2"/>
      <c r="R44" s="5"/>
      <c r="S44" s="2"/>
      <c r="T44" s="2"/>
      <c r="U44" s="80" t="s">
        <v>80</v>
      </c>
      <c r="V44" s="80"/>
      <c r="W44" s="80"/>
      <c r="AV44" s="80" t="s">
        <v>6</v>
      </c>
      <c r="AW44" s="80"/>
      <c r="AX44" s="80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5"/>
      <c r="BJ44" s="2"/>
      <c r="BK44" s="2"/>
      <c r="BL44" s="2"/>
      <c r="BM44" s="3"/>
      <c r="BN44" s="2"/>
      <c r="BO44" s="2"/>
      <c r="BP44" s="80" t="s">
        <v>80</v>
      </c>
      <c r="BQ44" s="80"/>
      <c r="BR44" s="80"/>
      <c r="CQ44" s="80" t="s">
        <v>6</v>
      </c>
      <c r="CR44" s="80"/>
      <c r="CS44" s="80"/>
      <c r="CT44" s="2"/>
      <c r="CU44" s="2"/>
      <c r="CV44" s="2"/>
      <c r="CW44" s="2"/>
      <c r="CX44" s="3"/>
      <c r="CY44" s="2"/>
      <c r="CZ44" s="2"/>
      <c r="DA44" s="2"/>
      <c r="DB44" s="2"/>
      <c r="DC44" s="2"/>
      <c r="DD44" s="5"/>
      <c r="DE44" s="2"/>
      <c r="DF44" s="2"/>
      <c r="DG44" s="2"/>
      <c r="DH44" s="5"/>
      <c r="DI44" s="2"/>
      <c r="DJ44" s="2"/>
      <c r="DK44" s="80" t="s">
        <v>80</v>
      </c>
      <c r="DL44" s="80"/>
      <c r="DM44" s="80"/>
      <c r="EL44" s="80" t="s">
        <v>6</v>
      </c>
      <c r="EM44" s="80"/>
      <c r="EN44" s="80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5"/>
      <c r="EZ44" s="2"/>
      <c r="FA44" s="2"/>
      <c r="FB44" s="2"/>
      <c r="FC44" s="3"/>
      <c r="FD44" s="2"/>
      <c r="FE44" s="2"/>
      <c r="FF44" s="80" t="s">
        <v>80</v>
      </c>
      <c r="FG44" s="80"/>
      <c r="FH44" s="80"/>
    </row>
    <row r="45" spans="1:164" x14ac:dyDescent="0.35">
      <c r="A45" s="80" t="s">
        <v>6</v>
      </c>
      <c r="B45" s="80"/>
      <c r="C45" s="80"/>
      <c r="D45" s="2"/>
      <c r="E45" s="2"/>
      <c r="F45" s="2"/>
      <c r="G45" s="2"/>
      <c r="H45" s="2"/>
      <c r="I45" s="2"/>
      <c r="J45" s="2"/>
      <c r="K45" s="2"/>
      <c r="L45" s="2"/>
      <c r="M45" s="2"/>
      <c r="N45" s="3"/>
      <c r="O45" s="2"/>
      <c r="P45" s="2"/>
      <c r="Q45" s="2"/>
      <c r="R45" s="2"/>
      <c r="S45" s="2"/>
      <c r="T45" s="5"/>
      <c r="U45" s="80" t="s">
        <v>9</v>
      </c>
      <c r="V45" s="80"/>
      <c r="W45" s="80"/>
      <c r="AV45" s="80" t="s">
        <v>6</v>
      </c>
      <c r="AW45" s="80"/>
      <c r="AX45" s="80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5"/>
      <c r="BJ45" s="2"/>
      <c r="BK45" s="2"/>
      <c r="BL45" s="2"/>
      <c r="BM45" s="3"/>
      <c r="BN45" s="2"/>
      <c r="BO45" s="5"/>
      <c r="BP45" s="80" t="s">
        <v>9</v>
      </c>
      <c r="BQ45" s="80"/>
      <c r="BR45" s="80"/>
      <c r="CQ45" s="80" t="s">
        <v>6</v>
      </c>
      <c r="CR45" s="80"/>
      <c r="CS45" s="80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3"/>
      <c r="DE45" s="2"/>
      <c r="DF45" s="5"/>
      <c r="DG45" s="2"/>
      <c r="DH45" s="2"/>
      <c r="DI45" s="2"/>
      <c r="DJ45" s="5"/>
      <c r="DK45" s="80" t="s">
        <v>9</v>
      </c>
      <c r="DL45" s="80"/>
      <c r="DM45" s="80"/>
      <c r="EL45" s="80" t="s">
        <v>6</v>
      </c>
      <c r="EM45" s="80"/>
      <c r="EN45" s="80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5"/>
      <c r="EZ45" s="2"/>
      <c r="FA45" s="2"/>
      <c r="FB45" s="2"/>
      <c r="FC45" s="2"/>
      <c r="FD45" s="2"/>
      <c r="FE45" s="3"/>
      <c r="FF45" s="80" t="s">
        <v>9</v>
      </c>
      <c r="FG45" s="80"/>
      <c r="FH45" s="80"/>
    </row>
    <row r="46" spans="1:164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</row>
    <row r="47" spans="1:164" x14ac:dyDescent="0.35">
      <c r="A47" s="79" t="s">
        <v>2</v>
      </c>
      <c r="B47" s="79"/>
      <c r="C47" s="79"/>
      <c r="D47" s="2">
        <v>9</v>
      </c>
      <c r="E47" s="2">
        <v>8</v>
      </c>
      <c r="F47" s="2">
        <v>7</v>
      </c>
      <c r="G47" s="2">
        <v>6</v>
      </c>
      <c r="H47" s="2">
        <v>5</v>
      </c>
      <c r="I47" s="2">
        <v>4</v>
      </c>
      <c r="J47" s="2">
        <v>3</v>
      </c>
      <c r="K47" s="2">
        <v>2</v>
      </c>
      <c r="L47" s="2">
        <v>1</v>
      </c>
      <c r="M47" s="2">
        <v>2</v>
      </c>
      <c r="N47" s="2">
        <v>3</v>
      </c>
      <c r="O47" s="2">
        <v>4</v>
      </c>
      <c r="P47" s="2">
        <v>5</v>
      </c>
      <c r="Q47" s="2">
        <v>6</v>
      </c>
      <c r="R47" s="2">
        <v>7</v>
      </c>
      <c r="S47" s="2">
        <v>8</v>
      </c>
      <c r="T47" s="2">
        <v>9</v>
      </c>
      <c r="U47" s="79" t="s">
        <v>3</v>
      </c>
      <c r="V47" s="79"/>
      <c r="W47" s="79"/>
      <c r="AV47" s="79" t="s">
        <v>2</v>
      </c>
      <c r="AW47" s="79"/>
      <c r="AX47" s="79"/>
      <c r="AY47" s="2">
        <v>9</v>
      </c>
      <c r="AZ47" s="2">
        <v>8</v>
      </c>
      <c r="BA47" s="2">
        <v>7</v>
      </c>
      <c r="BB47" s="2">
        <v>6</v>
      </c>
      <c r="BC47" s="2">
        <v>5</v>
      </c>
      <c r="BD47" s="2">
        <v>4</v>
      </c>
      <c r="BE47" s="2">
        <v>3</v>
      </c>
      <c r="BF47" s="2">
        <v>2</v>
      </c>
      <c r="BG47" s="2">
        <v>1</v>
      </c>
      <c r="BH47" s="2">
        <v>2</v>
      </c>
      <c r="BI47" s="2">
        <v>3</v>
      </c>
      <c r="BJ47" s="2">
        <v>4</v>
      </c>
      <c r="BK47" s="2">
        <v>5</v>
      </c>
      <c r="BL47" s="2">
        <v>6</v>
      </c>
      <c r="BM47" s="2">
        <v>7</v>
      </c>
      <c r="BN47" s="2">
        <v>8</v>
      </c>
      <c r="BO47" s="2">
        <v>9</v>
      </c>
      <c r="BP47" s="79" t="s">
        <v>3</v>
      </c>
      <c r="BQ47" s="79"/>
      <c r="BR47" s="79"/>
      <c r="CQ47" s="79" t="s">
        <v>2</v>
      </c>
      <c r="CR47" s="79"/>
      <c r="CS47" s="79"/>
      <c r="CT47" s="2">
        <v>9</v>
      </c>
      <c r="CU47" s="2">
        <v>8</v>
      </c>
      <c r="CV47" s="2">
        <v>7</v>
      </c>
      <c r="CW47" s="2">
        <v>6</v>
      </c>
      <c r="CX47" s="2">
        <v>5</v>
      </c>
      <c r="CY47" s="2">
        <v>4</v>
      </c>
      <c r="CZ47" s="2">
        <v>3</v>
      </c>
      <c r="DA47" s="2">
        <v>2</v>
      </c>
      <c r="DB47" s="2">
        <v>1</v>
      </c>
      <c r="DC47" s="2">
        <v>2</v>
      </c>
      <c r="DD47" s="2">
        <v>3</v>
      </c>
      <c r="DE47" s="2">
        <v>4</v>
      </c>
      <c r="DF47" s="2">
        <v>5</v>
      </c>
      <c r="DG47" s="2">
        <v>6</v>
      </c>
      <c r="DH47" s="2">
        <v>7</v>
      </c>
      <c r="DI47" s="2">
        <v>8</v>
      </c>
      <c r="DJ47" s="2">
        <v>9</v>
      </c>
      <c r="DK47" s="79" t="s">
        <v>3</v>
      </c>
      <c r="DL47" s="79"/>
      <c r="DM47" s="79"/>
      <c r="EL47" s="79" t="s">
        <v>2</v>
      </c>
      <c r="EM47" s="79"/>
      <c r="EN47" s="79"/>
      <c r="EO47" s="2">
        <v>9</v>
      </c>
      <c r="EP47" s="2">
        <v>8</v>
      </c>
      <c r="EQ47" s="2">
        <v>7</v>
      </c>
      <c r="ER47" s="2">
        <v>6</v>
      </c>
      <c r="ES47" s="2">
        <v>5</v>
      </c>
      <c r="ET47" s="2">
        <v>4</v>
      </c>
      <c r="EU47" s="2">
        <v>3</v>
      </c>
      <c r="EV47" s="2">
        <v>2</v>
      </c>
      <c r="EW47" s="2">
        <v>1</v>
      </c>
      <c r="EX47" s="2">
        <v>2</v>
      </c>
      <c r="EY47" s="2">
        <v>3</v>
      </c>
      <c r="EZ47" s="2">
        <v>4</v>
      </c>
      <c r="FA47" s="2">
        <v>5</v>
      </c>
      <c r="FB47" s="2">
        <v>6</v>
      </c>
      <c r="FC47" s="2">
        <v>7</v>
      </c>
      <c r="FD47" s="2">
        <v>8</v>
      </c>
      <c r="FE47" s="2">
        <v>9</v>
      </c>
      <c r="FF47" s="79" t="s">
        <v>3</v>
      </c>
      <c r="FG47" s="79"/>
      <c r="FH47" s="79"/>
    </row>
    <row r="48" spans="1:164" x14ac:dyDescent="0.35">
      <c r="A48" s="80" t="s">
        <v>7</v>
      </c>
      <c r="B48" s="80"/>
      <c r="C48" s="80"/>
      <c r="D48" s="2"/>
      <c r="E48" s="2"/>
      <c r="F48" s="3"/>
      <c r="G48" s="2"/>
      <c r="H48" s="2"/>
      <c r="I48" s="2"/>
      <c r="J48" s="5"/>
      <c r="K48" s="2"/>
      <c r="L48" s="2"/>
      <c r="M48" s="2"/>
      <c r="N48" s="2"/>
      <c r="O48" s="2"/>
      <c r="P48" s="2"/>
      <c r="Q48" s="2"/>
      <c r="R48" s="2"/>
      <c r="S48" s="2"/>
      <c r="T48" s="2"/>
      <c r="U48" s="80" t="s">
        <v>8</v>
      </c>
      <c r="V48" s="80"/>
      <c r="W48" s="80"/>
      <c r="AV48" s="80" t="s">
        <v>7</v>
      </c>
      <c r="AW48" s="80"/>
      <c r="AX48" s="80"/>
      <c r="AY48" s="2"/>
      <c r="AZ48" s="2"/>
      <c r="BA48" s="3"/>
      <c r="BB48" s="2"/>
      <c r="BC48" s="2"/>
      <c r="BD48" s="5"/>
      <c r="BE48" s="5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80" t="s">
        <v>8</v>
      </c>
      <c r="BQ48" s="80"/>
      <c r="BR48" s="80"/>
      <c r="CQ48" s="80" t="s">
        <v>7</v>
      </c>
      <c r="CR48" s="80"/>
      <c r="CS48" s="80"/>
      <c r="CT48" s="2"/>
      <c r="CU48" s="2"/>
      <c r="CV48" s="3"/>
      <c r="CW48" s="2"/>
      <c r="CX48" s="2"/>
      <c r="CY48" s="2"/>
      <c r="CZ48" s="5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80" t="s">
        <v>8</v>
      </c>
      <c r="DL48" s="80"/>
      <c r="DM48" s="80"/>
      <c r="EL48" s="80" t="s">
        <v>7</v>
      </c>
      <c r="EM48" s="80"/>
      <c r="EN48" s="80"/>
      <c r="EO48" s="2"/>
      <c r="EP48" s="2"/>
      <c r="EQ48" s="3"/>
      <c r="ER48" s="2"/>
      <c r="ES48" s="2"/>
      <c r="ET48" s="2"/>
      <c r="EU48" s="5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80" t="s">
        <v>8</v>
      </c>
      <c r="FG48" s="80"/>
      <c r="FH48" s="80"/>
    </row>
    <row r="49" spans="1:182" x14ac:dyDescent="0.35">
      <c r="A49" s="80" t="s">
        <v>7</v>
      </c>
      <c r="B49" s="80"/>
      <c r="C49" s="80"/>
      <c r="D49" s="2"/>
      <c r="E49" s="2"/>
      <c r="F49" s="2"/>
      <c r="G49" s="2"/>
      <c r="H49" s="2"/>
      <c r="I49" s="2"/>
      <c r="J49" s="2"/>
      <c r="K49" s="2"/>
      <c r="L49" s="2"/>
      <c r="M49" s="2"/>
      <c r="N49" s="3"/>
      <c r="O49" s="2"/>
      <c r="P49" s="2"/>
      <c r="Q49" s="2"/>
      <c r="R49" s="2"/>
      <c r="S49" s="2"/>
      <c r="T49" s="2"/>
      <c r="U49" s="80" t="s">
        <v>80</v>
      </c>
      <c r="V49" s="80"/>
      <c r="W49" s="80"/>
      <c r="AV49" s="80" t="s">
        <v>7</v>
      </c>
      <c r="AW49" s="80"/>
      <c r="AX49" s="80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5"/>
      <c r="BJ49" s="2"/>
      <c r="BK49" s="2"/>
      <c r="BL49" s="2"/>
      <c r="BM49" s="3"/>
      <c r="BN49" s="2"/>
      <c r="BO49" s="2"/>
      <c r="BP49" s="80" t="s">
        <v>80</v>
      </c>
      <c r="BQ49" s="80"/>
      <c r="BR49" s="80"/>
      <c r="CQ49" s="80" t="s">
        <v>7</v>
      </c>
      <c r="CR49" s="80"/>
      <c r="CS49" s="80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3"/>
      <c r="DE49" s="2"/>
      <c r="DF49" s="5"/>
      <c r="DG49" s="2"/>
      <c r="DH49" s="2"/>
      <c r="DI49" s="2"/>
      <c r="DJ49" s="2"/>
      <c r="DK49" s="80" t="s">
        <v>80</v>
      </c>
      <c r="DL49" s="80"/>
      <c r="DM49" s="80"/>
      <c r="EL49" s="80" t="s">
        <v>7</v>
      </c>
      <c r="EM49" s="80"/>
      <c r="EN49" s="80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5"/>
      <c r="EZ49" s="2"/>
      <c r="FA49" s="2"/>
      <c r="FB49" s="2"/>
      <c r="FC49" s="3"/>
      <c r="FD49" s="2"/>
      <c r="FE49" s="2"/>
      <c r="FF49" s="80" t="s">
        <v>80</v>
      </c>
      <c r="FG49" s="80"/>
      <c r="FH49" s="80"/>
    </row>
    <row r="50" spans="1:182" x14ac:dyDescent="0.35">
      <c r="A50" s="80" t="s">
        <v>7</v>
      </c>
      <c r="B50" s="80"/>
      <c r="C50" s="80"/>
      <c r="D50" s="2"/>
      <c r="E50" s="2"/>
      <c r="F50" s="2"/>
      <c r="G50" s="2"/>
      <c r="H50" s="2"/>
      <c r="I50" s="2"/>
      <c r="J50" s="2"/>
      <c r="K50" s="2"/>
      <c r="L50" s="2"/>
      <c r="M50" s="2"/>
      <c r="N50" s="3"/>
      <c r="O50" s="2"/>
      <c r="P50" s="2"/>
      <c r="Q50" s="2"/>
      <c r="R50" s="2"/>
      <c r="S50" s="2"/>
      <c r="T50" s="2"/>
      <c r="U50" s="80" t="s">
        <v>9</v>
      </c>
      <c r="V50" s="80"/>
      <c r="W50" s="80"/>
      <c r="AV50" s="80" t="s">
        <v>7</v>
      </c>
      <c r="AW50" s="80"/>
      <c r="AX50" s="80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5"/>
      <c r="BJ50" s="2"/>
      <c r="BK50" s="2"/>
      <c r="BL50" s="2"/>
      <c r="BM50" s="3"/>
      <c r="BN50" s="2"/>
      <c r="BO50" s="2"/>
      <c r="BP50" s="80" t="s">
        <v>9</v>
      </c>
      <c r="BQ50" s="80"/>
      <c r="BR50" s="80"/>
      <c r="CQ50" s="80" t="s">
        <v>7</v>
      </c>
      <c r="CR50" s="80"/>
      <c r="CS50" s="80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5"/>
      <c r="DE50" s="2"/>
      <c r="DF50" s="3"/>
      <c r="DG50" s="2"/>
      <c r="DH50" s="2"/>
      <c r="DI50" s="2"/>
      <c r="DJ50" s="2"/>
      <c r="DK50" s="80" t="s">
        <v>9</v>
      </c>
      <c r="DL50" s="80"/>
      <c r="DM50" s="80"/>
      <c r="EL50" s="80" t="s">
        <v>7</v>
      </c>
      <c r="EM50" s="80"/>
      <c r="EN50" s="80"/>
      <c r="EO50" s="2"/>
      <c r="EP50" s="2"/>
      <c r="EQ50" s="2"/>
      <c r="ER50" s="2"/>
      <c r="ES50" s="3"/>
      <c r="ET50" s="2"/>
      <c r="EU50" s="2"/>
      <c r="EV50" s="2"/>
      <c r="EW50" s="2"/>
      <c r="EX50" s="2"/>
      <c r="EY50" s="5"/>
      <c r="EZ50" s="2"/>
      <c r="FA50" s="2"/>
      <c r="FB50" s="2"/>
      <c r="FC50" s="2"/>
      <c r="FD50" s="2"/>
      <c r="FE50" s="2"/>
      <c r="FF50" s="80" t="s">
        <v>9</v>
      </c>
      <c r="FG50" s="80"/>
      <c r="FH50" s="80"/>
    </row>
    <row r="51" spans="1:18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</row>
    <row r="52" spans="1:182" x14ac:dyDescent="0.35">
      <c r="A52" s="79" t="s">
        <v>2</v>
      </c>
      <c r="B52" s="79"/>
      <c r="C52" s="79"/>
      <c r="D52" s="2">
        <v>9</v>
      </c>
      <c r="E52" s="2">
        <v>8</v>
      </c>
      <c r="F52" s="2">
        <v>7</v>
      </c>
      <c r="G52" s="2">
        <v>6</v>
      </c>
      <c r="H52" s="2">
        <v>5</v>
      </c>
      <c r="I52" s="2">
        <v>4</v>
      </c>
      <c r="J52" s="2">
        <v>3</v>
      </c>
      <c r="K52" s="2">
        <v>2</v>
      </c>
      <c r="L52" s="2">
        <v>1</v>
      </c>
      <c r="M52" s="2">
        <v>2</v>
      </c>
      <c r="N52" s="2">
        <v>3</v>
      </c>
      <c r="O52" s="2">
        <v>4</v>
      </c>
      <c r="P52" s="2">
        <v>5</v>
      </c>
      <c r="Q52" s="2">
        <v>6</v>
      </c>
      <c r="R52" s="2">
        <v>7</v>
      </c>
      <c r="S52" s="2">
        <v>8</v>
      </c>
      <c r="T52" s="2">
        <v>9</v>
      </c>
      <c r="U52" s="79" t="s">
        <v>3</v>
      </c>
      <c r="V52" s="79"/>
      <c r="W52" s="79"/>
      <c r="AV52" s="79" t="s">
        <v>2</v>
      </c>
      <c r="AW52" s="79"/>
      <c r="AX52" s="79"/>
      <c r="AY52" s="2">
        <v>9</v>
      </c>
      <c r="AZ52" s="2">
        <v>8</v>
      </c>
      <c r="BA52" s="2">
        <v>7</v>
      </c>
      <c r="BB52" s="2">
        <v>6</v>
      </c>
      <c r="BC52" s="2">
        <v>5</v>
      </c>
      <c r="BD52" s="2">
        <v>4</v>
      </c>
      <c r="BE52" s="2">
        <v>3</v>
      </c>
      <c r="BF52" s="2">
        <v>2</v>
      </c>
      <c r="BG52" s="2">
        <v>1</v>
      </c>
      <c r="BH52" s="2">
        <v>2</v>
      </c>
      <c r="BI52" s="2">
        <v>3</v>
      </c>
      <c r="BJ52" s="2">
        <v>4</v>
      </c>
      <c r="BK52" s="2">
        <v>5</v>
      </c>
      <c r="BL52" s="2">
        <v>6</v>
      </c>
      <c r="BM52" s="2">
        <v>7</v>
      </c>
      <c r="BN52" s="2">
        <v>8</v>
      </c>
      <c r="BO52" s="2">
        <v>9</v>
      </c>
      <c r="BP52" s="79" t="s">
        <v>3</v>
      </c>
      <c r="BQ52" s="79"/>
      <c r="BR52" s="79"/>
      <c r="CQ52" s="79" t="s">
        <v>2</v>
      </c>
      <c r="CR52" s="79"/>
      <c r="CS52" s="79"/>
      <c r="CT52" s="2">
        <v>9</v>
      </c>
      <c r="CU52" s="2">
        <v>8</v>
      </c>
      <c r="CV52" s="2">
        <v>7</v>
      </c>
      <c r="CW52" s="2">
        <v>6</v>
      </c>
      <c r="CX52" s="2">
        <v>5</v>
      </c>
      <c r="CY52" s="2">
        <v>4</v>
      </c>
      <c r="CZ52" s="2">
        <v>3</v>
      </c>
      <c r="DA52" s="2">
        <v>2</v>
      </c>
      <c r="DB52" s="2">
        <v>1</v>
      </c>
      <c r="DC52" s="2">
        <v>2</v>
      </c>
      <c r="DD52" s="2">
        <v>3</v>
      </c>
      <c r="DE52" s="2">
        <v>4</v>
      </c>
      <c r="DF52" s="2">
        <v>5</v>
      </c>
      <c r="DG52" s="2">
        <v>6</v>
      </c>
      <c r="DH52" s="2">
        <v>7</v>
      </c>
      <c r="DI52" s="2">
        <v>8</v>
      </c>
      <c r="DJ52" s="2">
        <v>9</v>
      </c>
      <c r="DK52" s="79" t="s">
        <v>3</v>
      </c>
      <c r="DL52" s="79"/>
      <c r="DM52" s="79"/>
      <c r="EL52" s="79" t="s">
        <v>2</v>
      </c>
      <c r="EM52" s="79"/>
      <c r="EN52" s="79"/>
      <c r="EO52" s="2">
        <v>9</v>
      </c>
      <c r="EP52" s="2">
        <v>8</v>
      </c>
      <c r="EQ52" s="2">
        <v>7</v>
      </c>
      <c r="ER52" s="2">
        <v>6</v>
      </c>
      <c r="ES52" s="2">
        <v>5</v>
      </c>
      <c r="ET52" s="2">
        <v>4</v>
      </c>
      <c r="EU52" s="2">
        <v>3</v>
      </c>
      <c r="EV52" s="2">
        <v>2</v>
      </c>
      <c r="EW52" s="2">
        <v>1</v>
      </c>
      <c r="EX52" s="2">
        <v>2</v>
      </c>
      <c r="EY52" s="2">
        <v>3</v>
      </c>
      <c r="EZ52" s="2">
        <v>4</v>
      </c>
      <c r="FA52" s="2">
        <v>5</v>
      </c>
      <c r="FB52" s="2">
        <v>6</v>
      </c>
      <c r="FC52" s="2">
        <v>7</v>
      </c>
      <c r="FD52" s="2">
        <v>8</v>
      </c>
      <c r="FE52" s="2">
        <v>9</v>
      </c>
      <c r="FF52" s="79" t="s">
        <v>3</v>
      </c>
      <c r="FG52" s="79"/>
      <c r="FH52" s="79"/>
    </row>
    <row r="53" spans="1:182" x14ac:dyDescent="0.35">
      <c r="A53" s="80" t="s">
        <v>8</v>
      </c>
      <c r="B53" s="80"/>
      <c r="C53" s="80"/>
      <c r="D53" s="2"/>
      <c r="E53" s="2"/>
      <c r="F53" s="2"/>
      <c r="G53" s="2"/>
      <c r="H53" s="5"/>
      <c r="I53" s="2"/>
      <c r="J53" s="5"/>
      <c r="K53" s="2"/>
      <c r="L53" s="2"/>
      <c r="M53" s="2"/>
      <c r="N53" s="2"/>
      <c r="O53" s="2"/>
      <c r="P53" s="2"/>
      <c r="Q53" s="2"/>
      <c r="R53" s="3"/>
      <c r="S53" s="2"/>
      <c r="T53" s="2"/>
      <c r="U53" s="80" t="s">
        <v>80</v>
      </c>
      <c r="V53" s="80"/>
      <c r="W53" s="80"/>
      <c r="AV53" s="80" t="s">
        <v>8</v>
      </c>
      <c r="AW53" s="80"/>
      <c r="AX53" s="80"/>
      <c r="AY53" s="2"/>
      <c r="AZ53" s="2"/>
      <c r="BA53" s="2"/>
      <c r="BB53" s="2"/>
      <c r="BC53" s="2"/>
      <c r="BD53" s="2"/>
      <c r="BE53" s="5"/>
      <c r="BF53" s="2"/>
      <c r="BG53" s="2"/>
      <c r="BH53" s="2"/>
      <c r="BI53" s="2"/>
      <c r="BJ53" s="2"/>
      <c r="BK53" s="3"/>
      <c r="BL53" s="2"/>
      <c r="BM53" s="2"/>
      <c r="BN53" s="2"/>
      <c r="BO53" s="2"/>
      <c r="BP53" s="80" t="s">
        <v>80</v>
      </c>
      <c r="BQ53" s="80"/>
      <c r="BR53" s="80"/>
      <c r="CQ53" s="80" t="s">
        <v>8</v>
      </c>
      <c r="CR53" s="80"/>
      <c r="CS53" s="80"/>
      <c r="CT53" s="2"/>
      <c r="CU53" s="2"/>
      <c r="CV53" s="2"/>
      <c r="CW53" s="2"/>
      <c r="CX53" s="2"/>
      <c r="CY53" s="2"/>
      <c r="CZ53" s="5"/>
      <c r="DA53" s="2"/>
      <c r="DB53" s="2"/>
      <c r="DC53" s="2"/>
      <c r="DD53" s="2"/>
      <c r="DE53" s="2"/>
      <c r="DF53" s="2"/>
      <c r="DG53" s="2"/>
      <c r="DH53" s="3"/>
      <c r="DI53" s="2"/>
      <c r="DJ53" s="2"/>
      <c r="DK53" s="80" t="s">
        <v>80</v>
      </c>
      <c r="DL53" s="80"/>
      <c r="DM53" s="80"/>
      <c r="EL53" s="80" t="s">
        <v>8</v>
      </c>
      <c r="EM53" s="80"/>
      <c r="EN53" s="80"/>
      <c r="EO53" s="2"/>
      <c r="EP53" s="2"/>
      <c r="EQ53" s="5"/>
      <c r="ER53" s="2"/>
      <c r="ES53" s="2"/>
      <c r="ET53" s="2"/>
      <c r="EU53" s="5"/>
      <c r="EV53" s="2"/>
      <c r="EW53" s="2"/>
      <c r="EX53" s="2"/>
      <c r="EY53" s="2"/>
      <c r="EZ53" s="2"/>
      <c r="FA53" s="2"/>
      <c r="FB53" s="2"/>
      <c r="FC53" s="2"/>
      <c r="FD53" s="2"/>
      <c r="FE53" s="3"/>
      <c r="FF53" s="80" t="s">
        <v>80</v>
      </c>
      <c r="FG53" s="80"/>
      <c r="FH53" s="80"/>
    </row>
    <row r="54" spans="1:182" x14ac:dyDescent="0.35">
      <c r="A54" s="80" t="s">
        <v>8</v>
      </c>
      <c r="B54" s="80"/>
      <c r="C54" s="80"/>
      <c r="D54" s="2"/>
      <c r="E54" s="2"/>
      <c r="F54" s="2"/>
      <c r="G54" s="2"/>
      <c r="H54" s="2"/>
      <c r="I54" s="2"/>
      <c r="J54" s="3"/>
      <c r="K54" s="2"/>
      <c r="L54" s="2"/>
      <c r="M54" s="2"/>
      <c r="N54" s="2"/>
      <c r="O54" s="2"/>
      <c r="P54" s="2"/>
      <c r="Q54" s="2"/>
      <c r="R54" s="2"/>
      <c r="S54" s="2"/>
      <c r="T54" s="2"/>
      <c r="U54" s="80" t="s">
        <v>9</v>
      </c>
      <c r="V54" s="80"/>
      <c r="W54" s="80"/>
      <c r="AV54" s="80" t="s">
        <v>8</v>
      </c>
      <c r="AW54" s="80"/>
      <c r="AX54" s="80"/>
      <c r="AY54" s="2"/>
      <c r="AZ54" s="2"/>
      <c r="BA54" s="3"/>
      <c r="BB54" s="2"/>
      <c r="BC54" s="2"/>
      <c r="BD54" s="2"/>
      <c r="BE54" s="5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80" t="s">
        <v>9</v>
      </c>
      <c r="BQ54" s="80"/>
      <c r="BR54" s="80"/>
      <c r="CQ54" s="80" t="s">
        <v>8</v>
      </c>
      <c r="CR54" s="80"/>
      <c r="CS54" s="80"/>
      <c r="CT54" s="2"/>
      <c r="CU54" s="3"/>
      <c r="CV54" s="2"/>
      <c r="CW54" s="2"/>
      <c r="CX54" s="2"/>
      <c r="CY54" s="2"/>
      <c r="CZ54" s="5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80" t="s">
        <v>9</v>
      </c>
      <c r="DL54" s="80"/>
      <c r="DM54" s="80"/>
      <c r="EL54" s="80" t="s">
        <v>8</v>
      </c>
      <c r="EM54" s="80"/>
      <c r="EN54" s="80"/>
      <c r="EO54" s="3"/>
      <c r="EP54" s="2"/>
      <c r="EQ54" s="2"/>
      <c r="ER54" s="2"/>
      <c r="ES54" s="2"/>
      <c r="ET54" s="2"/>
      <c r="EU54" s="5"/>
      <c r="EV54" s="2"/>
      <c r="EW54" s="2"/>
      <c r="EX54" s="2"/>
      <c r="EY54" s="2"/>
      <c r="EZ54" s="2"/>
      <c r="FA54" s="2"/>
      <c r="FB54" s="2"/>
      <c r="FC54" s="2"/>
      <c r="FD54" s="2"/>
      <c r="FE54" s="5"/>
      <c r="FF54" s="80" t="s">
        <v>9</v>
      </c>
      <c r="FG54" s="80"/>
      <c r="FH54" s="80"/>
    </row>
    <row r="55" spans="1:18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</row>
    <row r="56" spans="1:182" x14ac:dyDescent="0.35">
      <c r="A56" s="79" t="s">
        <v>2</v>
      </c>
      <c r="B56" s="79"/>
      <c r="C56" s="79"/>
      <c r="D56" s="2">
        <v>9</v>
      </c>
      <c r="E56" s="2">
        <v>8</v>
      </c>
      <c r="F56" s="2">
        <v>7</v>
      </c>
      <c r="G56" s="2">
        <v>6</v>
      </c>
      <c r="H56" s="2">
        <v>5</v>
      </c>
      <c r="I56" s="2">
        <v>4</v>
      </c>
      <c r="J56" s="2">
        <v>3</v>
      </c>
      <c r="K56" s="2">
        <v>2</v>
      </c>
      <c r="L56" s="2">
        <v>1</v>
      </c>
      <c r="M56" s="2">
        <v>2</v>
      </c>
      <c r="N56" s="2">
        <v>3</v>
      </c>
      <c r="O56" s="2">
        <v>4</v>
      </c>
      <c r="P56" s="2">
        <v>5</v>
      </c>
      <c r="Q56" s="2">
        <v>6</v>
      </c>
      <c r="R56" s="2">
        <v>7</v>
      </c>
      <c r="S56" s="2">
        <v>8</v>
      </c>
      <c r="T56" s="2">
        <v>9</v>
      </c>
      <c r="U56" s="79" t="s">
        <v>3</v>
      </c>
      <c r="V56" s="79"/>
      <c r="W56" s="79"/>
      <c r="AV56" s="79" t="s">
        <v>2</v>
      </c>
      <c r="AW56" s="79"/>
      <c r="AX56" s="79"/>
      <c r="AY56" s="2">
        <v>9</v>
      </c>
      <c r="AZ56" s="2">
        <v>8</v>
      </c>
      <c r="BA56" s="2">
        <v>7</v>
      </c>
      <c r="BB56" s="2">
        <v>6</v>
      </c>
      <c r="BC56" s="2">
        <v>5</v>
      </c>
      <c r="BD56" s="2">
        <v>4</v>
      </c>
      <c r="BE56" s="2">
        <v>3</v>
      </c>
      <c r="BF56" s="2">
        <v>2</v>
      </c>
      <c r="BG56" s="2">
        <v>1</v>
      </c>
      <c r="BH56" s="2">
        <v>2</v>
      </c>
      <c r="BI56" s="2">
        <v>3</v>
      </c>
      <c r="BJ56" s="2">
        <v>4</v>
      </c>
      <c r="BK56" s="2">
        <v>5</v>
      </c>
      <c r="BL56" s="2">
        <v>6</v>
      </c>
      <c r="BM56" s="2">
        <v>7</v>
      </c>
      <c r="BN56" s="2">
        <v>8</v>
      </c>
      <c r="BO56" s="2">
        <v>9</v>
      </c>
      <c r="BP56" s="79" t="s">
        <v>3</v>
      </c>
      <c r="BQ56" s="79"/>
      <c r="BR56" s="79"/>
      <c r="CQ56" s="79" t="s">
        <v>2</v>
      </c>
      <c r="CR56" s="79"/>
      <c r="CS56" s="79"/>
      <c r="CT56" s="2">
        <v>9</v>
      </c>
      <c r="CU56" s="2">
        <v>8</v>
      </c>
      <c r="CV56" s="2">
        <v>7</v>
      </c>
      <c r="CW56" s="2">
        <v>6</v>
      </c>
      <c r="CX56" s="2">
        <v>5</v>
      </c>
      <c r="CY56" s="2">
        <v>4</v>
      </c>
      <c r="CZ56" s="2">
        <v>3</v>
      </c>
      <c r="DA56" s="2">
        <v>2</v>
      </c>
      <c r="DB56" s="2">
        <v>1</v>
      </c>
      <c r="DC56" s="2">
        <v>2</v>
      </c>
      <c r="DD56" s="2">
        <v>3</v>
      </c>
      <c r="DE56" s="2">
        <v>4</v>
      </c>
      <c r="DF56" s="2">
        <v>5</v>
      </c>
      <c r="DG56" s="2">
        <v>6</v>
      </c>
      <c r="DH56" s="2">
        <v>7</v>
      </c>
      <c r="DI56" s="2">
        <v>8</v>
      </c>
      <c r="DJ56" s="2">
        <v>9</v>
      </c>
      <c r="DK56" s="79" t="s">
        <v>3</v>
      </c>
      <c r="DL56" s="79"/>
      <c r="DM56" s="79"/>
      <c r="EL56" s="79" t="s">
        <v>2</v>
      </c>
      <c r="EM56" s="79"/>
      <c r="EN56" s="79"/>
      <c r="EO56" s="2">
        <v>9</v>
      </c>
      <c r="EP56" s="2">
        <v>8</v>
      </c>
      <c r="EQ56" s="2">
        <v>7</v>
      </c>
      <c r="ER56" s="2">
        <v>6</v>
      </c>
      <c r="ES56" s="2">
        <v>5</v>
      </c>
      <c r="ET56" s="2">
        <v>4</v>
      </c>
      <c r="EU56" s="2">
        <v>3</v>
      </c>
      <c r="EV56" s="2">
        <v>2</v>
      </c>
      <c r="EW56" s="2">
        <v>1</v>
      </c>
      <c r="EX56" s="2">
        <v>2</v>
      </c>
      <c r="EY56" s="2">
        <v>3</v>
      </c>
      <c r="EZ56" s="2">
        <v>4</v>
      </c>
      <c r="FA56" s="2">
        <v>5</v>
      </c>
      <c r="FB56" s="2">
        <v>6</v>
      </c>
      <c r="FC56" s="2">
        <v>7</v>
      </c>
      <c r="FD56" s="2">
        <v>8</v>
      </c>
      <c r="FE56" s="2">
        <v>9</v>
      </c>
      <c r="FF56" s="79" t="s">
        <v>3</v>
      </c>
      <c r="FG56" s="79"/>
      <c r="FH56" s="79"/>
    </row>
    <row r="57" spans="1:182" x14ac:dyDescent="0.35">
      <c r="A57" s="80" t="s">
        <v>80</v>
      </c>
      <c r="B57" s="80"/>
      <c r="C57" s="80"/>
      <c r="D57" s="2"/>
      <c r="E57" s="2"/>
      <c r="F57" s="3"/>
      <c r="G57" s="2"/>
      <c r="H57" s="2"/>
      <c r="I57" s="2"/>
      <c r="J57" s="2"/>
      <c r="K57" s="5"/>
      <c r="L57" s="2"/>
      <c r="M57" s="2"/>
      <c r="N57" s="2"/>
      <c r="O57" s="2"/>
      <c r="P57" s="2"/>
      <c r="Q57" s="2"/>
      <c r="R57" s="2"/>
      <c r="S57" s="2"/>
      <c r="T57" s="2"/>
      <c r="U57" s="80" t="s">
        <v>9</v>
      </c>
      <c r="V57" s="80"/>
      <c r="W57" s="80"/>
      <c r="AV57" s="80" t="s">
        <v>80</v>
      </c>
      <c r="AW57" s="80"/>
      <c r="AX57" s="80"/>
      <c r="AY57" s="2"/>
      <c r="AZ57" s="2"/>
      <c r="BA57" s="3"/>
      <c r="BB57" s="2"/>
      <c r="BC57" s="2"/>
      <c r="BD57" s="2"/>
      <c r="BE57" s="2"/>
      <c r="BF57" s="5"/>
      <c r="BG57" s="2"/>
      <c r="BH57" s="2"/>
      <c r="BI57" s="2"/>
      <c r="BJ57" s="2"/>
      <c r="BK57" s="2"/>
      <c r="BL57" s="2"/>
      <c r="BM57" s="2"/>
      <c r="BN57" s="2"/>
      <c r="BO57" s="2"/>
      <c r="BP57" s="80" t="s">
        <v>9</v>
      </c>
      <c r="BQ57" s="80"/>
      <c r="BR57" s="80"/>
      <c r="CQ57" s="80" t="s">
        <v>80</v>
      </c>
      <c r="CR57" s="80"/>
      <c r="CS57" s="80"/>
      <c r="CT57" s="2"/>
      <c r="CU57" s="2"/>
      <c r="CV57" s="3"/>
      <c r="CW57" s="2"/>
      <c r="CX57" s="2"/>
      <c r="CY57" s="2"/>
      <c r="CZ57" s="2"/>
      <c r="DA57" s="5"/>
      <c r="DB57" s="2"/>
      <c r="DC57" s="2"/>
      <c r="DD57" s="2"/>
      <c r="DE57" s="2"/>
      <c r="DF57" s="2"/>
      <c r="DG57" s="2"/>
      <c r="DH57" s="2"/>
      <c r="DI57" s="2"/>
      <c r="DJ57" s="2"/>
      <c r="DK57" s="80" t="s">
        <v>9</v>
      </c>
      <c r="DL57" s="80"/>
      <c r="DM57" s="80"/>
      <c r="EL57" s="80" t="s">
        <v>80</v>
      </c>
      <c r="EM57" s="80"/>
      <c r="EN57" s="80"/>
      <c r="EO57" s="2"/>
      <c r="EP57" s="2"/>
      <c r="EQ57" s="3"/>
      <c r="ER57" s="2"/>
      <c r="ES57" s="2"/>
      <c r="ET57" s="2"/>
      <c r="EU57" s="2"/>
      <c r="EV57" s="5"/>
      <c r="EW57" s="2"/>
      <c r="EX57" s="2"/>
      <c r="EY57" s="2"/>
      <c r="EZ57" s="2"/>
      <c r="FA57" s="2"/>
      <c r="FB57" s="2"/>
      <c r="FC57" s="2"/>
      <c r="FD57" s="2"/>
      <c r="FE57" s="2"/>
      <c r="FF57" s="80" t="s">
        <v>9</v>
      </c>
      <c r="FG57" s="80"/>
      <c r="FH57" s="80"/>
    </row>
    <row r="60" spans="1:182" x14ac:dyDescent="0.35">
      <c r="A60" s="85" t="s">
        <v>10</v>
      </c>
      <c r="B60" s="85"/>
      <c r="AV60" s="85" t="s">
        <v>10</v>
      </c>
      <c r="AW60" s="85"/>
      <c r="CQ60" s="85" t="s">
        <v>10</v>
      </c>
      <c r="CR60" s="85"/>
      <c r="EL60" s="85" t="s">
        <v>10</v>
      </c>
      <c r="EM60" s="85"/>
    </row>
    <row r="62" spans="1:182" x14ac:dyDescent="0.35">
      <c r="A62" s="79" t="s">
        <v>2</v>
      </c>
      <c r="B62" s="79"/>
      <c r="C62" s="79"/>
      <c r="D62" s="2">
        <v>9</v>
      </c>
      <c r="E62" s="2">
        <v>8</v>
      </c>
      <c r="F62" s="2">
        <v>7</v>
      </c>
      <c r="G62" s="2">
        <v>6</v>
      </c>
      <c r="H62" s="2">
        <v>5</v>
      </c>
      <c r="I62" s="2">
        <v>4</v>
      </c>
      <c r="J62" s="2">
        <v>3</v>
      </c>
      <c r="K62" s="2">
        <v>2</v>
      </c>
      <c r="L62" s="2">
        <v>1</v>
      </c>
      <c r="M62" s="2">
        <v>2</v>
      </c>
      <c r="N62" s="2">
        <v>3</v>
      </c>
      <c r="O62" s="2">
        <v>4</v>
      </c>
      <c r="P62" s="2">
        <v>5</v>
      </c>
      <c r="Q62" s="2">
        <v>6</v>
      </c>
      <c r="R62" s="2">
        <v>7</v>
      </c>
      <c r="S62" s="2">
        <v>8</v>
      </c>
      <c r="T62" s="2">
        <v>9</v>
      </c>
      <c r="U62" s="79" t="s">
        <v>3</v>
      </c>
      <c r="V62" s="79"/>
      <c r="W62" s="79"/>
      <c r="Z62" s="60"/>
      <c r="AA62" s="60"/>
      <c r="AB62" s="60" t="s">
        <v>11</v>
      </c>
      <c r="AC62" s="60"/>
      <c r="AD62" s="60" t="s">
        <v>81</v>
      </c>
      <c r="AE62" s="60"/>
      <c r="AF62" s="60" t="s">
        <v>27</v>
      </c>
      <c r="AG62" s="60"/>
      <c r="AH62" s="60" t="s">
        <v>87</v>
      </c>
      <c r="AI62" s="60"/>
      <c r="AJ62" s="60" t="s">
        <v>90</v>
      </c>
      <c r="AK62" s="60"/>
      <c r="AL62" s="60" t="s">
        <v>89</v>
      </c>
      <c r="AM62" s="60"/>
      <c r="AN62" s="60" t="s">
        <v>91</v>
      </c>
      <c r="AO62" s="75"/>
      <c r="AP62" s="74"/>
      <c r="AQ62" s="69"/>
      <c r="AV62" s="79" t="s">
        <v>2</v>
      </c>
      <c r="AW62" s="79"/>
      <c r="AX62" s="79"/>
      <c r="AY62" s="2">
        <v>9</v>
      </c>
      <c r="AZ62" s="2">
        <v>8</v>
      </c>
      <c r="BA62" s="2">
        <v>7</v>
      </c>
      <c r="BB62" s="2">
        <v>6</v>
      </c>
      <c r="BC62" s="2">
        <v>5</v>
      </c>
      <c r="BD62" s="2">
        <v>4</v>
      </c>
      <c r="BE62" s="2">
        <v>3</v>
      </c>
      <c r="BF62" s="2">
        <v>2</v>
      </c>
      <c r="BG62" s="2">
        <v>1</v>
      </c>
      <c r="BH62" s="2">
        <v>2</v>
      </c>
      <c r="BI62" s="2">
        <v>3</v>
      </c>
      <c r="BJ62" s="2">
        <v>4</v>
      </c>
      <c r="BK62" s="2">
        <v>5</v>
      </c>
      <c r="BL62" s="2">
        <v>6</v>
      </c>
      <c r="BM62" s="2">
        <v>7</v>
      </c>
      <c r="BN62" s="2">
        <v>8</v>
      </c>
      <c r="BO62" s="2">
        <v>9</v>
      </c>
      <c r="BP62" s="79" t="s">
        <v>3</v>
      </c>
      <c r="BQ62" s="79"/>
      <c r="BR62" s="79"/>
      <c r="BU62" s="60"/>
      <c r="BV62" s="60"/>
      <c r="BW62" s="60" t="s">
        <v>11</v>
      </c>
      <c r="BX62" s="60"/>
      <c r="BY62" s="60" t="s">
        <v>81</v>
      </c>
      <c r="BZ62" s="60"/>
      <c r="CA62" s="60" t="s">
        <v>27</v>
      </c>
      <c r="CB62" s="60"/>
      <c r="CC62" s="60" t="s">
        <v>87</v>
      </c>
      <c r="CD62" s="60"/>
      <c r="CE62" s="60" t="s">
        <v>90</v>
      </c>
      <c r="CF62" s="60"/>
      <c r="CG62" s="60" t="s">
        <v>89</v>
      </c>
      <c r="CH62" s="60"/>
      <c r="CI62" s="60" t="s">
        <v>91</v>
      </c>
      <c r="CJ62" s="75"/>
      <c r="CK62" s="74"/>
      <c r="CL62" s="69"/>
      <c r="CQ62" s="79" t="s">
        <v>2</v>
      </c>
      <c r="CR62" s="79"/>
      <c r="CS62" s="79"/>
      <c r="CT62" s="2">
        <v>9</v>
      </c>
      <c r="CU62" s="2">
        <v>8</v>
      </c>
      <c r="CV62" s="2">
        <v>7</v>
      </c>
      <c r="CW62" s="2">
        <v>6</v>
      </c>
      <c r="CX62" s="2">
        <v>5</v>
      </c>
      <c r="CY62" s="2">
        <v>4</v>
      </c>
      <c r="CZ62" s="2">
        <v>3</v>
      </c>
      <c r="DA62" s="2">
        <v>2</v>
      </c>
      <c r="DB62" s="2">
        <v>1</v>
      </c>
      <c r="DC62" s="2">
        <v>2</v>
      </c>
      <c r="DD62" s="2">
        <v>3</v>
      </c>
      <c r="DE62" s="2">
        <v>4</v>
      </c>
      <c r="DF62" s="2">
        <v>5</v>
      </c>
      <c r="DG62" s="2">
        <v>6</v>
      </c>
      <c r="DH62" s="2">
        <v>7</v>
      </c>
      <c r="DI62" s="2">
        <v>8</v>
      </c>
      <c r="DJ62" s="2">
        <v>9</v>
      </c>
      <c r="DK62" s="79" t="s">
        <v>3</v>
      </c>
      <c r="DL62" s="79"/>
      <c r="DM62" s="79"/>
      <c r="DP62" s="60"/>
      <c r="DQ62" s="60"/>
      <c r="DR62" s="60" t="s">
        <v>11</v>
      </c>
      <c r="DS62" s="60"/>
      <c r="DT62" s="60" t="s">
        <v>81</v>
      </c>
      <c r="DU62" s="60"/>
      <c r="DV62" s="60" t="s">
        <v>27</v>
      </c>
      <c r="DW62" s="60"/>
      <c r="DX62" s="60" t="s">
        <v>87</v>
      </c>
      <c r="DY62" s="60"/>
      <c r="DZ62" s="60" t="s">
        <v>90</v>
      </c>
      <c r="EA62" s="60"/>
      <c r="EB62" s="60" t="s">
        <v>89</v>
      </c>
      <c r="EC62" s="60"/>
      <c r="ED62" s="60" t="s">
        <v>91</v>
      </c>
      <c r="EE62" s="75"/>
      <c r="EF62" s="74"/>
      <c r="EG62" s="69"/>
      <c r="EL62" s="79" t="s">
        <v>2</v>
      </c>
      <c r="EM62" s="79"/>
      <c r="EN62" s="79"/>
      <c r="EO62" s="2">
        <v>9</v>
      </c>
      <c r="EP62" s="2">
        <v>8</v>
      </c>
      <c r="EQ62" s="2">
        <v>7</v>
      </c>
      <c r="ER62" s="2">
        <v>6</v>
      </c>
      <c r="ES62" s="2">
        <v>5</v>
      </c>
      <c r="ET62" s="2">
        <v>4</v>
      </c>
      <c r="EU62" s="2">
        <v>3</v>
      </c>
      <c r="EV62" s="2">
        <v>2</v>
      </c>
      <c r="EW62" s="2">
        <v>1</v>
      </c>
      <c r="EX62" s="2">
        <v>2</v>
      </c>
      <c r="EY62" s="2">
        <v>3</v>
      </c>
      <c r="EZ62" s="2">
        <v>4</v>
      </c>
      <c r="FA62" s="2">
        <v>5</v>
      </c>
      <c r="FB62" s="2">
        <v>6</v>
      </c>
      <c r="FC62" s="2">
        <v>7</v>
      </c>
      <c r="FD62" s="2">
        <v>8</v>
      </c>
      <c r="FE62" s="2">
        <v>9</v>
      </c>
      <c r="FF62" s="79" t="s">
        <v>3</v>
      </c>
      <c r="FG62" s="79"/>
      <c r="FH62" s="79"/>
      <c r="FK62" s="60"/>
      <c r="FL62" s="60"/>
      <c r="FM62" s="60" t="s">
        <v>11</v>
      </c>
      <c r="FN62" s="60"/>
      <c r="FO62" s="60" t="s">
        <v>81</v>
      </c>
      <c r="FP62" s="60"/>
      <c r="FQ62" s="60" t="s">
        <v>27</v>
      </c>
      <c r="FR62" s="60"/>
      <c r="FS62" s="60" t="s">
        <v>87</v>
      </c>
      <c r="FT62" s="60"/>
      <c r="FU62" s="60" t="s">
        <v>90</v>
      </c>
      <c r="FV62" s="60"/>
      <c r="FW62" s="60" t="s">
        <v>89</v>
      </c>
      <c r="FX62" s="60"/>
      <c r="FY62" s="60" t="s">
        <v>91</v>
      </c>
      <c r="FZ62" s="60"/>
    </row>
    <row r="63" spans="1:182" x14ac:dyDescent="0.35">
      <c r="A63" s="80" t="s">
        <v>11</v>
      </c>
      <c r="B63" s="80"/>
      <c r="C63" s="80"/>
      <c r="D63" s="2"/>
      <c r="E63" s="2"/>
      <c r="F63" s="2"/>
      <c r="G63" s="2"/>
      <c r="H63" s="2"/>
      <c r="I63" s="2"/>
      <c r="J63" s="2"/>
      <c r="K63" s="2"/>
      <c r="L63" s="2"/>
      <c r="M63" s="2"/>
      <c r="N63" s="5"/>
      <c r="O63" s="2"/>
      <c r="P63" s="2"/>
      <c r="Q63" s="2"/>
      <c r="R63" s="3"/>
      <c r="S63" s="2"/>
      <c r="T63" s="2"/>
      <c r="U63" s="81" t="s">
        <v>81</v>
      </c>
      <c r="V63" s="82"/>
      <c r="W63" s="83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75"/>
      <c r="AP63" s="74"/>
      <c r="AQ63" s="69"/>
      <c r="AV63" s="80" t="s">
        <v>11</v>
      </c>
      <c r="AW63" s="80"/>
      <c r="AX63" s="80"/>
      <c r="AY63" s="2"/>
      <c r="AZ63" s="2"/>
      <c r="BA63" s="3"/>
      <c r="BB63" s="2"/>
      <c r="BC63" s="2"/>
      <c r="BD63" s="2"/>
      <c r="BE63" s="2"/>
      <c r="BF63" s="2"/>
      <c r="BG63" s="2"/>
      <c r="BH63" s="2"/>
      <c r="BI63" s="5"/>
      <c r="BJ63" s="2"/>
      <c r="BK63" s="2"/>
      <c r="BL63" s="2"/>
      <c r="BM63" s="2"/>
      <c r="BN63" s="2"/>
      <c r="BO63" s="2"/>
      <c r="BP63" s="81" t="s">
        <v>81</v>
      </c>
      <c r="BQ63" s="82"/>
      <c r="BR63" s="83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75"/>
      <c r="CK63" s="74"/>
      <c r="CL63" s="69"/>
      <c r="CQ63" s="80" t="s">
        <v>11</v>
      </c>
      <c r="CR63" s="80"/>
      <c r="CS63" s="80"/>
      <c r="CT63" s="2"/>
      <c r="CU63" s="2"/>
      <c r="CV63" s="3"/>
      <c r="CW63" s="2"/>
      <c r="CX63" s="2"/>
      <c r="CY63" s="2"/>
      <c r="CZ63" s="2"/>
      <c r="DA63" s="2"/>
      <c r="DB63" s="5"/>
      <c r="DC63" s="2"/>
      <c r="DD63" s="5"/>
      <c r="DE63" s="2"/>
      <c r="DF63" s="2"/>
      <c r="DG63" s="2"/>
      <c r="DH63" s="2"/>
      <c r="DI63" s="2"/>
      <c r="DJ63" s="2"/>
      <c r="DK63" s="81" t="s">
        <v>81</v>
      </c>
      <c r="DL63" s="82"/>
      <c r="DM63" s="83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75"/>
      <c r="EF63" s="74"/>
      <c r="EG63" s="69"/>
      <c r="EL63" s="80" t="s">
        <v>11</v>
      </c>
      <c r="EM63" s="80"/>
      <c r="EN63" s="80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5"/>
      <c r="EZ63" s="2"/>
      <c r="FA63" s="2"/>
      <c r="FB63" s="2"/>
      <c r="FC63" s="3"/>
      <c r="FD63" s="2"/>
      <c r="FE63" s="2"/>
      <c r="FF63" s="81" t="s">
        <v>81</v>
      </c>
      <c r="FG63" s="82"/>
      <c r="FH63" s="83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</row>
    <row r="64" spans="1:182" ht="15" customHeight="1" x14ac:dyDescent="0.35">
      <c r="A64" s="80" t="s">
        <v>11</v>
      </c>
      <c r="B64" s="80"/>
      <c r="C64" s="80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5"/>
      <c r="Q64" s="2"/>
      <c r="R64" s="2"/>
      <c r="S64" s="2"/>
      <c r="T64" s="3"/>
      <c r="U64" s="81" t="s">
        <v>27</v>
      </c>
      <c r="V64" s="82"/>
      <c r="W64" s="83"/>
      <c r="Z64" s="63" t="s">
        <v>11</v>
      </c>
      <c r="AA64" s="64"/>
      <c r="AB64" s="70">
        <v>1</v>
      </c>
      <c r="AC64" s="71"/>
      <c r="AD64" s="63">
        <v>7</v>
      </c>
      <c r="AE64" s="64"/>
      <c r="AF64" s="63">
        <v>9</v>
      </c>
      <c r="AG64" s="64"/>
      <c r="AH64" s="63">
        <f>1/7</f>
        <v>0.14285714285714285</v>
      </c>
      <c r="AI64" s="64"/>
      <c r="AJ64" s="63">
        <v>5</v>
      </c>
      <c r="AK64" s="64"/>
      <c r="AL64" s="63">
        <f>1/5</f>
        <v>0.2</v>
      </c>
      <c r="AM64" s="64"/>
      <c r="AN64" s="63">
        <f>1/5</f>
        <v>0.2</v>
      </c>
      <c r="AO64" s="68"/>
      <c r="AP64" s="74"/>
      <c r="AQ64" s="69"/>
      <c r="AV64" s="80" t="s">
        <v>11</v>
      </c>
      <c r="AW64" s="80"/>
      <c r="AX64" s="80"/>
      <c r="AY64" s="2"/>
      <c r="AZ64" s="2"/>
      <c r="BA64" s="2"/>
      <c r="BB64" s="2"/>
      <c r="BC64" s="2"/>
      <c r="BD64" s="2"/>
      <c r="BE64" s="3"/>
      <c r="BF64" s="2"/>
      <c r="BG64" s="2"/>
      <c r="BH64" s="2"/>
      <c r="BI64" s="2"/>
      <c r="BJ64" s="2"/>
      <c r="BK64" s="5"/>
      <c r="BL64" s="2"/>
      <c r="BM64" s="2"/>
      <c r="BN64" s="2"/>
      <c r="BO64" s="2"/>
      <c r="BP64" s="81" t="s">
        <v>27</v>
      </c>
      <c r="BQ64" s="82"/>
      <c r="BR64" s="83"/>
      <c r="BU64" s="63" t="s">
        <v>11</v>
      </c>
      <c r="BV64" s="64"/>
      <c r="BW64" s="70">
        <v>1</v>
      </c>
      <c r="BX64" s="71"/>
      <c r="BY64" s="63">
        <f>1/7</f>
        <v>0.14285714285714285</v>
      </c>
      <c r="BZ64" s="64"/>
      <c r="CA64" s="63">
        <f>1/3</f>
        <v>0.33333333333333331</v>
      </c>
      <c r="CB64" s="64"/>
      <c r="CC64" s="63">
        <f>1/7</f>
        <v>0.14285714285714285</v>
      </c>
      <c r="CD64" s="64"/>
      <c r="CE64" s="63">
        <v>5</v>
      </c>
      <c r="CF64" s="64"/>
      <c r="CG64" s="63">
        <v>9</v>
      </c>
      <c r="CH64" s="64"/>
      <c r="CI64" s="63">
        <v>7</v>
      </c>
      <c r="CJ64" s="68"/>
      <c r="CK64" s="74"/>
      <c r="CL64" s="69"/>
      <c r="CQ64" s="80" t="s">
        <v>11</v>
      </c>
      <c r="CR64" s="80"/>
      <c r="CS64" s="80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5"/>
      <c r="DG64" s="2"/>
      <c r="DH64" s="3"/>
      <c r="DI64" s="2"/>
      <c r="DJ64" s="2"/>
      <c r="DK64" s="81" t="s">
        <v>27</v>
      </c>
      <c r="DL64" s="82"/>
      <c r="DM64" s="83"/>
      <c r="DP64" s="63" t="s">
        <v>11</v>
      </c>
      <c r="DQ64" s="64"/>
      <c r="DR64" s="70">
        <v>1</v>
      </c>
      <c r="DS64" s="71"/>
      <c r="DT64" s="63">
        <f>1/7</f>
        <v>0.14285714285714285</v>
      </c>
      <c r="DU64" s="64"/>
      <c r="DV64" s="63">
        <v>7</v>
      </c>
      <c r="DW64" s="64"/>
      <c r="DX64" s="63">
        <f>1/7</f>
        <v>0.14285714285714285</v>
      </c>
      <c r="DY64" s="64"/>
      <c r="DZ64" s="63">
        <v>9</v>
      </c>
      <c r="EA64" s="64"/>
      <c r="EB64" s="63">
        <v>3</v>
      </c>
      <c r="EC64" s="64"/>
      <c r="ED64" s="63">
        <f>1/5</f>
        <v>0.2</v>
      </c>
      <c r="EE64" s="68"/>
      <c r="EF64" s="74"/>
      <c r="EG64" s="69"/>
      <c r="EL64" s="80" t="s">
        <v>11</v>
      </c>
      <c r="EM64" s="80"/>
      <c r="EN64" s="80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3"/>
      <c r="EZ64" s="2"/>
      <c r="FA64" s="5"/>
      <c r="FB64" s="2"/>
      <c r="FC64" s="2"/>
      <c r="FD64" s="2"/>
      <c r="FE64" s="2"/>
      <c r="FF64" s="81" t="s">
        <v>27</v>
      </c>
      <c r="FG64" s="82"/>
      <c r="FH64" s="83"/>
      <c r="FK64" s="63" t="s">
        <v>11</v>
      </c>
      <c r="FL64" s="64"/>
      <c r="FM64" s="70">
        <v>1</v>
      </c>
      <c r="FN64" s="71"/>
      <c r="FO64" s="63">
        <v>7</v>
      </c>
      <c r="FP64" s="64"/>
      <c r="FQ64" s="63">
        <v>3</v>
      </c>
      <c r="FR64" s="64"/>
      <c r="FS64" s="63">
        <f>1/7</f>
        <v>0.14285714285714285</v>
      </c>
      <c r="FT64" s="64"/>
      <c r="FU64" s="63">
        <v>5</v>
      </c>
      <c r="FV64" s="64"/>
      <c r="FW64" s="63">
        <f>1/5</f>
        <v>0.2</v>
      </c>
      <c r="FX64" s="64"/>
      <c r="FY64" s="63">
        <f>1/5</f>
        <v>0.2</v>
      </c>
      <c r="FZ64" s="64"/>
    </row>
    <row r="65" spans="1:182" x14ac:dyDescent="0.35">
      <c r="A65" s="80" t="s">
        <v>11</v>
      </c>
      <c r="B65" s="80"/>
      <c r="C65" s="80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81" t="s">
        <v>28</v>
      </c>
      <c r="V65" s="82"/>
      <c r="W65" s="83"/>
      <c r="Z65" s="65"/>
      <c r="AA65" s="66"/>
      <c r="AB65" s="72"/>
      <c r="AC65" s="73"/>
      <c r="AD65" s="65"/>
      <c r="AE65" s="66"/>
      <c r="AF65" s="65"/>
      <c r="AG65" s="66"/>
      <c r="AH65" s="65"/>
      <c r="AI65" s="66"/>
      <c r="AJ65" s="65"/>
      <c r="AK65" s="66"/>
      <c r="AL65" s="65"/>
      <c r="AM65" s="66"/>
      <c r="AN65" s="65"/>
      <c r="AO65" s="78"/>
      <c r="AP65" s="74"/>
      <c r="AQ65" s="69"/>
      <c r="AV65" s="80" t="s">
        <v>11</v>
      </c>
      <c r="AW65" s="80"/>
      <c r="AX65" s="80"/>
      <c r="AY65" s="2"/>
      <c r="AZ65" s="2"/>
      <c r="BA65" s="3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81" t="s">
        <v>28</v>
      </c>
      <c r="BQ65" s="82"/>
      <c r="BR65" s="83"/>
      <c r="BU65" s="65"/>
      <c r="BV65" s="66"/>
      <c r="BW65" s="72"/>
      <c r="BX65" s="73"/>
      <c r="BY65" s="65"/>
      <c r="BZ65" s="66"/>
      <c r="CA65" s="65"/>
      <c r="CB65" s="66"/>
      <c r="CC65" s="65"/>
      <c r="CD65" s="66"/>
      <c r="CE65" s="65"/>
      <c r="CF65" s="66"/>
      <c r="CG65" s="65"/>
      <c r="CH65" s="66"/>
      <c r="CI65" s="65"/>
      <c r="CJ65" s="78"/>
      <c r="CK65" s="74"/>
      <c r="CL65" s="69"/>
      <c r="CQ65" s="80" t="s">
        <v>11</v>
      </c>
      <c r="CR65" s="80"/>
      <c r="CS65" s="80"/>
      <c r="CT65" s="2"/>
      <c r="CU65" s="2"/>
      <c r="CV65" s="3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81" t="s">
        <v>28</v>
      </c>
      <c r="DL65" s="82"/>
      <c r="DM65" s="83"/>
      <c r="DP65" s="65"/>
      <c r="DQ65" s="66"/>
      <c r="DR65" s="72"/>
      <c r="DS65" s="73"/>
      <c r="DT65" s="65"/>
      <c r="DU65" s="66"/>
      <c r="DV65" s="65"/>
      <c r="DW65" s="66"/>
      <c r="DX65" s="65"/>
      <c r="DY65" s="66"/>
      <c r="DZ65" s="65"/>
      <c r="EA65" s="66"/>
      <c r="EB65" s="65"/>
      <c r="EC65" s="66"/>
      <c r="ED65" s="65"/>
      <c r="EE65" s="78"/>
      <c r="EF65" s="74"/>
      <c r="EG65" s="69"/>
      <c r="EL65" s="80" t="s">
        <v>11</v>
      </c>
      <c r="EM65" s="80"/>
      <c r="EN65" s="80"/>
      <c r="EO65" s="2"/>
      <c r="EP65" s="2"/>
      <c r="EQ65" s="3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81" t="s">
        <v>28</v>
      </c>
      <c r="FG65" s="82"/>
      <c r="FH65" s="83"/>
      <c r="FK65" s="65"/>
      <c r="FL65" s="66"/>
      <c r="FM65" s="72"/>
      <c r="FN65" s="73"/>
      <c r="FO65" s="65"/>
      <c r="FP65" s="66"/>
      <c r="FQ65" s="65"/>
      <c r="FR65" s="66"/>
      <c r="FS65" s="65"/>
      <c r="FT65" s="66"/>
      <c r="FU65" s="65"/>
      <c r="FV65" s="66"/>
      <c r="FW65" s="65"/>
      <c r="FX65" s="66"/>
      <c r="FY65" s="65"/>
      <c r="FZ65" s="66"/>
    </row>
    <row r="66" spans="1:182" ht="15" customHeight="1" x14ac:dyDescent="0.35">
      <c r="A66" s="80" t="s">
        <v>11</v>
      </c>
      <c r="B66" s="80"/>
      <c r="C66" s="80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  <c r="Q66" s="2"/>
      <c r="R66" s="2"/>
      <c r="S66" s="2"/>
      <c r="T66" s="5"/>
      <c r="U66" s="81" t="s">
        <v>29</v>
      </c>
      <c r="V66" s="82"/>
      <c r="W66" s="83"/>
      <c r="Z66" s="60" t="s">
        <v>81</v>
      </c>
      <c r="AA66" s="60"/>
      <c r="AB66" s="60">
        <f>1/7</f>
        <v>0.14285714285714285</v>
      </c>
      <c r="AC66" s="60"/>
      <c r="AD66" s="62">
        <v>1</v>
      </c>
      <c r="AE66" s="62"/>
      <c r="AF66" s="60">
        <v>7</v>
      </c>
      <c r="AG66" s="60"/>
      <c r="AH66" s="60">
        <f>1/5</f>
        <v>0.2</v>
      </c>
      <c r="AI66" s="60"/>
      <c r="AJ66" s="60">
        <v>7</v>
      </c>
      <c r="AK66" s="60"/>
      <c r="AL66" s="60">
        <f>1/5</f>
        <v>0.2</v>
      </c>
      <c r="AM66" s="60"/>
      <c r="AN66" s="60">
        <f>1/3</f>
        <v>0.33333333333333331</v>
      </c>
      <c r="AO66" s="75"/>
      <c r="AP66" s="74"/>
      <c r="AQ66" s="69"/>
      <c r="AV66" s="80" t="s">
        <v>11</v>
      </c>
      <c r="AW66" s="80"/>
      <c r="AX66" s="80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3"/>
      <c r="BL66" s="2"/>
      <c r="BM66" s="2"/>
      <c r="BN66" s="2"/>
      <c r="BO66" s="5"/>
      <c r="BP66" s="81" t="s">
        <v>29</v>
      </c>
      <c r="BQ66" s="82"/>
      <c r="BR66" s="83"/>
      <c r="BU66" s="60" t="s">
        <v>81</v>
      </c>
      <c r="BV66" s="60"/>
      <c r="BW66" s="60">
        <v>7</v>
      </c>
      <c r="BX66" s="60"/>
      <c r="BY66" s="62">
        <v>1</v>
      </c>
      <c r="BZ66" s="62"/>
      <c r="CA66" s="60">
        <f>1/7</f>
        <v>0.14285714285714285</v>
      </c>
      <c r="CB66" s="60"/>
      <c r="CC66" s="60">
        <f>1/5</f>
        <v>0.2</v>
      </c>
      <c r="CD66" s="60"/>
      <c r="CE66" s="60">
        <v>9</v>
      </c>
      <c r="CF66" s="60"/>
      <c r="CG66" s="60">
        <v>7</v>
      </c>
      <c r="CH66" s="60"/>
      <c r="CI66" s="60">
        <f>1/9</f>
        <v>0.1111111111111111</v>
      </c>
      <c r="CJ66" s="75"/>
      <c r="CK66" s="74"/>
      <c r="CL66" s="69"/>
      <c r="CQ66" s="80" t="s">
        <v>11</v>
      </c>
      <c r="CR66" s="80"/>
      <c r="CS66" s="80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5"/>
      <c r="DG66" s="2"/>
      <c r="DH66" s="2"/>
      <c r="DI66" s="2"/>
      <c r="DJ66" s="3"/>
      <c r="DK66" s="81" t="s">
        <v>29</v>
      </c>
      <c r="DL66" s="82"/>
      <c r="DM66" s="83"/>
      <c r="DP66" s="60" t="s">
        <v>81</v>
      </c>
      <c r="DQ66" s="60"/>
      <c r="DR66" s="60">
        <v>7</v>
      </c>
      <c r="DS66" s="60"/>
      <c r="DT66" s="62">
        <v>1</v>
      </c>
      <c r="DU66" s="62"/>
      <c r="DV66" s="60">
        <v>3</v>
      </c>
      <c r="DW66" s="60"/>
      <c r="DX66" s="60">
        <f>1/7</f>
        <v>0.14285714285714285</v>
      </c>
      <c r="DY66" s="60"/>
      <c r="DZ66" s="60">
        <v>7</v>
      </c>
      <c r="EA66" s="60"/>
      <c r="EB66" s="60">
        <v>5</v>
      </c>
      <c r="EC66" s="60"/>
      <c r="ED66" s="60">
        <f>1/9</f>
        <v>0.1111111111111111</v>
      </c>
      <c r="EE66" s="75"/>
      <c r="EF66" s="74"/>
      <c r="EG66" s="69"/>
      <c r="EL66" s="80" t="s">
        <v>11</v>
      </c>
      <c r="EM66" s="80"/>
      <c r="EN66" s="80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3"/>
      <c r="FB66" s="2"/>
      <c r="FC66" s="2"/>
      <c r="FD66" s="2"/>
      <c r="FE66" s="5"/>
      <c r="FF66" s="81" t="s">
        <v>29</v>
      </c>
      <c r="FG66" s="82"/>
      <c r="FH66" s="83"/>
      <c r="FK66" s="60" t="s">
        <v>81</v>
      </c>
      <c r="FL66" s="60"/>
      <c r="FM66" s="60">
        <f>1/7</f>
        <v>0.14285714285714285</v>
      </c>
      <c r="FN66" s="60"/>
      <c r="FO66" s="62">
        <v>1</v>
      </c>
      <c r="FP66" s="62"/>
      <c r="FQ66" s="60">
        <v>5</v>
      </c>
      <c r="FR66" s="60"/>
      <c r="FS66" s="60">
        <f>1/9</f>
        <v>0.1111111111111111</v>
      </c>
      <c r="FT66" s="60"/>
      <c r="FU66" s="60">
        <v>9</v>
      </c>
      <c r="FV66" s="60"/>
      <c r="FW66" s="60">
        <v>3</v>
      </c>
      <c r="FX66" s="60"/>
      <c r="FY66" s="60">
        <f>1/5</f>
        <v>0.2</v>
      </c>
      <c r="FZ66" s="60"/>
    </row>
    <row r="67" spans="1:182" x14ac:dyDescent="0.35">
      <c r="A67" s="80" t="s">
        <v>11</v>
      </c>
      <c r="B67" s="80"/>
      <c r="C67" s="80"/>
      <c r="D67" s="2"/>
      <c r="E67" s="2"/>
      <c r="F67" s="2"/>
      <c r="G67" s="2"/>
      <c r="H67" s="3"/>
      <c r="I67" s="2"/>
      <c r="J67" s="2"/>
      <c r="K67" s="2"/>
      <c r="L67" s="2"/>
      <c r="M67" s="2"/>
      <c r="N67" s="5"/>
      <c r="O67" s="2"/>
      <c r="P67" s="2"/>
      <c r="Q67" s="2"/>
      <c r="R67" s="2"/>
      <c r="S67" s="2"/>
      <c r="T67" s="2"/>
      <c r="U67" s="81" t="s">
        <v>82</v>
      </c>
      <c r="V67" s="82"/>
      <c r="W67" s="83"/>
      <c r="Z67" s="60"/>
      <c r="AA67" s="60"/>
      <c r="AB67" s="60"/>
      <c r="AC67" s="60"/>
      <c r="AD67" s="62"/>
      <c r="AE67" s="62"/>
      <c r="AF67" s="60"/>
      <c r="AG67" s="60"/>
      <c r="AH67" s="60"/>
      <c r="AI67" s="60"/>
      <c r="AJ67" s="60"/>
      <c r="AK67" s="60"/>
      <c r="AL67" s="60"/>
      <c r="AM67" s="60"/>
      <c r="AN67" s="60"/>
      <c r="AO67" s="75"/>
      <c r="AP67" s="74"/>
      <c r="AQ67" s="69"/>
      <c r="AV67" s="80" t="s">
        <v>11</v>
      </c>
      <c r="AW67" s="80"/>
      <c r="AX67" s="80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5"/>
      <c r="BJ67" s="2"/>
      <c r="BK67" s="2"/>
      <c r="BL67" s="2"/>
      <c r="BM67" s="2"/>
      <c r="BN67" s="2"/>
      <c r="BO67" s="3"/>
      <c r="BP67" s="81" t="s">
        <v>82</v>
      </c>
      <c r="BQ67" s="82"/>
      <c r="BR67" s="83"/>
      <c r="BU67" s="60"/>
      <c r="BV67" s="60"/>
      <c r="BW67" s="60"/>
      <c r="BX67" s="60"/>
      <c r="BY67" s="62"/>
      <c r="BZ67" s="62"/>
      <c r="CA67" s="60"/>
      <c r="CB67" s="60"/>
      <c r="CC67" s="60"/>
      <c r="CD67" s="60"/>
      <c r="CE67" s="60"/>
      <c r="CF67" s="60"/>
      <c r="CG67" s="60"/>
      <c r="CH67" s="60"/>
      <c r="CI67" s="60"/>
      <c r="CJ67" s="75"/>
      <c r="CK67" s="74"/>
      <c r="CL67" s="69"/>
      <c r="CQ67" s="80" t="s">
        <v>11</v>
      </c>
      <c r="CR67" s="80"/>
      <c r="CS67" s="80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3"/>
      <c r="DE67" s="2"/>
      <c r="DF67" s="2"/>
      <c r="DG67" s="2"/>
      <c r="DH67" s="2"/>
      <c r="DI67" s="2"/>
      <c r="DJ67" s="2"/>
      <c r="DK67" s="81" t="s">
        <v>82</v>
      </c>
      <c r="DL67" s="82"/>
      <c r="DM67" s="83"/>
      <c r="DP67" s="60"/>
      <c r="DQ67" s="60"/>
      <c r="DR67" s="60"/>
      <c r="DS67" s="60"/>
      <c r="DT67" s="62"/>
      <c r="DU67" s="62"/>
      <c r="DV67" s="60"/>
      <c r="DW67" s="60"/>
      <c r="DX67" s="60"/>
      <c r="DY67" s="60"/>
      <c r="DZ67" s="60"/>
      <c r="EA67" s="60"/>
      <c r="EB67" s="60"/>
      <c r="EC67" s="60"/>
      <c r="ED67" s="60"/>
      <c r="EE67" s="75"/>
      <c r="EF67" s="74"/>
      <c r="EG67" s="69"/>
      <c r="EL67" s="80" t="s">
        <v>11</v>
      </c>
      <c r="EM67" s="80"/>
      <c r="EN67" s="80"/>
      <c r="EO67" s="2"/>
      <c r="EP67" s="2"/>
      <c r="EQ67" s="2"/>
      <c r="ER67" s="2"/>
      <c r="ES67" s="3"/>
      <c r="ET67" s="2"/>
      <c r="EU67" s="2"/>
      <c r="EV67" s="2"/>
      <c r="EW67" s="2"/>
      <c r="EX67" s="2"/>
      <c r="EY67" s="5"/>
      <c r="EZ67" s="2"/>
      <c r="FA67" s="2"/>
      <c r="FB67" s="2"/>
      <c r="FC67" s="2"/>
      <c r="FD67" s="2"/>
      <c r="FE67" s="2"/>
      <c r="FF67" s="81" t="s">
        <v>82</v>
      </c>
      <c r="FG67" s="82"/>
      <c r="FH67" s="83"/>
      <c r="FK67" s="60"/>
      <c r="FL67" s="60"/>
      <c r="FM67" s="60"/>
      <c r="FN67" s="60"/>
      <c r="FO67" s="62"/>
      <c r="FP67" s="62"/>
      <c r="FQ67" s="60"/>
      <c r="FR67" s="60"/>
      <c r="FS67" s="60"/>
      <c r="FT67" s="60"/>
      <c r="FU67" s="60"/>
      <c r="FV67" s="60"/>
      <c r="FW67" s="60"/>
      <c r="FX67" s="60"/>
      <c r="FY67" s="60"/>
      <c r="FZ67" s="60"/>
    </row>
    <row r="68" spans="1:182" ht="15" customHeight="1" x14ac:dyDescent="0.35">
      <c r="A68" s="80" t="s">
        <v>11</v>
      </c>
      <c r="B68" s="80"/>
      <c r="C68" s="80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81" t="s">
        <v>30</v>
      </c>
      <c r="V68" s="82"/>
      <c r="W68" s="83"/>
      <c r="Z68" s="60" t="s">
        <v>27</v>
      </c>
      <c r="AA68" s="60"/>
      <c r="AB68" s="60">
        <f>1/9</f>
        <v>0.1111111111111111</v>
      </c>
      <c r="AC68" s="60"/>
      <c r="AD68" s="60">
        <f>1/7</f>
        <v>0.14285714285714285</v>
      </c>
      <c r="AE68" s="60"/>
      <c r="AF68" s="62">
        <v>1</v>
      </c>
      <c r="AG68" s="62"/>
      <c r="AH68" s="60">
        <f>1/9</f>
        <v>0.1111111111111111</v>
      </c>
      <c r="AI68" s="60"/>
      <c r="AJ68" s="60">
        <v>5</v>
      </c>
      <c r="AK68" s="60"/>
      <c r="AL68" s="60">
        <f>1/5</f>
        <v>0.2</v>
      </c>
      <c r="AM68" s="60"/>
      <c r="AN68" s="60">
        <v>7</v>
      </c>
      <c r="AO68" s="75"/>
      <c r="AP68" s="74"/>
      <c r="AQ68" s="69"/>
      <c r="AV68" s="80" t="s">
        <v>11</v>
      </c>
      <c r="AW68" s="80"/>
      <c r="AX68" s="80"/>
      <c r="AY68" s="2"/>
      <c r="AZ68" s="2"/>
      <c r="BA68" s="2"/>
      <c r="BB68" s="2"/>
      <c r="BC68" s="5"/>
      <c r="BD68" s="2"/>
      <c r="BE68" s="2"/>
      <c r="BF68" s="2"/>
      <c r="BG68" s="2"/>
      <c r="BH68" s="2"/>
      <c r="BI68" s="2"/>
      <c r="BJ68" s="2"/>
      <c r="BK68" s="2"/>
      <c r="BL68" s="2"/>
      <c r="BM68" s="3"/>
      <c r="BN68" s="2"/>
      <c r="BO68" s="2"/>
      <c r="BP68" s="81" t="s">
        <v>30</v>
      </c>
      <c r="BQ68" s="82"/>
      <c r="BR68" s="83"/>
      <c r="BU68" s="60" t="s">
        <v>27</v>
      </c>
      <c r="BV68" s="60"/>
      <c r="BW68" s="60">
        <v>3</v>
      </c>
      <c r="BX68" s="60"/>
      <c r="BY68" s="60">
        <v>7</v>
      </c>
      <c r="BZ68" s="60"/>
      <c r="CA68" s="62">
        <v>1</v>
      </c>
      <c r="CB68" s="62"/>
      <c r="CC68" s="60">
        <f>1/7</f>
        <v>0.14285714285714285</v>
      </c>
      <c r="CD68" s="60"/>
      <c r="CE68" s="60">
        <v>9</v>
      </c>
      <c r="CF68" s="60"/>
      <c r="CG68" s="60">
        <v>5</v>
      </c>
      <c r="CH68" s="60"/>
      <c r="CI68" s="60">
        <f>1/7</f>
        <v>0.14285714285714285</v>
      </c>
      <c r="CJ68" s="75"/>
      <c r="CK68" s="74"/>
      <c r="CL68" s="69"/>
      <c r="CQ68" s="80" t="s">
        <v>11</v>
      </c>
      <c r="CR68" s="80"/>
      <c r="CS68" s="80"/>
      <c r="CT68" s="2"/>
      <c r="CU68" s="2"/>
      <c r="CV68" s="2"/>
      <c r="CW68" s="2"/>
      <c r="CX68" s="3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81" t="s">
        <v>30</v>
      </c>
      <c r="DL68" s="82"/>
      <c r="DM68" s="83"/>
      <c r="DP68" s="60" t="s">
        <v>27</v>
      </c>
      <c r="DQ68" s="60"/>
      <c r="DR68" s="60">
        <f>1/7</f>
        <v>0.14285714285714285</v>
      </c>
      <c r="DS68" s="60"/>
      <c r="DT68" s="60">
        <f>1/3</f>
        <v>0.33333333333333331</v>
      </c>
      <c r="DU68" s="60"/>
      <c r="DV68" s="62">
        <v>1</v>
      </c>
      <c r="DW68" s="62"/>
      <c r="DX68" s="60">
        <f>1/9</f>
        <v>0.1111111111111111</v>
      </c>
      <c r="DY68" s="60"/>
      <c r="DZ68" s="60">
        <v>7</v>
      </c>
      <c r="EA68" s="60"/>
      <c r="EB68" s="60">
        <v>5</v>
      </c>
      <c r="EC68" s="60"/>
      <c r="ED68" s="60">
        <f>1/5</f>
        <v>0.2</v>
      </c>
      <c r="EE68" s="75"/>
      <c r="EF68" s="74"/>
      <c r="EG68" s="69"/>
      <c r="EL68" s="80" t="s">
        <v>11</v>
      </c>
      <c r="EM68" s="80"/>
      <c r="EN68" s="80"/>
      <c r="EO68" s="2"/>
      <c r="EP68" s="2"/>
      <c r="EQ68" s="2"/>
      <c r="ER68" s="2"/>
      <c r="ES68" s="3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81" t="s">
        <v>30</v>
      </c>
      <c r="FG68" s="82"/>
      <c r="FH68" s="83"/>
      <c r="FK68" s="60" t="s">
        <v>27</v>
      </c>
      <c r="FL68" s="60"/>
      <c r="FM68" s="60">
        <f>1/3</f>
        <v>0.33333333333333331</v>
      </c>
      <c r="FN68" s="60"/>
      <c r="FO68" s="60">
        <f>1/5</f>
        <v>0.2</v>
      </c>
      <c r="FP68" s="60"/>
      <c r="FQ68" s="62">
        <v>1</v>
      </c>
      <c r="FR68" s="62"/>
      <c r="FS68" s="60">
        <f>1/9</f>
        <v>0.1111111111111111</v>
      </c>
      <c r="FT68" s="60"/>
      <c r="FU68" s="60">
        <v>5</v>
      </c>
      <c r="FV68" s="60"/>
      <c r="FW68" s="60">
        <v>3</v>
      </c>
      <c r="FX68" s="60"/>
      <c r="FY68" s="60">
        <f>1/5</f>
        <v>0.2</v>
      </c>
      <c r="FZ68" s="60"/>
    </row>
    <row r="69" spans="1:18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Z69" s="60"/>
      <c r="AA69" s="60"/>
      <c r="AB69" s="60"/>
      <c r="AC69" s="60"/>
      <c r="AD69" s="60"/>
      <c r="AE69" s="60"/>
      <c r="AF69" s="62"/>
      <c r="AG69" s="62"/>
      <c r="AH69" s="60"/>
      <c r="AI69" s="60"/>
      <c r="AJ69" s="60"/>
      <c r="AK69" s="60"/>
      <c r="AL69" s="60"/>
      <c r="AM69" s="60"/>
      <c r="AN69" s="60"/>
      <c r="AO69" s="75"/>
      <c r="AP69" s="74"/>
      <c r="AQ69" s="69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U69" s="60"/>
      <c r="BV69" s="60"/>
      <c r="BW69" s="60"/>
      <c r="BX69" s="60"/>
      <c r="BY69" s="60"/>
      <c r="BZ69" s="60"/>
      <c r="CA69" s="62"/>
      <c r="CB69" s="62"/>
      <c r="CC69" s="60"/>
      <c r="CD69" s="60"/>
      <c r="CE69" s="60"/>
      <c r="CF69" s="60"/>
      <c r="CG69" s="60"/>
      <c r="CH69" s="60"/>
      <c r="CI69" s="60"/>
      <c r="CJ69" s="75"/>
      <c r="CK69" s="74"/>
      <c r="CL69" s="69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P69" s="60"/>
      <c r="DQ69" s="60"/>
      <c r="DR69" s="60"/>
      <c r="DS69" s="60"/>
      <c r="DT69" s="60"/>
      <c r="DU69" s="60"/>
      <c r="DV69" s="62"/>
      <c r="DW69" s="62"/>
      <c r="DX69" s="60"/>
      <c r="DY69" s="60"/>
      <c r="DZ69" s="60"/>
      <c r="EA69" s="60"/>
      <c r="EB69" s="60"/>
      <c r="EC69" s="60"/>
      <c r="ED69" s="60"/>
      <c r="EE69" s="75"/>
      <c r="EF69" s="74"/>
      <c r="EG69" s="69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K69" s="60"/>
      <c r="FL69" s="60"/>
      <c r="FM69" s="60"/>
      <c r="FN69" s="60"/>
      <c r="FO69" s="60"/>
      <c r="FP69" s="60"/>
      <c r="FQ69" s="62"/>
      <c r="FR69" s="62"/>
      <c r="FS69" s="60"/>
      <c r="FT69" s="60"/>
      <c r="FU69" s="60"/>
      <c r="FV69" s="60"/>
      <c r="FW69" s="60"/>
      <c r="FX69" s="60"/>
      <c r="FY69" s="60"/>
      <c r="FZ69" s="60"/>
    </row>
    <row r="70" spans="1:182" ht="15" customHeight="1" x14ac:dyDescent="0.35">
      <c r="A70" s="79" t="s">
        <v>2</v>
      </c>
      <c r="B70" s="79"/>
      <c r="C70" s="79"/>
      <c r="D70" s="2">
        <v>9</v>
      </c>
      <c r="E70" s="2">
        <v>8</v>
      </c>
      <c r="F70" s="2">
        <v>7</v>
      </c>
      <c r="G70" s="2">
        <v>6</v>
      </c>
      <c r="H70" s="2">
        <v>5</v>
      </c>
      <c r="I70" s="2">
        <v>4</v>
      </c>
      <c r="J70" s="2">
        <v>3</v>
      </c>
      <c r="K70" s="2">
        <v>2</v>
      </c>
      <c r="L70" s="2">
        <v>1</v>
      </c>
      <c r="M70" s="2">
        <v>2</v>
      </c>
      <c r="N70" s="2">
        <v>3</v>
      </c>
      <c r="O70" s="2">
        <v>4</v>
      </c>
      <c r="P70" s="2">
        <v>5</v>
      </c>
      <c r="Q70" s="2">
        <v>6</v>
      </c>
      <c r="R70" s="2">
        <v>7</v>
      </c>
      <c r="S70" s="2">
        <v>8</v>
      </c>
      <c r="T70" s="2">
        <v>9</v>
      </c>
      <c r="U70" s="79" t="s">
        <v>3</v>
      </c>
      <c r="V70" s="79"/>
      <c r="W70" s="79"/>
      <c r="Z70" s="60" t="s">
        <v>87</v>
      </c>
      <c r="AA70" s="60"/>
      <c r="AB70" s="60">
        <v>7</v>
      </c>
      <c r="AC70" s="60"/>
      <c r="AD70" s="60">
        <v>5</v>
      </c>
      <c r="AE70" s="60"/>
      <c r="AF70" s="60">
        <v>9</v>
      </c>
      <c r="AG70" s="60"/>
      <c r="AH70" s="62">
        <v>1</v>
      </c>
      <c r="AI70" s="62"/>
      <c r="AJ70" s="60">
        <v>9</v>
      </c>
      <c r="AK70" s="60"/>
      <c r="AL70" s="60">
        <f>1/5</f>
        <v>0.2</v>
      </c>
      <c r="AM70" s="60"/>
      <c r="AN70" s="60">
        <v>3</v>
      </c>
      <c r="AO70" s="75"/>
      <c r="AP70" s="74"/>
      <c r="AQ70" s="69"/>
      <c r="AV70" s="79" t="s">
        <v>2</v>
      </c>
      <c r="AW70" s="79"/>
      <c r="AX70" s="79"/>
      <c r="AY70" s="2">
        <v>9</v>
      </c>
      <c r="AZ70" s="2">
        <v>8</v>
      </c>
      <c r="BA70" s="2">
        <v>7</v>
      </c>
      <c r="BB70" s="2">
        <v>6</v>
      </c>
      <c r="BC70" s="2">
        <v>5</v>
      </c>
      <c r="BD70" s="2">
        <v>4</v>
      </c>
      <c r="BE70" s="2">
        <v>3</v>
      </c>
      <c r="BF70" s="2">
        <v>2</v>
      </c>
      <c r="BG70" s="2">
        <v>1</v>
      </c>
      <c r="BH70" s="2">
        <v>2</v>
      </c>
      <c r="BI70" s="2">
        <v>3</v>
      </c>
      <c r="BJ70" s="2">
        <v>4</v>
      </c>
      <c r="BK70" s="2">
        <v>5</v>
      </c>
      <c r="BL70" s="2">
        <v>6</v>
      </c>
      <c r="BM70" s="2">
        <v>7</v>
      </c>
      <c r="BN70" s="2">
        <v>8</v>
      </c>
      <c r="BO70" s="2">
        <v>9</v>
      </c>
      <c r="BP70" s="79" t="s">
        <v>3</v>
      </c>
      <c r="BQ70" s="79"/>
      <c r="BR70" s="79"/>
      <c r="BU70" s="60" t="s">
        <v>87</v>
      </c>
      <c r="BV70" s="60"/>
      <c r="BW70" s="60">
        <v>7</v>
      </c>
      <c r="BX70" s="60"/>
      <c r="BY70" s="60">
        <v>5</v>
      </c>
      <c r="BZ70" s="60"/>
      <c r="CA70" s="60">
        <v>7</v>
      </c>
      <c r="CB70" s="60"/>
      <c r="CC70" s="62">
        <v>1</v>
      </c>
      <c r="CD70" s="62"/>
      <c r="CE70" s="60">
        <v>7</v>
      </c>
      <c r="CF70" s="60"/>
      <c r="CG70" s="60">
        <f>1/9</f>
        <v>0.1111111111111111</v>
      </c>
      <c r="CH70" s="60"/>
      <c r="CI70" s="60">
        <v>5</v>
      </c>
      <c r="CJ70" s="75"/>
      <c r="CK70" s="74"/>
      <c r="CL70" s="69"/>
      <c r="CQ70" s="79" t="s">
        <v>2</v>
      </c>
      <c r="CR70" s="79"/>
      <c r="CS70" s="79"/>
      <c r="CT70" s="2">
        <v>9</v>
      </c>
      <c r="CU70" s="2">
        <v>8</v>
      </c>
      <c r="CV70" s="2">
        <v>7</v>
      </c>
      <c r="CW70" s="2">
        <v>6</v>
      </c>
      <c r="CX70" s="2">
        <v>5</v>
      </c>
      <c r="CY70" s="2">
        <v>4</v>
      </c>
      <c r="CZ70" s="2">
        <v>3</v>
      </c>
      <c r="DA70" s="2">
        <v>2</v>
      </c>
      <c r="DB70" s="2">
        <v>1</v>
      </c>
      <c r="DC70" s="2">
        <v>2</v>
      </c>
      <c r="DD70" s="2">
        <v>3</v>
      </c>
      <c r="DE70" s="2">
        <v>4</v>
      </c>
      <c r="DF70" s="2">
        <v>5</v>
      </c>
      <c r="DG70" s="2">
        <v>6</v>
      </c>
      <c r="DH70" s="2">
        <v>7</v>
      </c>
      <c r="DI70" s="2">
        <v>8</v>
      </c>
      <c r="DJ70" s="2">
        <v>9</v>
      </c>
      <c r="DK70" s="79" t="s">
        <v>3</v>
      </c>
      <c r="DL70" s="79"/>
      <c r="DM70" s="79"/>
      <c r="DP70" s="60" t="s">
        <v>87</v>
      </c>
      <c r="DQ70" s="60"/>
      <c r="DR70" s="60">
        <v>7</v>
      </c>
      <c r="DS70" s="60"/>
      <c r="DT70" s="60">
        <v>7</v>
      </c>
      <c r="DU70" s="60"/>
      <c r="DV70" s="60">
        <v>9</v>
      </c>
      <c r="DW70" s="60"/>
      <c r="DX70" s="62">
        <v>1</v>
      </c>
      <c r="DY70" s="62"/>
      <c r="DZ70" s="60">
        <v>9</v>
      </c>
      <c r="EA70" s="60"/>
      <c r="EB70" s="60">
        <f>1/5</f>
        <v>0.2</v>
      </c>
      <c r="EC70" s="60"/>
      <c r="ED70" s="60">
        <v>5</v>
      </c>
      <c r="EE70" s="75"/>
      <c r="EF70" s="74"/>
      <c r="EG70" s="69"/>
      <c r="EL70" s="79" t="s">
        <v>2</v>
      </c>
      <c r="EM70" s="79"/>
      <c r="EN70" s="79"/>
      <c r="EO70" s="2">
        <v>9</v>
      </c>
      <c r="EP70" s="2">
        <v>8</v>
      </c>
      <c r="EQ70" s="2">
        <v>7</v>
      </c>
      <c r="ER70" s="2">
        <v>6</v>
      </c>
      <c r="ES70" s="2">
        <v>5</v>
      </c>
      <c r="ET70" s="2">
        <v>4</v>
      </c>
      <c r="EU70" s="2">
        <v>3</v>
      </c>
      <c r="EV70" s="2">
        <v>2</v>
      </c>
      <c r="EW70" s="2">
        <v>1</v>
      </c>
      <c r="EX70" s="2">
        <v>2</v>
      </c>
      <c r="EY70" s="2">
        <v>3</v>
      </c>
      <c r="EZ70" s="2">
        <v>4</v>
      </c>
      <c r="FA70" s="2">
        <v>5</v>
      </c>
      <c r="FB70" s="2">
        <v>6</v>
      </c>
      <c r="FC70" s="2">
        <v>7</v>
      </c>
      <c r="FD70" s="2">
        <v>8</v>
      </c>
      <c r="FE70" s="2">
        <v>9</v>
      </c>
      <c r="FF70" s="79" t="s">
        <v>3</v>
      </c>
      <c r="FG70" s="79"/>
      <c r="FH70" s="79"/>
      <c r="FK70" s="60" t="s">
        <v>87</v>
      </c>
      <c r="FL70" s="60"/>
      <c r="FM70" s="60">
        <v>7</v>
      </c>
      <c r="FN70" s="60"/>
      <c r="FO70" s="60">
        <v>9</v>
      </c>
      <c r="FP70" s="60"/>
      <c r="FQ70" s="60">
        <v>9</v>
      </c>
      <c r="FR70" s="60"/>
      <c r="FS70" s="62">
        <v>1</v>
      </c>
      <c r="FT70" s="62"/>
      <c r="FU70" s="60">
        <v>7</v>
      </c>
      <c r="FV70" s="60"/>
      <c r="FW70" s="60">
        <f>1/3</f>
        <v>0.33333333333333331</v>
      </c>
      <c r="FX70" s="60"/>
      <c r="FY70" s="60">
        <f>1/7</f>
        <v>0.14285714285714285</v>
      </c>
      <c r="FZ70" s="60"/>
    </row>
    <row r="71" spans="1:182" x14ac:dyDescent="0.35">
      <c r="A71" s="80" t="s">
        <v>81</v>
      </c>
      <c r="B71" s="80"/>
      <c r="C71" s="80"/>
      <c r="D71" s="2"/>
      <c r="E71" s="2"/>
      <c r="F71" s="2"/>
      <c r="G71" s="2"/>
      <c r="H71" s="2"/>
      <c r="I71" s="2"/>
      <c r="J71" s="5"/>
      <c r="K71" s="2"/>
      <c r="L71" s="2"/>
      <c r="M71" s="2"/>
      <c r="N71" s="2"/>
      <c r="O71" s="2"/>
      <c r="P71" s="2"/>
      <c r="Q71" s="2"/>
      <c r="R71" s="3"/>
      <c r="S71" s="2"/>
      <c r="T71" s="2"/>
      <c r="U71" s="81" t="s">
        <v>27</v>
      </c>
      <c r="V71" s="82"/>
      <c r="W71" s="83"/>
      <c r="Z71" s="60"/>
      <c r="AA71" s="60"/>
      <c r="AB71" s="60"/>
      <c r="AC71" s="60"/>
      <c r="AD71" s="60"/>
      <c r="AE71" s="60"/>
      <c r="AF71" s="60"/>
      <c r="AG71" s="60"/>
      <c r="AH71" s="62"/>
      <c r="AI71" s="62"/>
      <c r="AJ71" s="60"/>
      <c r="AK71" s="60"/>
      <c r="AL71" s="60"/>
      <c r="AM71" s="60"/>
      <c r="AN71" s="60"/>
      <c r="AO71" s="75"/>
      <c r="AP71" s="74"/>
      <c r="AQ71" s="69"/>
      <c r="AV71" s="80" t="s">
        <v>81</v>
      </c>
      <c r="AW71" s="80"/>
      <c r="AX71" s="80"/>
      <c r="AY71" s="2"/>
      <c r="AZ71" s="2"/>
      <c r="BA71" s="3"/>
      <c r="BB71" s="2"/>
      <c r="BC71" s="2"/>
      <c r="BD71" s="2"/>
      <c r="BE71" s="5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81" t="s">
        <v>27</v>
      </c>
      <c r="BQ71" s="82"/>
      <c r="BR71" s="83"/>
      <c r="BU71" s="60"/>
      <c r="BV71" s="60"/>
      <c r="BW71" s="60"/>
      <c r="BX71" s="60"/>
      <c r="BY71" s="60"/>
      <c r="BZ71" s="60"/>
      <c r="CA71" s="60"/>
      <c r="CB71" s="60"/>
      <c r="CC71" s="62"/>
      <c r="CD71" s="62"/>
      <c r="CE71" s="60"/>
      <c r="CF71" s="60"/>
      <c r="CG71" s="60"/>
      <c r="CH71" s="60"/>
      <c r="CI71" s="60"/>
      <c r="CJ71" s="75"/>
      <c r="CK71" s="74"/>
      <c r="CL71" s="69"/>
      <c r="CQ71" s="80" t="s">
        <v>81</v>
      </c>
      <c r="CR71" s="80"/>
      <c r="CS71" s="80"/>
      <c r="CT71" s="2"/>
      <c r="CU71" s="2"/>
      <c r="CV71" s="2"/>
      <c r="CW71" s="2"/>
      <c r="CX71" s="2"/>
      <c r="CY71" s="2"/>
      <c r="CZ71" s="5"/>
      <c r="DA71" s="2"/>
      <c r="DB71" s="2"/>
      <c r="DC71" s="2"/>
      <c r="DD71" s="3"/>
      <c r="DE71" s="2"/>
      <c r="DF71" s="2"/>
      <c r="DG71" s="2"/>
      <c r="DH71" s="2"/>
      <c r="DI71" s="2"/>
      <c r="DJ71" s="2"/>
      <c r="DK71" s="81" t="s">
        <v>27</v>
      </c>
      <c r="DL71" s="82"/>
      <c r="DM71" s="83"/>
      <c r="DP71" s="60"/>
      <c r="DQ71" s="60"/>
      <c r="DR71" s="60"/>
      <c r="DS71" s="60"/>
      <c r="DT71" s="60"/>
      <c r="DU71" s="60"/>
      <c r="DV71" s="60"/>
      <c r="DW71" s="60"/>
      <c r="DX71" s="62"/>
      <c r="DY71" s="62"/>
      <c r="DZ71" s="60"/>
      <c r="EA71" s="60"/>
      <c r="EB71" s="60"/>
      <c r="EC71" s="60"/>
      <c r="ED71" s="60"/>
      <c r="EE71" s="75"/>
      <c r="EF71" s="74"/>
      <c r="EG71" s="69"/>
      <c r="EL71" s="80" t="s">
        <v>81</v>
      </c>
      <c r="EM71" s="80"/>
      <c r="EN71" s="80"/>
      <c r="EO71" s="2"/>
      <c r="EP71" s="2"/>
      <c r="EQ71" s="2"/>
      <c r="ER71" s="2"/>
      <c r="ES71" s="2"/>
      <c r="ET71" s="2"/>
      <c r="EU71" s="5"/>
      <c r="EV71" s="2"/>
      <c r="EW71" s="2"/>
      <c r="EX71" s="2"/>
      <c r="EY71" s="2"/>
      <c r="EZ71" s="2"/>
      <c r="FA71" s="3"/>
      <c r="FB71" s="2"/>
      <c r="FC71" s="2"/>
      <c r="FD71" s="2"/>
      <c r="FE71" s="2"/>
      <c r="FF71" s="81" t="s">
        <v>27</v>
      </c>
      <c r="FG71" s="82"/>
      <c r="FH71" s="83"/>
      <c r="FK71" s="60"/>
      <c r="FL71" s="60"/>
      <c r="FM71" s="60"/>
      <c r="FN71" s="60"/>
      <c r="FO71" s="60"/>
      <c r="FP71" s="60"/>
      <c r="FQ71" s="60"/>
      <c r="FR71" s="60"/>
      <c r="FS71" s="62"/>
      <c r="FT71" s="62"/>
      <c r="FU71" s="60"/>
      <c r="FV71" s="60"/>
      <c r="FW71" s="60"/>
      <c r="FX71" s="60"/>
      <c r="FY71" s="60"/>
      <c r="FZ71" s="60"/>
    </row>
    <row r="72" spans="1:182" ht="15" customHeight="1" x14ac:dyDescent="0.35">
      <c r="A72" s="80" t="s">
        <v>81</v>
      </c>
      <c r="B72" s="80"/>
      <c r="C72" s="80"/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81" t="s">
        <v>28</v>
      </c>
      <c r="V72" s="82"/>
      <c r="W72" s="83"/>
      <c r="Z72" s="60" t="s">
        <v>88</v>
      </c>
      <c r="AA72" s="60"/>
      <c r="AB72" s="60">
        <f>1/5</f>
        <v>0.2</v>
      </c>
      <c r="AC72" s="60"/>
      <c r="AD72" s="60">
        <f>1/7</f>
        <v>0.14285714285714285</v>
      </c>
      <c r="AE72" s="60"/>
      <c r="AF72" s="60">
        <f>1/5</f>
        <v>0.2</v>
      </c>
      <c r="AG72" s="60"/>
      <c r="AH72" s="60">
        <f>1/9</f>
        <v>0.1111111111111111</v>
      </c>
      <c r="AI72" s="60"/>
      <c r="AJ72" s="62">
        <v>1</v>
      </c>
      <c r="AK72" s="62"/>
      <c r="AL72" s="60">
        <f>1/5</f>
        <v>0.2</v>
      </c>
      <c r="AM72" s="60"/>
      <c r="AN72" s="60">
        <v>6</v>
      </c>
      <c r="AO72" s="75"/>
      <c r="AP72" s="74"/>
      <c r="AQ72" s="69"/>
      <c r="AV72" s="80" t="s">
        <v>81</v>
      </c>
      <c r="AW72" s="80"/>
      <c r="AX72" s="80"/>
      <c r="AY72" s="2"/>
      <c r="AZ72" s="2"/>
      <c r="BA72" s="2"/>
      <c r="BB72" s="2"/>
      <c r="BC72" s="3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81" t="s">
        <v>28</v>
      </c>
      <c r="BQ72" s="82"/>
      <c r="BR72" s="83"/>
      <c r="BU72" s="60" t="s">
        <v>88</v>
      </c>
      <c r="BV72" s="60"/>
      <c r="BW72" s="60">
        <f>1/5</f>
        <v>0.2</v>
      </c>
      <c r="BX72" s="60"/>
      <c r="BY72" s="60">
        <f>1/9</f>
        <v>0.1111111111111111</v>
      </c>
      <c r="BZ72" s="60"/>
      <c r="CA72" s="60">
        <f>1/9</f>
        <v>0.1111111111111111</v>
      </c>
      <c r="CB72" s="60"/>
      <c r="CC72" s="60">
        <f>1/7</f>
        <v>0.14285714285714285</v>
      </c>
      <c r="CD72" s="60"/>
      <c r="CE72" s="62">
        <v>1</v>
      </c>
      <c r="CF72" s="62"/>
      <c r="CG72" s="60">
        <f>1/7</f>
        <v>0.14285714285714285</v>
      </c>
      <c r="CH72" s="60"/>
      <c r="CI72" s="60">
        <v>7</v>
      </c>
      <c r="CJ72" s="75"/>
      <c r="CK72" s="74"/>
      <c r="CL72" s="69"/>
      <c r="CQ72" s="80" t="s">
        <v>81</v>
      </c>
      <c r="CR72" s="80"/>
      <c r="CS72" s="80"/>
      <c r="CT72" s="2"/>
      <c r="CU72" s="2"/>
      <c r="CV72" s="3"/>
      <c r="CW72" s="2"/>
      <c r="CX72" s="5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81" t="s">
        <v>28</v>
      </c>
      <c r="DL72" s="82"/>
      <c r="DM72" s="83"/>
      <c r="DP72" s="60" t="s">
        <v>88</v>
      </c>
      <c r="DQ72" s="60"/>
      <c r="DR72" s="60">
        <f>1/9</f>
        <v>0.1111111111111111</v>
      </c>
      <c r="DS72" s="60"/>
      <c r="DT72" s="60">
        <f>1/7</f>
        <v>0.14285714285714285</v>
      </c>
      <c r="DU72" s="60"/>
      <c r="DV72" s="60">
        <f>1/7</f>
        <v>0.14285714285714285</v>
      </c>
      <c r="DW72" s="60"/>
      <c r="DX72" s="60">
        <f>1/9</f>
        <v>0.1111111111111111</v>
      </c>
      <c r="DY72" s="60"/>
      <c r="DZ72" s="62">
        <v>1</v>
      </c>
      <c r="EA72" s="62"/>
      <c r="EB72" s="60">
        <f>1/7</f>
        <v>0.14285714285714285</v>
      </c>
      <c r="EC72" s="60"/>
      <c r="ED72" s="60">
        <v>5</v>
      </c>
      <c r="EE72" s="75"/>
      <c r="EF72" s="74"/>
      <c r="EG72" s="69"/>
      <c r="EL72" s="80" t="s">
        <v>81</v>
      </c>
      <c r="EM72" s="80"/>
      <c r="EN72" s="80"/>
      <c r="EO72" s="3"/>
      <c r="EP72" s="2"/>
      <c r="EQ72" s="2"/>
      <c r="ER72" s="2"/>
      <c r="ES72" s="5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81" t="s">
        <v>28</v>
      </c>
      <c r="FG72" s="82"/>
      <c r="FH72" s="83"/>
      <c r="FK72" s="60" t="s">
        <v>88</v>
      </c>
      <c r="FL72" s="60"/>
      <c r="FM72" s="60">
        <f>1/5</f>
        <v>0.2</v>
      </c>
      <c r="FN72" s="60"/>
      <c r="FO72" s="60">
        <f>1/9</f>
        <v>0.1111111111111111</v>
      </c>
      <c r="FP72" s="60"/>
      <c r="FQ72" s="60">
        <f>1/5</f>
        <v>0.2</v>
      </c>
      <c r="FR72" s="60"/>
      <c r="FS72" s="60">
        <f>1/7</f>
        <v>0.14285714285714285</v>
      </c>
      <c r="FT72" s="60"/>
      <c r="FU72" s="62">
        <v>1</v>
      </c>
      <c r="FV72" s="62"/>
      <c r="FW72" s="60">
        <f>1/5</f>
        <v>0.2</v>
      </c>
      <c r="FX72" s="60"/>
      <c r="FY72" s="60">
        <v>7</v>
      </c>
      <c r="FZ72" s="60"/>
    </row>
    <row r="73" spans="1:182" x14ac:dyDescent="0.35">
      <c r="A73" s="80" t="s">
        <v>81</v>
      </c>
      <c r="B73" s="80"/>
      <c r="C73" s="80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2"/>
      <c r="T73" s="2"/>
      <c r="U73" s="81" t="s">
        <v>29</v>
      </c>
      <c r="V73" s="82"/>
      <c r="W73" s="83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2"/>
      <c r="AK73" s="62"/>
      <c r="AL73" s="60"/>
      <c r="AM73" s="60"/>
      <c r="AN73" s="60"/>
      <c r="AO73" s="75"/>
      <c r="AP73" s="74"/>
      <c r="AQ73" s="69"/>
      <c r="AV73" s="80" t="s">
        <v>81</v>
      </c>
      <c r="AW73" s="80"/>
      <c r="AX73" s="80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5"/>
      <c r="BN73" s="2"/>
      <c r="BO73" s="3"/>
      <c r="BP73" s="81" t="s">
        <v>29</v>
      </c>
      <c r="BQ73" s="82"/>
      <c r="BR73" s="83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2"/>
      <c r="CF73" s="62"/>
      <c r="CG73" s="60"/>
      <c r="CH73" s="60"/>
      <c r="CI73" s="60"/>
      <c r="CJ73" s="75"/>
      <c r="CK73" s="74"/>
      <c r="CL73" s="69"/>
      <c r="CQ73" s="80" t="s">
        <v>81</v>
      </c>
      <c r="CR73" s="80"/>
      <c r="CS73" s="80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3"/>
      <c r="DI73" s="2"/>
      <c r="DJ73" s="2"/>
      <c r="DK73" s="81" t="s">
        <v>29</v>
      </c>
      <c r="DL73" s="82"/>
      <c r="DM73" s="83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2"/>
      <c r="EA73" s="62"/>
      <c r="EB73" s="60"/>
      <c r="EC73" s="60"/>
      <c r="ED73" s="60"/>
      <c r="EE73" s="75"/>
      <c r="EF73" s="74"/>
      <c r="EG73" s="69"/>
      <c r="EL73" s="80" t="s">
        <v>81</v>
      </c>
      <c r="EM73" s="80"/>
      <c r="EN73" s="80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5"/>
      <c r="FD73" s="2"/>
      <c r="FE73" s="3"/>
      <c r="FF73" s="81" t="s">
        <v>29</v>
      </c>
      <c r="FG73" s="82"/>
      <c r="FH73" s="83"/>
      <c r="FK73" s="60"/>
      <c r="FL73" s="60"/>
      <c r="FM73" s="60"/>
      <c r="FN73" s="60"/>
      <c r="FO73" s="60"/>
      <c r="FP73" s="60"/>
      <c r="FQ73" s="60"/>
      <c r="FR73" s="60"/>
      <c r="FS73" s="60"/>
      <c r="FT73" s="60"/>
      <c r="FU73" s="62"/>
      <c r="FV73" s="62"/>
      <c r="FW73" s="60"/>
      <c r="FX73" s="60"/>
      <c r="FY73" s="60"/>
      <c r="FZ73" s="60"/>
    </row>
    <row r="74" spans="1:182" x14ac:dyDescent="0.35">
      <c r="A74" s="80" t="s">
        <v>81</v>
      </c>
      <c r="B74" s="80"/>
      <c r="C74" s="80"/>
      <c r="D74" s="2"/>
      <c r="E74" s="2"/>
      <c r="F74" s="2"/>
      <c r="G74" s="2"/>
      <c r="H74" s="3"/>
      <c r="I74" s="2"/>
      <c r="J74" s="2"/>
      <c r="K74" s="2"/>
      <c r="L74" s="2"/>
      <c r="M74" s="2"/>
      <c r="N74" s="5"/>
      <c r="O74" s="2"/>
      <c r="P74" s="2"/>
      <c r="Q74" s="2"/>
      <c r="R74" s="2"/>
      <c r="S74" s="2"/>
      <c r="T74" s="2"/>
      <c r="U74" s="81" t="s">
        <v>82</v>
      </c>
      <c r="V74" s="82"/>
      <c r="W74" s="83"/>
      <c r="Z74" s="60" t="s">
        <v>89</v>
      </c>
      <c r="AA74" s="60"/>
      <c r="AB74" s="60">
        <v>5</v>
      </c>
      <c r="AC74" s="60"/>
      <c r="AD74" s="60">
        <v>5</v>
      </c>
      <c r="AE74" s="60"/>
      <c r="AF74" s="60">
        <v>5</v>
      </c>
      <c r="AG74" s="60"/>
      <c r="AH74" s="60">
        <v>5</v>
      </c>
      <c r="AI74" s="60"/>
      <c r="AJ74" s="60">
        <v>5</v>
      </c>
      <c r="AK74" s="60"/>
      <c r="AL74" s="62">
        <v>1</v>
      </c>
      <c r="AM74" s="62"/>
      <c r="AN74" s="60">
        <v>5</v>
      </c>
      <c r="AO74" s="75"/>
      <c r="AP74" s="74"/>
      <c r="AQ74" s="69"/>
      <c r="AV74" s="80" t="s">
        <v>81</v>
      </c>
      <c r="AW74" s="80"/>
      <c r="AX74" s="80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5"/>
      <c r="BJ74" s="5"/>
      <c r="BK74" s="2"/>
      <c r="BL74" s="2"/>
      <c r="BM74" s="3"/>
      <c r="BN74" s="2"/>
      <c r="BO74" s="2"/>
      <c r="BP74" s="81" t="s">
        <v>82</v>
      </c>
      <c r="BQ74" s="82"/>
      <c r="BR74" s="83"/>
      <c r="BU74" s="60" t="s">
        <v>89</v>
      </c>
      <c r="BV74" s="60"/>
      <c r="BW74" s="60">
        <f>1/9</f>
        <v>0.1111111111111111</v>
      </c>
      <c r="BX74" s="60"/>
      <c r="BY74" s="60">
        <f>1/7</f>
        <v>0.14285714285714285</v>
      </c>
      <c r="BZ74" s="60"/>
      <c r="CA74" s="60">
        <f>1/5</f>
        <v>0.2</v>
      </c>
      <c r="CB74" s="60"/>
      <c r="CC74" s="60">
        <v>9</v>
      </c>
      <c r="CD74" s="60"/>
      <c r="CE74" s="60">
        <v>7</v>
      </c>
      <c r="CF74" s="60"/>
      <c r="CG74" s="62">
        <v>1</v>
      </c>
      <c r="CH74" s="62"/>
      <c r="CI74" s="60">
        <v>5</v>
      </c>
      <c r="CJ74" s="75"/>
      <c r="CK74" s="74"/>
      <c r="CL74" s="69"/>
      <c r="CQ74" s="80" t="s">
        <v>81</v>
      </c>
      <c r="CR74" s="80"/>
      <c r="CS74" s="80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5"/>
      <c r="DE74" s="2"/>
      <c r="DF74" s="3"/>
      <c r="DG74" s="2"/>
      <c r="DH74" s="2"/>
      <c r="DI74" s="2"/>
      <c r="DJ74" s="2"/>
      <c r="DK74" s="81" t="s">
        <v>82</v>
      </c>
      <c r="DL74" s="82"/>
      <c r="DM74" s="83"/>
      <c r="DP74" s="60" t="s">
        <v>89</v>
      </c>
      <c r="DQ74" s="60"/>
      <c r="DR74" s="60">
        <f>1/3</f>
        <v>0.33333333333333331</v>
      </c>
      <c r="DS74" s="60"/>
      <c r="DT74" s="60">
        <f>1/5</f>
        <v>0.2</v>
      </c>
      <c r="DU74" s="60"/>
      <c r="DV74" s="60">
        <f>1/5</f>
        <v>0.2</v>
      </c>
      <c r="DW74" s="60"/>
      <c r="DX74" s="60">
        <v>5</v>
      </c>
      <c r="DY74" s="60"/>
      <c r="DZ74" s="60">
        <v>7</v>
      </c>
      <c r="EA74" s="60"/>
      <c r="EB74" s="62">
        <v>1</v>
      </c>
      <c r="EC74" s="62"/>
      <c r="ED74" s="60">
        <v>5</v>
      </c>
      <c r="EE74" s="75"/>
      <c r="EF74" s="74"/>
      <c r="EG74" s="69"/>
      <c r="EL74" s="80" t="s">
        <v>81</v>
      </c>
      <c r="EM74" s="80"/>
      <c r="EN74" s="80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3"/>
      <c r="EZ74" s="2"/>
      <c r="FA74" s="2"/>
      <c r="FB74" s="2"/>
      <c r="FC74" s="2"/>
      <c r="FD74" s="2"/>
      <c r="FE74" s="2"/>
      <c r="FF74" s="81" t="s">
        <v>82</v>
      </c>
      <c r="FG74" s="82"/>
      <c r="FH74" s="83"/>
      <c r="FK74" s="60" t="s">
        <v>89</v>
      </c>
      <c r="FL74" s="60"/>
      <c r="FM74" s="60">
        <v>5</v>
      </c>
      <c r="FN74" s="60"/>
      <c r="FO74" s="60">
        <f>1/3</f>
        <v>0.33333333333333331</v>
      </c>
      <c r="FP74" s="60"/>
      <c r="FQ74" s="60">
        <f>1/3</f>
        <v>0.33333333333333331</v>
      </c>
      <c r="FR74" s="60"/>
      <c r="FS74" s="60">
        <v>3</v>
      </c>
      <c r="FT74" s="60"/>
      <c r="FU74" s="60">
        <v>5</v>
      </c>
      <c r="FV74" s="60"/>
      <c r="FW74" s="62">
        <v>1</v>
      </c>
      <c r="FX74" s="62"/>
      <c r="FY74" s="60">
        <v>5</v>
      </c>
      <c r="FZ74" s="60"/>
    </row>
    <row r="75" spans="1:182" x14ac:dyDescent="0.35">
      <c r="A75" s="80" t="s">
        <v>81</v>
      </c>
      <c r="B75" s="80"/>
      <c r="C75" s="80"/>
      <c r="D75" s="2"/>
      <c r="E75" s="2"/>
      <c r="F75" s="2"/>
      <c r="G75" s="2"/>
      <c r="H75" s="2"/>
      <c r="I75" s="2"/>
      <c r="J75" s="3"/>
      <c r="K75" s="2"/>
      <c r="L75" s="2"/>
      <c r="M75" s="2"/>
      <c r="N75" s="2"/>
      <c r="O75" s="2"/>
      <c r="P75" s="2"/>
      <c r="Q75" s="2"/>
      <c r="R75" s="2"/>
      <c r="S75" s="2"/>
      <c r="T75" s="2"/>
      <c r="U75" s="81" t="s">
        <v>30</v>
      </c>
      <c r="V75" s="82"/>
      <c r="W75" s="83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2"/>
      <c r="AM75" s="62"/>
      <c r="AN75" s="60"/>
      <c r="AO75" s="75"/>
      <c r="AP75" s="74"/>
      <c r="AQ75" s="69"/>
      <c r="AV75" s="80" t="s">
        <v>81</v>
      </c>
      <c r="AW75" s="80"/>
      <c r="AX75" s="80"/>
      <c r="AY75" s="3"/>
      <c r="AZ75" s="2"/>
      <c r="BA75" s="2"/>
      <c r="BB75" s="2"/>
      <c r="BC75" s="2"/>
      <c r="BD75" s="2"/>
      <c r="BE75" s="5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81" t="s">
        <v>30</v>
      </c>
      <c r="BQ75" s="82"/>
      <c r="BR75" s="83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2"/>
      <c r="CH75" s="62"/>
      <c r="CI75" s="60"/>
      <c r="CJ75" s="75"/>
      <c r="CK75" s="74"/>
      <c r="CL75" s="69"/>
      <c r="CQ75" s="80" t="s">
        <v>81</v>
      </c>
      <c r="CR75" s="80"/>
      <c r="CS75" s="80"/>
      <c r="CT75" s="3"/>
      <c r="CU75" s="2"/>
      <c r="CV75" s="2"/>
      <c r="CW75" s="2"/>
      <c r="CX75" s="2"/>
      <c r="CY75" s="2"/>
      <c r="CZ75" s="5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81" t="s">
        <v>30</v>
      </c>
      <c r="DL75" s="82"/>
      <c r="DM75" s="83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2"/>
      <c r="EC75" s="62"/>
      <c r="ED75" s="60"/>
      <c r="EE75" s="75"/>
      <c r="EF75" s="74"/>
      <c r="EG75" s="69"/>
      <c r="EL75" s="80" t="s">
        <v>81</v>
      </c>
      <c r="EM75" s="80"/>
      <c r="EN75" s="80"/>
      <c r="EO75" s="2"/>
      <c r="EP75" s="2"/>
      <c r="EQ75" s="2"/>
      <c r="ER75" s="2"/>
      <c r="ES75" s="3"/>
      <c r="ET75" s="2"/>
      <c r="EU75" s="5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81" t="s">
        <v>30</v>
      </c>
      <c r="FG75" s="82"/>
      <c r="FH75" s="83"/>
      <c r="FK75" s="60"/>
      <c r="FL75" s="60"/>
      <c r="FM75" s="60"/>
      <c r="FN75" s="60"/>
      <c r="FO75" s="60"/>
      <c r="FP75" s="60"/>
      <c r="FQ75" s="60"/>
      <c r="FR75" s="60"/>
      <c r="FS75" s="60"/>
      <c r="FT75" s="60"/>
      <c r="FU75" s="60"/>
      <c r="FV75" s="60"/>
      <c r="FW75" s="62"/>
      <c r="FX75" s="62"/>
      <c r="FY75" s="60"/>
      <c r="FZ75" s="60"/>
    </row>
    <row r="76" spans="1:182" x14ac:dyDescent="0.35">
      <c r="Z76" s="60" t="s">
        <v>91</v>
      </c>
      <c r="AA76" s="60"/>
      <c r="AB76" s="60">
        <v>5</v>
      </c>
      <c r="AC76" s="60"/>
      <c r="AD76" s="60">
        <v>3</v>
      </c>
      <c r="AE76" s="60"/>
      <c r="AF76" s="60">
        <f>1/7</f>
        <v>0.14285714285714285</v>
      </c>
      <c r="AG76" s="60"/>
      <c r="AH76" s="60">
        <f>1/3</f>
        <v>0.33333333333333331</v>
      </c>
      <c r="AI76" s="60"/>
      <c r="AJ76" s="60">
        <f>1/6</f>
        <v>0.16666666666666666</v>
      </c>
      <c r="AK76" s="60"/>
      <c r="AL76" s="60">
        <f>1/5</f>
        <v>0.2</v>
      </c>
      <c r="AM76" s="60"/>
      <c r="AN76" s="62">
        <v>1</v>
      </c>
      <c r="AO76" s="76"/>
      <c r="AP76" s="74"/>
      <c r="AQ76" s="69"/>
      <c r="BU76" s="60" t="s">
        <v>91</v>
      </c>
      <c r="BV76" s="60"/>
      <c r="BW76" s="60">
        <f>1/7</f>
        <v>0.14285714285714285</v>
      </c>
      <c r="BX76" s="60"/>
      <c r="BY76" s="60">
        <v>9</v>
      </c>
      <c r="BZ76" s="60"/>
      <c r="CA76" s="60">
        <v>7</v>
      </c>
      <c r="CB76" s="60"/>
      <c r="CC76" s="60">
        <f>1/5</f>
        <v>0.2</v>
      </c>
      <c r="CD76" s="60"/>
      <c r="CE76" s="60">
        <f>1/7</f>
        <v>0.14285714285714285</v>
      </c>
      <c r="CF76" s="60"/>
      <c r="CG76" s="60">
        <f>1/5</f>
        <v>0.2</v>
      </c>
      <c r="CH76" s="60"/>
      <c r="CI76" s="62">
        <v>1</v>
      </c>
      <c r="CJ76" s="76"/>
      <c r="CK76" s="74"/>
      <c r="CL76" s="69"/>
      <c r="DP76" s="60" t="s">
        <v>91</v>
      </c>
      <c r="DQ76" s="60"/>
      <c r="DR76" s="60">
        <v>5</v>
      </c>
      <c r="DS76" s="60"/>
      <c r="DT76" s="60">
        <v>9</v>
      </c>
      <c r="DU76" s="60"/>
      <c r="DV76" s="60">
        <v>5</v>
      </c>
      <c r="DW76" s="60"/>
      <c r="DX76" s="60">
        <f>1/5</f>
        <v>0.2</v>
      </c>
      <c r="DY76" s="60"/>
      <c r="DZ76" s="60">
        <f>1/5</f>
        <v>0.2</v>
      </c>
      <c r="EA76" s="60"/>
      <c r="EB76" s="60">
        <f>1/5</f>
        <v>0.2</v>
      </c>
      <c r="EC76" s="60"/>
      <c r="ED76" s="62">
        <v>1</v>
      </c>
      <c r="EE76" s="76"/>
      <c r="EF76" s="74"/>
      <c r="EG76" s="69"/>
      <c r="FK76" s="60" t="s">
        <v>91</v>
      </c>
      <c r="FL76" s="60"/>
      <c r="FM76" s="60">
        <v>5</v>
      </c>
      <c r="FN76" s="60"/>
      <c r="FO76" s="60">
        <v>5</v>
      </c>
      <c r="FP76" s="60"/>
      <c r="FQ76" s="60">
        <v>5</v>
      </c>
      <c r="FR76" s="60"/>
      <c r="FS76" s="60">
        <v>7</v>
      </c>
      <c r="FT76" s="60"/>
      <c r="FU76" s="60">
        <f>1/7</f>
        <v>0.14285714285714285</v>
      </c>
      <c r="FV76" s="60"/>
      <c r="FW76" s="60">
        <f>1/5</f>
        <v>0.2</v>
      </c>
      <c r="FX76" s="60"/>
      <c r="FY76" s="62">
        <v>1</v>
      </c>
      <c r="FZ76" s="62"/>
    </row>
    <row r="77" spans="1:182" x14ac:dyDescent="0.35">
      <c r="A77" s="79" t="s">
        <v>2</v>
      </c>
      <c r="B77" s="79"/>
      <c r="C77" s="79"/>
      <c r="D77" s="2">
        <v>9</v>
      </c>
      <c r="E77" s="2">
        <v>8</v>
      </c>
      <c r="F77" s="2">
        <v>7</v>
      </c>
      <c r="G77" s="2">
        <v>6</v>
      </c>
      <c r="H77" s="2">
        <v>5</v>
      </c>
      <c r="I77" s="2">
        <v>4</v>
      </c>
      <c r="J77" s="2">
        <v>3</v>
      </c>
      <c r="K77" s="2">
        <v>2</v>
      </c>
      <c r="L77" s="2">
        <v>1</v>
      </c>
      <c r="M77" s="2">
        <v>2</v>
      </c>
      <c r="N77" s="2">
        <v>3</v>
      </c>
      <c r="O77" s="2">
        <v>4</v>
      </c>
      <c r="P77" s="2">
        <v>5</v>
      </c>
      <c r="Q77" s="2">
        <v>6</v>
      </c>
      <c r="R77" s="2">
        <v>7</v>
      </c>
      <c r="S77" s="2">
        <v>8</v>
      </c>
      <c r="T77" s="2">
        <v>9</v>
      </c>
      <c r="U77" s="79" t="s">
        <v>3</v>
      </c>
      <c r="V77" s="79"/>
      <c r="W77" s="79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77"/>
      <c r="AO77" s="70"/>
      <c r="AP77" s="74"/>
      <c r="AQ77" s="69"/>
      <c r="AV77" s="79" t="s">
        <v>2</v>
      </c>
      <c r="AW77" s="79"/>
      <c r="AX77" s="79"/>
      <c r="AY77" s="2">
        <v>9</v>
      </c>
      <c r="AZ77" s="2">
        <v>8</v>
      </c>
      <c r="BA77" s="2">
        <v>7</v>
      </c>
      <c r="BB77" s="2">
        <v>6</v>
      </c>
      <c r="BC77" s="2">
        <v>5</v>
      </c>
      <c r="BD77" s="2">
        <v>4</v>
      </c>
      <c r="BE77" s="2">
        <v>3</v>
      </c>
      <c r="BF77" s="2">
        <v>2</v>
      </c>
      <c r="BG77" s="2">
        <v>1</v>
      </c>
      <c r="BH77" s="2">
        <v>2</v>
      </c>
      <c r="BI77" s="2">
        <v>3</v>
      </c>
      <c r="BJ77" s="2">
        <v>4</v>
      </c>
      <c r="BK77" s="2">
        <v>5</v>
      </c>
      <c r="BL77" s="2">
        <v>6</v>
      </c>
      <c r="BM77" s="2">
        <v>7</v>
      </c>
      <c r="BN77" s="2">
        <v>8</v>
      </c>
      <c r="BO77" s="2">
        <v>9</v>
      </c>
      <c r="BP77" s="79" t="s">
        <v>3</v>
      </c>
      <c r="BQ77" s="79"/>
      <c r="BR77" s="79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77"/>
      <c r="CJ77" s="70"/>
      <c r="CK77" s="74"/>
      <c r="CL77" s="69"/>
      <c r="CQ77" s="79" t="s">
        <v>2</v>
      </c>
      <c r="CR77" s="79"/>
      <c r="CS77" s="79"/>
      <c r="CT77" s="2">
        <v>9</v>
      </c>
      <c r="CU77" s="2">
        <v>8</v>
      </c>
      <c r="CV77" s="2">
        <v>7</v>
      </c>
      <c r="CW77" s="2">
        <v>6</v>
      </c>
      <c r="CX77" s="2">
        <v>5</v>
      </c>
      <c r="CY77" s="2">
        <v>4</v>
      </c>
      <c r="CZ77" s="2">
        <v>3</v>
      </c>
      <c r="DA77" s="2">
        <v>2</v>
      </c>
      <c r="DB77" s="2">
        <v>1</v>
      </c>
      <c r="DC77" s="2">
        <v>2</v>
      </c>
      <c r="DD77" s="2">
        <v>3</v>
      </c>
      <c r="DE77" s="2">
        <v>4</v>
      </c>
      <c r="DF77" s="2">
        <v>5</v>
      </c>
      <c r="DG77" s="2">
        <v>6</v>
      </c>
      <c r="DH77" s="2">
        <v>7</v>
      </c>
      <c r="DI77" s="2">
        <v>8</v>
      </c>
      <c r="DJ77" s="2">
        <v>9</v>
      </c>
      <c r="DK77" s="79" t="s">
        <v>3</v>
      </c>
      <c r="DL77" s="79"/>
      <c r="DM77" s="79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77"/>
      <c r="EE77" s="70"/>
      <c r="EF77" s="74"/>
      <c r="EG77" s="69"/>
      <c r="EL77" s="79" t="s">
        <v>2</v>
      </c>
      <c r="EM77" s="79"/>
      <c r="EN77" s="79"/>
      <c r="EO77" s="2">
        <v>9</v>
      </c>
      <c r="EP77" s="2">
        <v>8</v>
      </c>
      <c r="EQ77" s="2">
        <v>7</v>
      </c>
      <c r="ER77" s="2">
        <v>6</v>
      </c>
      <c r="ES77" s="2">
        <v>5</v>
      </c>
      <c r="ET77" s="2">
        <v>4</v>
      </c>
      <c r="EU77" s="2">
        <v>3</v>
      </c>
      <c r="EV77" s="2">
        <v>2</v>
      </c>
      <c r="EW77" s="2">
        <v>1</v>
      </c>
      <c r="EX77" s="2">
        <v>2</v>
      </c>
      <c r="EY77" s="2">
        <v>3</v>
      </c>
      <c r="EZ77" s="2">
        <v>4</v>
      </c>
      <c r="FA77" s="2">
        <v>5</v>
      </c>
      <c r="FB77" s="2">
        <v>6</v>
      </c>
      <c r="FC77" s="2">
        <v>7</v>
      </c>
      <c r="FD77" s="2">
        <v>8</v>
      </c>
      <c r="FE77" s="2">
        <v>9</v>
      </c>
      <c r="FF77" s="79" t="s">
        <v>3</v>
      </c>
      <c r="FG77" s="79"/>
      <c r="FH77" s="79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2"/>
      <c r="FZ77" s="62"/>
    </row>
    <row r="78" spans="1:182" x14ac:dyDescent="0.35">
      <c r="A78" s="81" t="s">
        <v>27</v>
      </c>
      <c r="B78" s="82"/>
      <c r="C78" s="83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81" t="s">
        <v>28</v>
      </c>
      <c r="V78" s="82"/>
      <c r="W78" s="83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9"/>
      <c r="AQ78" s="69"/>
      <c r="AV78" s="81" t="s">
        <v>27</v>
      </c>
      <c r="AW78" s="82"/>
      <c r="AX78" s="83"/>
      <c r="AY78" s="5"/>
      <c r="AZ78" s="2"/>
      <c r="BA78" s="3"/>
      <c r="BB78" s="2"/>
      <c r="BC78" s="5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5"/>
      <c r="BP78" s="81" t="s">
        <v>28</v>
      </c>
      <c r="BQ78" s="82"/>
      <c r="BR78" s="83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9"/>
      <c r="CL78" s="69"/>
      <c r="CQ78" s="81" t="s">
        <v>27</v>
      </c>
      <c r="CR78" s="82"/>
      <c r="CS78" s="83"/>
      <c r="CT78" s="3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81" t="s">
        <v>28</v>
      </c>
      <c r="DL78" s="82"/>
      <c r="DM78" s="83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  <c r="EE78" s="68"/>
      <c r="EF78" s="69"/>
      <c r="EG78" s="69"/>
      <c r="EL78" s="81" t="s">
        <v>27</v>
      </c>
      <c r="EM78" s="82"/>
      <c r="EN78" s="83"/>
      <c r="EO78" s="3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81" t="s">
        <v>28</v>
      </c>
      <c r="FG78" s="82"/>
      <c r="FH78" s="83"/>
      <c r="FK78" s="68"/>
      <c r="FL78" s="68"/>
      <c r="FM78" s="68"/>
      <c r="FN78" s="68"/>
      <c r="FO78" s="68"/>
      <c r="FP78" s="68"/>
      <c r="FQ78" s="68"/>
      <c r="FR78" s="68"/>
      <c r="FS78" s="68"/>
      <c r="FT78" s="68"/>
      <c r="FU78" s="68"/>
      <c r="FV78" s="68"/>
      <c r="FW78" s="68"/>
      <c r="FX78" s="68"/>
      <c r="FY78" s="68"/>
      <c r="FZ78" s="68"/>
    </row>
    <row r="79" spans="1:182" x14ac:dyDescent="0.35">
      <c r="A79" s="81" t="s">
        <v>27</v>
      </c>
      <c r="B79" s="82"/>
      <c r="C79" s="83"/>
      <c r="D79" s="2"/>
      <c r="E79" s="2"/>
      <c r="F79" s="2"/>
      <c r="G79" s="2"/>
      <c r="H79" s="2"/>
      <c r="I79" s="2"/>
      <c r="J79" s="2"/>
      <c r="K79" s="2"/>
      <c r="L79" s="2"/>
      <c r="M79" s="2"/>
      <c r="N79" s="5"/>
      <c r="O79" s="2"/>
      <c r="P79" s="3"/>
      <c r="Q79" s="2"/>
      <c r="R79" s="2"/>
      <c r="S79" s="2"/>
      <c r="T79" s="5"/>
      <c r="U79" s="81" t="s">
        <v>29</v>
      </c>
      <c r="V79" s="82"/>
      <c r="W79" s="83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V79" s="81" t="s">
        <v>27</v>
      </c>
      <c r="AW79" s="82"/>
      <c r="AX79" s="83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5"/>
      <c r="BJ79" s="2"/>
      <c r="BK79" s="5"/>
      <c r="BL79" s="2"/>
      <c r="BM79" s="2"/>
      <c r="BN79" s="2"/>
      <c r="BO79" s="3"/>
      <c r="BP79" s="81" t="s">
        <v>29</v>
      </c>
      <c r="BQ79" s="82"/>
      <c r="BR79" s="83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Q79" s="81" t="s">
        <v>27</v>
      </c>
      <c r="CR79" s="82"/>
      <c r="CS79" s="83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5"/>
      <c r="DE79" s="2"/>
      <c r="DF79" s="2"/>
      <c r="DG79" s="2"/>
      <c r="DH79" s="3"/>
      <c r="DI79" s="2"/>
      <c r="DJ79" s="5"/>
      <c r="DK79" s="81" t="s">
        <v>29</v>
      </c>
      <c r="DL79" s="82"/>
      <c r="DM79" s="83"/>
      <c r="DP79" s="69"/>
      <c r="DQ79" s="69"/>
      <c r="DR79" s="69"/>
      <c r="DS79" s="69"/>
      <c r="DT79" s="69"/>
      <c r="DU79" s="69"/>
      <c r="DV79" s="69"/>
      <c r="DW79" s="69"/>
      <c r="DX79" s="69"/>
      <c r="DY79" s="69"/>
      <c r="DZ79" s="69"/>
      <c r="EA79" s="69"/>
      <c r="EB79" s="69"/>
      <c r="EC79" s="69"/>
      <c r="ED79" s="69"/>
      <c r="EE79" s="69"/>
      <c r="EF79" s="69"/>
      <c r="EG79" s="69"/>
      <c r="EL79" s="81" t="s">
        <v>27</v>
      </c>
      <c r="EM79" s="82"/>
      <c r="EN79" s="83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5"/>
      <c r="EZ79" s="2"/>
      <c r="FA79" s="3"/>
      <c r="FB79" s="2"/>
      <c r="FC79" s="2"/>
      <c r="FD79" s="2"/>
      <c r="FE79" s="5"/>
      <c r="FF79" s="81" t="s">
        <v>29</v>
      </c>
      <c r="FG79" s="82"/>
      <c r="FH79" s="83"/>
      <c r="FK79" s="69"/>
      <c r="FL79" s="69"/>
      <c r="FM79" s="69"/>
      <c r="FN79" s="69"/>
      <c r="FO79" s="69"/>
      <c r="FP79" s="69"/>
      <c r="FQ79" s="69"/>
      <c r="FR79" s="69"/>
      <c r="FS79" s="69"/>
      <c r="FT79" s="69"/>
      <c r="FU79" s="69"/>
      <c r="FV79" s="69"/>
      <c r="FW79" s="69"/>
      <c r="FX79" s="69"/>
      <c r="FY79" s="69"/>
      <c r="FZ79" s="69"/>
    </row>
    <row r="80" spans="1:182" x14ac:dyDescent="0.35">
      <c r="A80" s="81" t="s">
        <v>27</v>
      </c>
      <c r="B80" s="82"/>
      <c r="C80" s="83"/>
      <c r="D80" s="2"/>
      <c r="E80" s="2"/>
      <c r="F80" s="2"/>
      <c r="G80" s="2"/>
      <c r="H80" s="3"/>
      <c r="I80" s="2"/>
      <c r="J80" s="2"/>
      <c r="K80" s="2"/>
      <c r="L80" s="2"/>
      <c r="M80" s="2"/>
      <c r="N80" s="5"/>
      <c r="O80" s="2"/>
      <c r="P80" s="2"/>
      <c r="Q80" s="2"/>
      <c r="R80" s="2"/>
      <c r="S80" s="2"/>
      <c r="T80" s="2"/>
      <c r="U80" s="81" t="s">
        <v>82</v>
      </c>
      <c r="V80" s="82"/>
      <c r="W80" s="83"/>
      <c r="AV80" s="81" t="s">
        <v>27</v>
      </c>
      <c r="AW80" s="82"/>
      <c r="AX80" s="83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5"/>
      <c r="BJ80" s="2"/>
      <c r="BK80" s="3"/>
      <c r="BL80" s="2"/>
      <c r="BM80" s="2"/>
      <c r="BN80" s="2"/>
      <c r="BO80" s="5"/>
      <c r="BP80" s="81" t="s">
        <v>82</v>
      </c>
      <c r="BQ80" s="82"/>
      <c r="BR80" s="83"/>
      <c r="CQ80" s="81" t="s">
        <v>27</v>
      </c>
      <c r="CR80" s="82"/>
      <c r="CS80" s="83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5"/>
      <c r="DE80" s="2"/>
      <c r="DF80" s="3"/>
      <c r="DG80" s="2"/>
      <c r="DH80" s="2"/>
      <c r="DI80" s="2"/>
      <c r="DJ80" s="2"/>
      <c r="DK80" s="81" t="s">
        <v>82</v>
      </c>
      <c r="DL80" s="82"/>
      <c r="DM80" s="83"/>
      <c r="EL80" s="81" t="s">
        <v>27</v>
      </c>
      <c r="EM80" s="82"/>
      <c r="EN80" s="83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3"/>
      <c r="EZ80" s="2"/>
      <c r="FA80" s="2"/>
      <c r="FB80" s="2"/>
      <c r="FC80" s="2"/>
      <c r="FD80" s="2"/>
      <c r="FE80" s="2"/>
      <c r="FF80" s="81" t="s">
        <v>82</v>
      </c>
      <c r="FG80" s="82"/>
      <c r="FH80" s="83"/>
    </row>
    <row r="81" spans="1:164" x14ac:dyDescent="0.35">
      <c r="A81" s="81" t="s">
        <v>27</v>
      </c>
      <c r="B81" s="82"/>
      <c r="C81" s="83"/>
      <c r="D81" s="2"/>
      <c r="E81" s="2"/>
      <c r="F81" s="2"/>
      <c r="G81" s="2"/>
      <c r="H81" s="5"/>
      <c r="I81" s="2"/>
      <c r="J81" s="2"/>
      <c r="K81" s="2"/>
      <c r="L81" s="2"/>
      <c r="M81" s="2"/>
      <c r="N81" s="2"/>
      <c r="O81" s="2"/>
      <c r="P81" s="2"/>
      <c r="Q81" s="2"/>
      <c r="R81" s="3"/>
      <c r="S81" s="2"/>
      <c r="T81" s="2"/>
      <c r="U81" s="81" t="s">
        <v>30</v>
      </c>
      <c r="V81" s="82"/>
      <c r="W81" s="83"/>
      <c r="AV81" s="81" t="s">
        <v>27</v>
      </c>
      <c r="AW81" s="82"/>
      <c r="AX81" s="83"/>
      <c r="AY81" s="2"/>
      <c r="AZ81" s="2"/>
      <c r="BA81" s="3"/>
      <c r="BB81" s="2"/>
      <c r="BC81" s="5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81" t="s">
        <v>30</v>
      </c>
      <c r="BQ81" s="82"/>
      <c r="BR81" s="83"/>
      <c r="CQ81" s="81" t="s">
        <v>27</v>
      </c>
      <c r="CR81" s="82"/>
      <c r="CS81" s="83"/>
      <c r="CT81" s="2"/>
      <c r="CU81" s="2"/>
      <c r="CV81" s="2"/>
      <c r="CW81" s="2"/>
      <c r="CX81" s="3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81" t="s">
        <v>30</v>
      </c>
      <c r="DL81" s="82"/>
      <c r="DM81" s="83"/>
      <c r="EL81" s="81" t="s">
        <v>27</v>
      </c>
      <c r="EM81" s="82"/>
      <c r="EN81" s="83"/>
      <c r="EO81" s="2"/>
      <c r="EP81" s="2"/>
      <c r="EQ81" s="2"/>
      <c r="ER81" s="2"/>
      <c r="ES81" s="3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81" t="s">
        <v>30</v>
      </c>
      <c r="FG81" s="82"/>
      <c r="FH81" s="83"/>
    </row>
    <row r="83" spans="1:164" x14ac:dyDescent="0.35">
      <c r="A83" s="79" t="s">
        <v>2</v>
      </c>
      <c r="B83" s="79"/>
      <c r="C83" s="79"/>
      <c r="D83" s="2">
        <v>9</v>
      </c>
      <c r="E83" s="2">
        <v>8</v>
      </c>
      <c r="F83" s="2">
        <v>7</v>
      </c>
      <c r="G83" s="2">
        <v>6</v>
      </c>
      <c r="H83" s="2">
        <v>5</v>
      </c>
      <c r="I83" s="2">
        <v>4</v>
      </c>
      <c r="J83" s="2">
        <v>3</v>
      </c>
      <c r="K83" s="2">
        <v>2</v>
      </c>
      <c r="L83" s="2">
        <v>1</v>
      </c>
      <c r="M83" s="2">
        <v>2</v>
      </c>
      <c r="N83" s="2">
        <v>3</v>
      </c>
      <c r="O83" s="2">
        <v>4</v>
      </c>
      <c r="P83" s="2">
        <v>5</v>
      </c>
      <c r="Q83" s="2">
        <v>6</v>
      </c>
      <c r="R83" s="2">
        <v>7</v>
      </c>
      <c r="S83" s="2">
        <v>8</v>
      </c>
      <c r="T83" s="2">
        <v>9</v>
      </c>
      <c r="U83" s="79" t="s">
        <v>3</v>
      </c>
      <c r="V83" s="79"/>
      <c r="W83" s="79"/>
      <c r="AV83" s="79" t="s">
        <v>2</v>
      </c>
      <c r="AW83" s="79"/>
      <c r="AX83" s="79"/>
      <c r="AY83" s="2">
        <v>9</v>
      </c>
      <c r="AZ83" s="2">
        <v>8</v>
      </c>
      <c r="BA83" s="2">
        <v>7</v>
      </c>
      <c r="BB83" s="2">
        <v>6</v>
      </c>
      <c r="BC83" s="2">
        <v>5</v>
      </c>
      <c r="BD83" s="2">
        <v>4</v>
      </c>
      <c r="BE83" s="2">
        <v>3</v>
      </c>
      <c r="BF83" s="2">
        <v>2</v>
      </c>
      <c r="BG83" s="2">
        <v>1</v>
      </c>
      <c r="BH83" s="2">
        <v>2</v>
      </c>
      <c r="BI83" s="2">
        <v>3</v>
      </c>
      <c r="BJ83" s="2">
        <v>4</v>
      </c>
      <c r="BK83" s="2">
        <v>5</v>
      </c>
      <c r="BL83" s="2">
        <v>6</v>
      </c>
      <c r="BM83" s="2">
        <v>7</v>
      </c>
      <c r="BN83" s="2">
        <v>8</v>
      </c>
      <c r="BO83" s="2">
        <v>9</v>
      </c>
      <c r="BP83" s="79" t="s">
        <v>3</v>
      </c>
      <c r="BQ83" s="79"/>
      <c r="BR83" s="79"/>
      <c r="CQ83" s="79" t="s">
        <v>2</v>
      </c>
      <c r="CR83" s="79"/>
      <c r="CS83" s="79"/>
      <c r="CT83" s="2">
        <v>9</v>
      </c>
      <c r="CU83" s="2">
        <v>8</v>
      </c>
      <c r="CV83" s="2">
        <v>7</v>
      </c>
      <c r="CW83" s="2">
        <v>6</v>
      </c>
      <c r="CX83" s="2">
        <v>5</v>
      </c>
      <c r="CY83" s="2">
        <v>4</v>
      </c>
      <c r="CZ83" s="2">
        <v>3</v>
      </c>
      <c r="DA83" s="2">
        <v>2</v>
      </c>
      <c r="DB83" s="2">
        <v>1</v>
      </c>
      <c r="DC83" s="2">
        <v>2</v>
      </c>
      <c r="DD83" s="2">
        <v>3</v>
      </c>
      <c r="DE83" s="2">
        <v>4</v>
      </c>
      <c r="DF83" s="2">
        <v>5</v>
      </c>
      <c r="DG83" s="2">
        <v>6</v>
      </c>
      <c r="DH83" s="2">
        <v>7</v>
      </c>
      <c r="DI83" s="2">
        <v>8</v>
      </c>
      <c r="DJ83" s="2">
        <v>9</v>
      </c>
      <c r="DK83" s="79" t="s">
        <v>3</v>
      </c>
      <c r="DL83" s="79"/>
      <c r="DM83" s="79"/>
      <c r="EL83" s="79" t="s">
        <v>2</v>
      </c>
      <c r="EM83" s="79"/>
      <c r="EN83" s="79"/>
      <c r="EO83" s="2">
        <v>9</v>
      </c>
      <c r="EP83" s="2">
        <v>8</v>
      </c>
      <c r="EQ83" s="2">
        <v>7</v>
      </c>
      <c r="ER83" s="2">
        <v>6</v>
      </c>
      <c r="ES83" s="2">
        <v>5</v>
      </c>
      <c r="ET83" s="2">
        <v>4</v>
      </c>
      <c r="EU83" s="2">
        <v>3</v>
      </c>
      <c r="EV83" s="2">
        <v>2</v>
      </c>
      <c r="EW83" s="2">
        <v>1</v>
      </c>
      <c r="EX83" s="2">
        <v>2</v>
      </c>
      <c r="EY83" s="2">
        <v>3</v>
      </c>
      <c r="EZ83" s="2">
        <v>4</v>
      </c>
      <c r="FA83" s="2">
        <v>5</v>
      </c>
      <c r="FB83" s="2">
        <v>6</v>
      </c>
      <c r="FC83" s="2">
        <v>7</v>
      </c>
      <c r="FD83" s="2">
        <v>8</v>
      </c>
      <c r="FE83" s="2">
        <v>9</v>
      </c>
      <c r="FF83" s="79" t="s">
        <v>3</v>
      </c>
      <c r="FG83" s="79"/>
      <c r="FH83" s="79"/>
    </row>
    <row r="84" spans="1:164" x14ac:dyDescent="0.35">
      <c r="A84" s="81" t="s">
        <v>28</v>
      </c>
      <c r="B84" s="82"/>
      <c r="C84" s="83"/>
      <c r="D84" s="2"/>
      <c r="E84" s="2"/>
      <c r="F84" s="2"/>
      <c r="G84" s="2"/>
      <c r="H84" s="2"/>
      <c r="I84" s="2"/>
      <c r="J84" s="2"/>
      <c r="K84" s="2"/>
      <c r="L84" s="2"/>
      <c r="M84" s="2"/>
      <c r="N84" s="5"/>
      <c r="O84" s="2"/>
      <c r="P84" s="2"/>
      <c r="Q84" s="2"/>
      <c r="R84" s="2"/>
      <c r="S84" s="2"/>
      <c r="T84" s="3"/>
      <c r="U84" s="81" t="s">
        <v>29</v>
      </c>
      <c r="V84" s="82"/>
      <c r="W84" s="83"/>
      <c r="AV84" s="81" t="s">
        <v>28</v>
      </c>
      <c r="AW84" s="82"/>
      <c r="AX84" s="83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5"/>
      <c r="BJ84" s="2"/>
      <c r="BK84" s="2"/>
      <c r="BL84" s="2"/>
      <c r="BM84" s="3"/>
      <c r="BN84" s="2"/>
      <c r="BO84" s="2"/>
      <c r="BP84" s="81" t="s">
        <v>29</v>
      </c>
      <c r="BQ84" s="82"/>
      <c r="BR84" s="83"/>
      <c r="CQ84" s="81" t="s">
        <v>28</v>
      </c>
      <c r="CR84" s="82"/>
      <c r="CS84" s="83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5"/>
      <c r="DE84" s="2"/>
      <c r="DF84" s="2"/>
      <c r="DG84" s="2"/>
      <c r="DH84" s="2"/>
      <c r="DI84" s="2"/>
      <c r="DJ84" s="3"/>
      <c r="DK84" s="81" t="s">
        <v>29</v>
      </c>
      <c r="DL84" s="82"/>
      <c r="DM84" s="83"/>
      <c r="EL84" s="81" t="s">
        <v>28</v>
      </c>
      <c r="EM84" s="82"/>
      <c r="EN84" s="83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5"/>
      <c r="EZ84" s="2"/>
      <c r="FA84" s="2"/>
      <c r="FB84" s="2"/>
      <c r="FC84" s="3"/>
      <c r="FD84" s="2"/>
      <c r="FE84" s="2"/>
      <c r="FF84" s="81" t="s">
        <v>29</v>
      </c>
      <c r="FG84" s="82"/>
      <c r="FH84" s="83"/>
    </row>
    <row r="85" spans="1:164" x14ac:dyDescent="0.35">
      <c r="A85" s="81" t="s">
        <v>28</v>
      </c>
      <c r="B85" s="82"/>
      <c r="C85" s="83"/>
      <c r="D85" s="2"/>
      <c r="E85" s="2"/>
      <c r="F85" s="2"/>
      <c r="G85" s="2"/>
      <c r="H85" s="3"/>
      <c r="I85" s="2"/>
      <c r="J85" s="5"/>
      <c r="K85" s="2"/>
      <c r="L85" s="2"/>
      <c r="M85" s="2"/>
      <c r="N85" s="2"/>
      <c r="O85" s="2"/>
      <c r="P85" s="2"/>
      <c r="Q85" s="2"/>
      <c r="R85" s="2"/>
      <c r="S85" s="2"/>
      <c r="T85" s="2"/>
      <c r="U85" s="81" t="s">
        <v>82</v>
      </c>
      <c r="V85" s="82"/>
      <c r="W85" s="83"/>
      <c r="AV85" s="81" t="s">
        <v>28</v>
      </c>
      <c r="AW85" s="82"/>
      <c r="AX85" s="83"/>
      <c r="AY85" s="3"/>
      <c r="AZ85" s="2"/>
      <c r="BA85" s="2"/>
      <c r="BB85" s="2"/>
      <c r="BC85" s="2"/>
      <c r="BD85" s="2"/>
      <c r="BE85" s="5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81" t="s">
        <v>82</v>
      </c>
      <c r="BQ85" s="82"/>
      <c r="BR85" s="83"/>
      <c r="CQ85" s="81" t="s">
        <v>28</v>
      </c>
      <c r="CR85" s="82"/>
      <c r="CS85" s="83"/>
      <c r="CT85" s="2"/>
      <c r="CU85" s="2"/>
      <c r="CV85" s="2"/>
      <c r="CW85" s="2"/>
      <c r="CX85" s="3"/>
      <c r="CY85" s="2"/>
      <c r="CZ85" s="5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81" t="s">
        <v>82</v>
      </c>
      <c r="DL85" s="82"/>
      <c r="DM85" s="83"/>
      <c r="EL85" s="81" t="s">
        <v>28</v>
      </c>
      <c r="EM85" s="82"/>
      <c r="EN85" s="83"/>
      <c r="EO85" s="2"/>
      <c r="EP85" s="2"/>
      <c r="EQ85" s="2"/>
      <c r="ER85" s="2"/>
      <c r="ES85" s="2"/>
      <c r="ET85" s="2"/>
      <c r="EU85" s="3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81" t="s">
        <v>82</v>
      </c>
      <c r="FG85" s="82"/>
      <c r="FH85" s="83"/>
    </row>
    <row r="86" spans="1:164" x14ac:dyDescent="0.35">
      <c r="A86" s="81" t="s">
        <v>28</v>
      </c>
      <c r="B86" s="82"/>
      <c r="C86" s="83"/>
      <c r="D86" s="2"/>
      <c r="E86" s="2"/>
      <c r="F86" s="2"/>
      <c r="G86" s="2"/>
      <c r="H86" s="2"/>
      <c r="I86" s="2"/>
      <c r="J86" s="2"/>
      <c r="K86" s="2"/>
      <c r="L86" s="2"/>
      <c r="M86" s="2"/>
      <c r="N86" s="3"/>
      <c r="O86" s="2"/>
      <c r="P86" s="2"/>
      <c r="Q86" s="2"/>
      <c r="R86" s="2"/>
      <c r="S86" s="2"/>
      <c r="T86" s="2"/>
      <c r="U86" s="81" t="s">
        <v>30</v>
      </c>
      <c r="V86" s="82"/>
      <c r="W86" s="83"/>
      <c r="AV86" s="81" t="s">
        <v>28</v>
      </c>
      <c r="AW86" s="82"/>
      <c r="AX86" s="83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5"/>
      <c r="BJ86" s="2"/>
      <c r="BK86" s="3"/>
      <c r="BL86" s="2"/>
      <c r="BM86" s="2"/>
      <c r="BN86" s="2"/>
      <c r="BO86" s="2"/>
      <c r="BP86" s="81" t="s">
        <v>30</v>
      </c>
      <c r="BQ86" s="82"/>
      <c r="BR86" s="83"/>
      <c r="CQ86" s="81" t="s">
        <v>28</v>
      </c>
      <c r="CR86" s="82"/>
      <c r="CS86" s="83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5"/>
      <c r="DE86" s="2"/>
      <c r="DF86" s="3"/>
      <c r="DG86" s="2"/>
      <c r="DH86" s="2"/>
      <c r="DI86" s="2"/>
      <c r="DJ86" s="2"/>
      <c r="DK86" s="81" t="s">
        <v>30</v>
      </c>
      <c r="DL86" s="82"/>
      <c r="DM86" s="83"/>
      <c r="EL86" s="81" t="s">
        <v>28</v>
      </c>
      <c r="EM86" s="82"/>
      <c r="EN86" s="83"/>
      <c r="EO86" s="2"/>
      <c r="EP86" s="2"/>
      <c r="EQ86" s="3"/>
      <c r="ER86" s="2"/>
      <c r="ES86" s="2"/>
      <c r="ET86" s="2"/>
      <c r="EU86" s="2"/>
      <c r="EV86" s="2"/>
      <c r="EW86" s="2"/>
      <c r="EX86" s="2"/>
      <c r="EY86" s="5"/>
      <c r="EZ86" s="2"/>
      <c r="FA86" s="2"/>
      <c r="FB86" s="2"/>
      <c r="FC86" s="2"/>
      <c r="FD86" s="2"/>
      <c r="FE86" s="2"/>
      <c r="FF86" s="81" t="s">
        <v>30</v>
      </c>
      <c r="FG86" s="82"/>
      <c r="FH86" s="83"/>
    </row>
    <row r="88" spans="1:164" x14ac:dyDescent="0.35">
      <c r="A88" s="79" t="s">
        <v>2</v>
      </c>
      <c r="B88" s="79"/>
      <c r="C88" s="79"/>
      <c r="D88" s="2">
        <v>9</v>
      </c>
      <c r="E88" s="2">
        <v>8</v>
      </c>
      <c r="F88" s="2">
        <v>7</v>
      </c>
      <c r="G88" s="2">
        <v>6</v>
      </c>
      <c r="H88" s="2">
        <v>5</v>
      </c>
      <c r="I88" s="2">
        <v>4</v>
      </c>
      <c r="J88" s="2">
        <v>3</v>
      </c>
      <c r="K88" s="2">
        <v>2</v>
      </c>
      <c r="L88" s="2">
        <v>1</v>
      </c>
      <c r="M88" s="2">
        <v>2</v>
      </c>
      <c r="N88" s="2">
        <v>3</v>
      </c>
      <c r="O88" s="2">
        <v>4</v>
      </c>
      <c r="P88" s="2">
        <v>5</v>
      </c>
      <c r="Q88" s="2">
        <v>6</v>
      </c>
      <c r="R88" s="2">
        <v>7</v>
      </c>
      <c r="S88" s="2">
        <v>8</v>
      </c>
      <c r="T88" s="2">
        <v>9</v>
      </c>
      <c r="U88" s="79" t="s">
        <v>3</v>
      </c>
      <c r="V88" s="79"/>
      <c r="W88" s="79"/>
      <c r="AV88" s="79" t="s">
        <v>2</v>
      </c>
      <c r="AW88" s="79"/>
      <c r="AX88" s="79"/>
      <c r="AY88" s="2">
        <v>9</v>
      </c>
      <c r="AZ88" s="2">
        <v>8</v>
      </c>
      <c r="BA88" s="2">
        <v>7</v>
      </c>
      <c r="BB88" s="2">
        <v>6</v>
      </c>
      <c r="BC88" s="2">
        <v>5</v>
      </c>
      <c r="BD88" s="2">
        <v>4</v>
      </c>
      <c r="BE88" s="2">
        <v>3</v>
      </c>
      <c r="BF88" s="2">
        <v>2</v>
      </c>
      <c r="BG88" s="2">
        <v>1</v>
      </c>
      <c r="BH88" s="2">
        <v>2</v>
      </c>
      <c r="BI88" s="2">
        <v>3</v>
      </c>
      <c r="BJ88" s="2">
        <v>4</v>
      </c>
      <c r="BK88" s="2">
        <v>5</v>
      </c>
      <c r="BL88" s="2">
        <v>6</v>
      </c>
      <c r="BM88" s="2">
        <v>7</v>
      </c>
      <c r="BN88" s="2">
        <v>8</v>
      </c>
      <c r="BO88" s="2">
        <v>9</v>
      </c>
      <c r="BP88" s="79" t="s">
        <v>3</v>
      </c>
      <c r="BQ88" s="79"/>
      <c r="BR88" s="79"/>
      <c r="CQ88" s="79" t="s">
        <v>2</v>
      </c>
      <c r="CR88" s="79"/>
      <c r="CS88" s="79"/>
      <c r="CT88" s="2">
        <v>9</v>
      </c>
      <c r="CU88" s="2">
        <v>8</v>
      </c>
      <c r="CV88" s="2">
        <v>7</v>
      </c>
      <c r="CW88" s="2">
        <v>6</v>
      </c>
      <c r="CX88" s="2">
        <v>5</v>
      </c>
      <c r="CY88" s="2">
        <v>4</v>
      </c>
      <c r="CZ88" s="2">
        <v>3</v>
      </c>
      <c r="DA88" s="2">
        <v>2</v>
      </c>
      <c r="DB88" s="2">
        <v>1</v>
      </c>
      <c r="DC88" s="2">
        <v>2</v>
      </c>
      <c r="DD88" s="2">
        <v>3</v>
      </c>
      <c r="DE88" s="2">
        <v>4</v>
      </c>
      <c r="DF88" s="2">
        <v>5</v>
      </c>
      <c r="DG88" s="2">
        <v>6</v>
      </c>
      <c r="DH88" s="2">
        <v>7</v>
      </c>
      <c r="DI88" s="2">
        <v>8</v>
      </c>
      <c r="DJ88" s="2">
        <v>9</v>
      </c>
      <c r="DK88" s="79" t="s">
        <v>3</v>
      </c>
      <c r="DL88" s="79"/>
      <c r="DM88" s="79"/>
      <c r="EL88" s="79" t="s">
        <v>2</v>
      </c>
      <c r="EM88" s="79"/>
      <c r="EN88" s="79"/>
      <c r="EO88" s="2">
        <v>9</v>
      </c>
      <c r="EP88" s="2">
        <v>8</v>
      </c>
      <c r="EQ88" s="2">
        <v>7</v>
      </c>
      <c r="ER88" s="2">
        <v>6</v>
      </c>
      <c r="ES88" s="2">
        <v>5</v>
      </c>
      <c r="ET88" s="2">
        <v>4</v>
      </c>
      <c r="EU88" s="2">
        <v>3</v>
      </c>
      <c r="EV88" s="2">
        <v>2</v>
      </c>
      <c r="EW88" s="2">
        <v>1</v>
      </c>
      <c r="EX88" s="2">
        <v>2</v>
      </c>
      <c r="EY88" s="2">
        <v>3</v>
      </c>
      <c r="EZ88" s="2">
        <v>4</v>
      </c>
      <c r="FA88" s="2">
        <v>5</v>
      </c>
      <c r="FB88" s="2">
        <v>6</v>
      </c>
      <c r="FC88" s="2">
        <v>7</v>
      </c>
      <c r="FD88" s="2">
        <v>8</v>
      </c>
      <c r="FE88" s="2">
        <v>9</v>
      </c>
      <c r="FF88" s="79" t="s">
        <v>3</v>
      </c>
      <c r="FG88" s="79"/>
      <c r="FH88" s="79"/>
    </row>
    <row r="89" spans="1:164" x14ac:dyDescent="0.35">
      <c r="A89" s="81" t="s">
        <v>29</v>
      </c>
      <c r="B89" s="82"/>
      <c r="C89" s="83"/>
      <c r="D89" s="2"/>
      <c r="E89" s="2"/>
      <c r="F89" s="5"/>
      <c r="G89" s="2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81" t="s">
        <v>82</v>
      </c>
      <c r="V89" s="82"/>
      <c r="W89" s="83"/>
      <c r="AV89" s="81" t="s">
        <v>29</v>
      </c>
      <c r="AW89" s="82"/>
      <c r="AX89" s="83"/>
      <c r="AY89" s="2"/>
      <c r="AZ89" s="2"/>
      <c r="BA89" s="3"/>
      <c r="BB89" s="2"/>
      <c r="BC89" s="5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81" t="s">
        <v>82</v>
      </c>
      <c r="BQ89" s="82"/>
      <c r="BR89" s="83"/>
      <c r="CQ89" s="81" t="s">
        <v>29</v>
      </c>
      <c r="CR89" s="82"/>
      <c r="CS89" s="83"/>
      <c r="CT89" s="2"/>
      <c r="CU89" s="2"/>
      <c r="CV89" s="3"/>
      <c r="CW89" s="2"/>
      <c r="CX89" s="5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81" t="s">
        <v>82</v>
      </c>
      <c r="DL89" s="82"/>
      <c r="DM89" s="83"/>
      <c r="EL89" s="81" t="s">
        <v>29</v>
      </c>
      <c r="EM89" s="82"/>
      <c r="EN89" s="83"/>
      <c r="EO89" s="2"/>
      <c r="EP89" s="2"/>
      <c r="EQ89" s="5"/>
      <c r="ER89" s="2"/>
      <c r="ES89" s="3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81" t="s">
        <v>82</v>
      </c>
      <c r="FG89" s="82"/>
      <c r="FH89" s="83"/>
    </row>
    <row r="90" spans="1:164" x14ac:dyDescent="0.35">
      <c r="A90" s="81" t="s">
        <v>29</v>
      </c>
      <c r="B90" s="82"/>
      <c r="C90" s="83"/>
      <c r="D90" s="2"/>
      <c r="E90" s="2"/>
      <c r="F90" s="2"/>
      <c r="G90" s="2"/>
      <c r="H90" s="2"/>
      <c r="I90" s="2"/>
      <c r="J90" s="2"/>
      <c r="K90" s="2"/>
      <c r="L90" s="2"/>
      <c r="M90" s="2"/>
      <c r="N90" s="5"/>
      <c r="O90" s="2"/>
      <c r="P90" s="2"/>
      <c r="Q90" s="3"/>
      <c r="R90" s="2"/>
      <c r="S90" s="2"/>
      <c r="T90" s="2"/>
      <c r="U90" s="81" t="s">
        <v>30</v>
      </c>
      <c r="V90" s="82"/>
      <c r="W90" s="83"/>
      <c r="AV90" s="81" t="s">
        <v>29</v>
      </c>
      <c r="AW90" s="82"/>
      <c r="AX90" s="83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5"/>
      <c r="BJ90" s="2"/>
      <c r="BK90" s="2"/>
      <c r="BL90" s="2"/>
      <c r="BM90" s="3"/>
      <c r="BN90" s="2"/>
      <c r="BO90" s="2"/>
      <c r="BP90" s="81" t="s">
        <v>30</v>
      </c>
      <c r="BQ90" s="82"/>
      <c r="BR90" s="83"/>
      <c r="CQ90" s="81" t="s">
        <v>29</v>
      </c>
      <c r="CR90" s="82"/>
      <c r="CS90" s="83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5"/>
      <c r="DE90" s="2"/>
      <c r="DF90" s="3"/>
      <c r="DG90" s="2"/>
      <c r="DH90" s="2"/>
      <c r="DI90" s="2"/>
      <c r="DJ90" s="2"/>
      <c r="DK90" s="81" t="s">
        <v>30</v>
      </c>
      <c r="DL90" s="82"/>
      <c r="DM90" s="83"/>
      <c r="EL90" s="81" t="s">
        <v>29</v>
      </c>
      <c r="EM90" s="82"/>
      <c r="EN90" s="83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5"/>
      <c r="EZ90" s="2"/>
      <c r="FA90" s="2"/>
      <c r="FB90" s="2"/>
      <c r="FC90" s="3"/>
      <c r="FD90" s="2"/>
      <c r="FE90" s="2"/>
      <c r="FF90" s="81" t="s">
        <v>30</v>
      </c>
      <c r="FG90" s="82"/>
      <c r="FH90" s="83"/>
    </row>
    <row r="92" spans="1:164" x14ac:dyDescent="0.35">
      <c r="A92" s="79" t="s">
        <v>2</v>
      </c>
      <c r="B92" s="79"/>
      <c r="C92" s="79"/>
      <c r="D92" s="2">
        <v>9</v>
      </c>
      <c r="E92" s="2">
        <v>8</v>
      </c>
      <c r="F92" s="2">
        <v>7</v>
      </c>
      <c r="G92" s="2">
        <v>6</v>
      </c>
      <c r="H92" s="2">
        <v>5</v>
      </c>
      <c r="I92" s="2">
        <v>4</v>
      </c>
      <c r="J92" s="2">
        <v>3</v>
      </c>
      <c r="K92" s="2">
        <v>2</v>
      </c>
      <c r="L92" s="2">
        <v>1</v>
      </c>
      <c r="M92" s="2">
        <v>2</v>
      </c>
      <c r="N92" s="2">
        <v>3</v>
      </c>
      <c r="O92" s="2">
        <v>4</v>
      </c>
      <c r="P92" s="2">
        <v>5</v>
      </c>
      <c r="Q92" s="2">
        <v>6</v>
      </c>
      <c r="R92" s="2">
        <v>7</v>
      </c>
      <c r="S92" s="2">
        <v>8</v>
      </c>
      <c r="T92" s="2">
        <v>9</v>
      </c>
      <c r="U92" s="79" t="s">
        <v>3</v>
      </c>
      <c r="V92" s="79"/>
      <c r="W92" s="79"/>
      <c r="AV92" s="79" t="s">
        <v>2</v>
      </c>
      <c r="AW92" s="79"/>
      <c r="AX92" s="79"/>
      <c r="AY92" s="2">
        <v>9</v>
      </c>
      <c r="AZ92" s="2">
        <v>8</v>
      </c>
      <c r="BA92" s="2">
        <v>7</v>
      </c>
      <c r="BB92" s="2">
        <v>6</v>
      </c>
      <c r="BC92" s="2">
        <v>5</v>
      </c>
      <c r="BD92" s="2">
        <v>4</v>
      </c>
      <c r="BE92" s="2">
        <v>3</v>
      </c>
      <c r="BF92" s="2">
        <v>2</v>
      </c>
      <c r="BG92" s="2">
        <v>1</v>
      </c>
      <c r="BH92" s="2">
        <v>2</v>
      </c>
      <c r="BI92" s="2">
        <v>3</v>
      </c>
      <c r="BJ92" s="2">
        <v>4</v>
      </c>
      <c r="BK92" s="2">
        <v>5</v>
      </c>
      <c r="BL92" s="2">
        <v>6</v>
      </c>
      <c r="BM92" s="2">
        <v>7</v>
      </c>
      <c r="BN92" s="2">
        <v>8</v>
      </c>
      <c r="BO92" s="2">
        <v>9</v>
      </c>
      <c r="BP92" s="79" t="s">
        <v>3</v>
      </c>
      <c r="BQ92" s="79"/>
      <c r="BR92" s="79"/>
      <c r="CQ92" s="79" t="s">
        <v>2</v>
      </c>
      <c r="CR92" s="79"/>
      <c r="CS92" s="79"/>
      <c r="CT92" s="2">
        <v>9</v>
      </c>
      <c r="CU92" s="2">
        <v>8</v>
      </c>
      <c r="CV92" s="2">
        <v>7</v>
      </c>
      <c r="CW92" s="2">
        <v>6</v>
      </c>
      <c r="CX92" s="2">
        <v>5</v>
      </c>
      <c r="CY92" s="2">
        <v>4</v>
      </c>
      <c r="CZ92" s="2">
        <v>3</v>
      </c>
      <c r="DA92" s="2">
        <v>2</v>
      </c>
      <c r="DB92" s="2">
        <v>1</v>
      </c>
      <c r="DC92" s="2">
        <v>2</v>
      </c>
      <c r="DD92" s="2">
        <v>3</v>
      </c>
      <c r="DE92" s="2">
        <v>4</v>
      </c>
      <c r="DF92" s="2">
        <v>5</v>
      </c>
      <c r="DG92" s="2">
        <v>6</v>
      </c>
      <c r="DH92" s="2">
        <v>7</v>
      </c>
      <c r="DI92" s="2">
        <v>8</v>
      </c>
      <c r="DJ92" s="2">
        <v>9</v>
      </c>
      <c r="DK92" s="79" t="s">
        <v>3</v>
      </c>
      <c r="DL92" s="79"/>
      <c r="DM92" s="79"/>
      <c r="EL92" s="79" t="s">
        <v>2</v>
      </c>
      <c r="EM92" s="79"/>
      <c r="EN92" s="79"/>
      <c r="EO92" s="2">
        <v>9</v>
      </c>
      <c r="EP92" s="2">
        <v>8</v>
      </c>
      <c r="EQ92" s="2">
        <v>7</v>
      </c>
      <c r="ER92" s="2">
        <v>6</v>
      </c>
      <c r="ES92" s="2">
        <v>5</v>
      </c>
      <c r="ET92" s="2">
        <v>4</v>
      </c>
      <c r="EU92" s="2">
        <v>3</v>
      </c>
      <c r="EV92" s="2">
        <v>2</v>
      </c>
      <c r="EW92" s="2">
        <v>1</v>
      </c>
      <c r="EX92" s="2">
        <v>2</v>
      </c>
      <c r="EY92" s="2">
        <v>3</v>
      </c>
      <c r="EZ92" s="2">
        <v>4</v>
      </c>
      <c r="FA92" s="2">
        <v>5</v>
      </c>
      <c r="FB92" s="2">
        <v>6</v>
      </c>
      <c r="FC92" s="2">
        <v>7</v>
      </c>
      <c r="FD92" s="2">
        <v>8</v>
      </c>
      <c r="FE92" s="2">
        <v>9</v>
      </c>
      <c r="FF92" s="79" t="s">
        <v>3</v>
      </c>
      <c r="FG92" s="79"/>
      <c r="FH92" s="79"/>
    </row>
    <row r="93" spans="1:164" x14ac:dyDescent="0.35">
      <c r="A93" s="81" t="s">
        <v>82</v>
      </c>
      <c r="B93" s="82"/>
      <c r="C93" s="8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Q93" s="2"/>
      <c r="R93" s="2"/>
      <c r="S93" s="2"/>
      <c r="T93" s="2"/>
      <c r="U93" s="81" t="s">
        <v>30</v>
      </c>
      <c r="V93" s="82"/>
      <c r="W93" s="83"/>
      <c r="AV93" s="81" t="s">
        <v>82</v>
      </c>
      <c r="AW93" s="82"/>
      <c r="AX93" s="83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3"/>
      <c r="BL93" s="2"/>
      <c r="BM93" s="2"/>
      <c r="BN93" s="2"/>
      <c r="BO93" s="2"/>
      <c r="BP93" s="81" t="s">
        <v>30</v>
      </c>
      <c r="BQ93" s="82"/>
      <c r="BR93" s="83"/>
      <c r="CQ93" s="81" t="s">
        <v>82</v>
      </c>
      <c r="CR93" s="82"/>
      <c r="CS93" s="83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3"/>
      <c r="DG93" s="2"/>
      <c r="DH93" s="2"/>
      <c r="DI93" s="2"/>
      <c r="DJ93" s="2"/>
      <c r="DK93" s="81" t="s">
        <v>30</v>
      </c>
      <c r="DL93" s="82"/>
      <c r="DM93" s="83"/>
      <c r="EL93" s="81" t="s">
        <v>82</v>
      </c>
      <c r="EM93" s="82"/>
      <c r="EN93" s="83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3"/>
      <c r="FB93" s="2"/>
      <c r="FC93" s="2"/>
      <c r="FD93" s="2"/>
      <c r="FE93" s="2"/>
      <c r="FF93" s="81" t="s">
        <v>30</v>
      </c>
      <c r="FG93" s="82"/>
      <c r="FH93" s="83"/>
    </row>
    <row r="96" spans="1:164" x14ac:dyDescent="0.35">
      <c r="A96" s="84" t="s">
        <v>12</v>
      </c>
      <c r="B96" s="84"/>
      <c r="C96" s="84"/>
      <c r="AV96" s="84" t="s">
        <v>12</v>
      </c>
      <c r="AW96" s="84"/>
      <c r="AX96" s="84"/>
      <c r="CQ96" s="84" t="s">
        <v>12</v>
      </c>
      <c r="CR96" s="84"/>
      <c r="CS96" s="84"/>
      <c r="EL96" s="84" t="s">
        <v>12</v>
      </c>
      <c r="EM96" s="84"/>
      <c r="EN96" s="84"/>
    </row>
    <row r="97" spans="1:182" x14ac:dyDescent="0.35">
      <c r="A97" s="7"/>
      <c r="B97" s="7"/>
      <c r="C97" s="7"/>
      <c r="AV97" s="7"/>
      <c r="AW97" s="7"/>
      <c r="AX97" s="7"/>
      <c r="CQ97" s="7"/>
      <c r="CR97" s="7"/>
      <c r="CS97" s="7"/>
      <c r="EL97" s="7"/>
      <c r="EM97" s="7"/>
      <c r="EN97" s="7"/>
    </row>
    <row r="98" spans="1:182" x14ac:dyDescent="0.35">
      <c r="A98" s="79" t="s">
        <v>2</v>
      </c>
      <c r="B98" s="79"/>
      <c r="C98" s="79"/>
      <c r="D98" s="2">
        <v>9</v>
      </c>
      <c r="E98" s="2">
        <v>8</v>
      </c>
      <c r="F98" s="2">
        <v>7</v>
      </c>
      <c r="G98" s="2">
        <v>6</v>
      </c>
      <c r="H98" s="2">
        <v>5</v>
      </c>
      <c r="I98" s="2">
        <v>4</v>
      </c>
      <c r="J98" s="2">
        <v>3</v>
      </c>
      <c r="K98" s="2">
        <v>2</v>
      </c>
      <c r="L98" s="2">
        <v>1</v>
      </c>
      <c r="M98" s="2">
        <v>2</v>
      </c>
      <c r="N98" s="2">
        <v>3</v>
      </c>
      <c r="O98" s="2">
        <v>4</v>
      </c>
      <c r="P98" s="2">
        <v>5</v>
      </c>
      <c r="Q98" s="2">
        <v>6</v>
      </c>
      <c r="R98" s="2">
        <v>7</v>
      </c>
      <c r="S98" s="2">
        <v>8</v>
      </c>
      <c r="T98" s="2">
        <v>9</v>
      </c>
      <c r="U98" s="79" t="s">
        <v>3</v>
      </c>
      <c r="V98" s="79"/>
      <c r="W98" s="79"/>
      <c r="Z98" s="60"/>
      <c r="AA98" s="60"/>
      <c r="AB98" s="60" t="s">
        <v>13</v>
      </c>
      <c r="AC98" s="60"/>
      <c r="AD98" s="60" t="s">
        <v>14</v>
      </c>
      <c r="AE98" s="60"/>
      <c r="AF98" s="60" t="s">
        <v>15</v>
      </c>
      <c r="AG98" s="60"/>
      <c r="AV98" s="79" t="s">
        <v>2</v>
      </c>
      <c r="AW98" s="79"/>
      <c r="AX98" s="79"/>
      <c r="AY98" s="2">
        <v>9</v>
      </c>
      <c r="AZ98" s="2">
        <v>8</v>
      </c>
      <c r="BA98" s="2">
        <v>7</v>
      </c>
      <c r="BB98" s="2">
        <v>6</v>
      </c>
      <c r="BC98" s="2">
        <v>5</v>
      </c>
      <c r="BD98" s="2">
        <v>4</v>
      </c>
      <c r="BE98" s="2">
        <v>3</v>
      </c>
      <c r="BF98" s="2">
        <v>2</v>
      </c>
      <c r="BG98" s="2">
        <v>1</v>
      </c>
      <c r="BH98" s="2">
        <v>2</v>
      </c>
      <c r="BI98" s="2">
        <v>3</v>
      </c>
      <c r="BJ98" s="2">
        <v>4</v>
      </c>
      <c r="BK98" s="2">
        <v>5</v>
      </c>
      <c r="BL98" s="2">
        <v>6</v>
      </c>
      <c r="BM98" s="2">
        <v>7</v>
      </c>
      <c r="BN98" s="2">
        <v>8</v>
      </c>
      <c r="BO98" s="2">
        <v>9</v>
      </c>
      <c r="BP98" s="79" t="s">
        <v>3</v>
      </c>
      <c r="BQ98" s="79"/>
      <c r="BR98" s="79"/>
      <c r="BU98" s="60"/>
      <c r="BV98" s="60"/>
      <c r="BW98" s="60" t="s">
        <v>13</v>
      </c>
      <c r="BX98" s="60"/>
      <c r="BY98" s="60" t="s">
        <v>14</v>
      </c>
      <c r="BZ98" s="60"/>
      <c r="CA98" s="60" t="s">
        <v>15</v>
      </c>
      <c r="CB98" s="60"/>
      <c r="CQ98" s="79" t="s">
        <v>2</v>
      </c>
      <c r="CR98" s="79"/>
      <c r="CS98" s="79"/>
      <c r="CT98" s="2">
        <v>9</v>
      </c>
      <c r="CU98" s="2">
        <v>8</v>
      </c>
      <c r="CV98" s="2">
        <v>7</v>
      </c>
      <c r="CW98" s="2">
        <v>6</v>
      </c>
      <c r="CX98" s="2">
        <v>5</v>
      </c>
      <c r="CY98" s="2">
        <v>4</v>
      </c>
      <c r="CZ98" s="2">
        <v>3</v>
      </c>
      <c r="DA98" s="2">
        <v>2</v>
      </c>
      <c r="DB98" s="2">
        <v>1</v>
      </c>
      <c r="DC98" s="2">
        <v>2</v>
      </c>
      <c r="DD98" s="2">
        <v>3</v>
      </c>
      <c r="DE98" s="2">
        <v>4</v>
      </c>
      <c r="DF98" s="2">
        <v>5</v>
      </c>
      <c r="DG98" s="2">
        <v>6</v>
      </c>
      <c r="DH98" s="2">
        <v>7</v>
      </c>
      <c r="DI98" s="2">
        <v>8</v>
      </c>
      <c r="DJ98" s="2">
        <v>9</v>
      </c>
      <c r="DK98" s="79" t="s">
        <v>3</v>
      </c>
      <c r="DL98" s="79"/>
      <c r="DM98" s="79"/>
      <c r="DP98" s="60"/>
      <c r="DQ98" s="60"/>
      <c r="DR98" s="60" t="s">
        <v>13</v>
      </c>
      <c r="DS98" s="60"/>
      <c r="DT98" s="60" t="s">
        <v>14</v>
      </c>
      <c r="DU98" s="60"/>
      <c r="DV98" s="60" t="s">
        <v>15</v>
      </c>
      <c r="DW98" s="60"/>
      <c r="EL98" s="79" t="s">
        <v>2</v>
      </c>
      <c r="EM98" s="79"/>
      <c r="EN98" s="79"/>
      <c r="EO98" s="2">
        <v>9</v>
      </c>
      <c r="EP98" s="2">
        <v>8</v>
      </c>
      <c r="EQ98" s="2">
        <v>7</v>
      </c>
      <c r="ER98" s="2">
        <v>6</v>
      </c>
      <c r="ES98" s="2">
        <v>5</v>
      </c>
      <c r="ET98" s="2">
        <v>4</v>
      </c>
      <c r="EU98" s="2">
        <v>3</v>
      </c>
      <c r="EV98" s="2">
        <v>2</v>
      </c>
      <c r="EW98" s="2">
        <v>1</v>
      </c>
      <c r="EX98" s="2">
        <v>2</v>
      </c>
      <c r="EY98" s="2">
        <v>3</v>
      </c>
      <c r="EZ98" s="2">
        <v>4</v>
      </c>
      <c r="FA98" s="2">
        <v>5</v>
      </c>
      <c r="FB98" s="2">
        <v>6</v>
      </c>
      <c r="FC98" s="2">
        <v>7</v>
      </c>
      <c r="FD98" s="2">
        <v>8</v>
      </c>
      <c r="FE98" s="2">
        <v>9</v>
      </c>
      <c r="FF98" s="79" t="s">
        <v>3</v>
      </c>
      <c r="FG98" s="79"/>
      <c r="FH98" s="79"/>
      <c r="FK98" s="60"/>
      <c r="FL98" s="60"/>
      <c r="FM98" s="60" t="s">
        <v>13</v>
      </c>
      <c r="FN98" s="60"/>
      <c r="FO98" s="60" t="s">
        <v>14</v>
      </c>
      <c r="FP98" s="60"/>
      <c r="FQ98" s="60" t="s">
        <v>15</v>
      </c>
      <c r="FR98" s="60"/>
    </row>
    <row r="99" spans="1:182" x14ac:dyDescent="0.35">
      <c r="A99" s="80" t="s">
        <v>13</v>
      </c>
      <c r="B99" s="80"/>
      <c r="C99" s="80"/>
      <c r="D99" s="2"/>
      <c r="E99" s="2"/>
      <c r="F99" s="5"/>
      <c r="G99" s="2"/>
      <c r="H99" s="5"/>
      <c r="I99" s="2"/>
      <c r="J99" s="2"/>
      <c r="K99" s="2"/>
      <c r="L99" s="2"/>
      <c r="M99" s="2"/>
      <c r="N99" s="2"/>
      <c r="O99" s="2"/>
      <c r="P99" s="2"/>
      <c r="Q99" s="2"/>
      <c r="R99" s="3"/>
      <c r="S99" s="2"/>
      <c r="T99" s="2"/>
      <c r="U99" s="80" t="s">
        <v>14</v>
      </c>
      <c r="V99" s="80"/>
      <c r="W99" s="80"/>
      <c r="Z99" s="60"/>
      <c r="AA99" s="60"/>
      <c r="AB99" s="60"/>
      <c r="AC99" s="60"/>
      <c r="AD99" s="60"/>
      <c r="AE99" s="60"/>
      <c r="AF99" s="60"/>
      <c r="AG99" s="60"/>
      <c r="AV99" s="80" t="s">
        <v>13</v>
      </c>
      <c r="AW99" s="80"/>
      <c r="AX99" s="80"/>
      <c r="AY99" s="2"/>
      <c r="AZ99" s="2"/>
      <c r="BA99" s="5"/>
      <c r="BB99" s="2"/>
      <c r="BC99" s="5"/>
      <c r="BD99" s="2"/>
      <c r="BE99" s="2"/>
      <c r="BF99" s="2"/>
      <c r="BG99" s="2"/>
      <c r="BH99" s="2"/>
      <c r="BI99" s="2"/>
      <c r="BJ99" s="2"/>
      <c r="BK99" s="2"/>
      <c r="BL99" s="2"/>
      <c r="BM99" s="3"/>
      <c r="BN99" s="2"/>
      <c r="BO99" s="2"/>
      <c r="BP99" s="80" t="s">
        <v>14</v>
      </c>
      <c r="BQ99" s="80"/>
      <c r="BR99" s="80"/>
      <c r="BU99" s="60"/>
      <c r="BV99" s="60"/>
      <c r="BW99" s="60"/>
      <c r="BX99" s="60"/>
      <c r="BY99" s="60"/>
      <c r="BZ99" s="60"/>
      <c r="CA99" s="60"/>
      <c r="CB99" s="60"/>
      <c r="CQ99" s="80" t="s">
        <v>13</v>
      </c>
      <c r="CR99" s="80"/>
      <c r="CS99" s="80"/>
      <c r="CT99" s="2"/>
      <c r="CU99" s="2"/>
      <c r="CV99" s="5"/>
      <c r="CW99" s="2"/>
      <c r="CX99" s="3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80" t="s">
        <v>14</v>
      </c>
      <c r="DL99" s="80"/>
      <c r="DM99" s="80"/>
      <c r="DP99" s="60"/>
      <c r="DQ99" s="60"/>
      <c r="DR99" s="60"/>
      <c r="DS99" s="60"/>
      <c r="DT99" s="60"/>
      <c r="DU99" s="60"/>
      <c r="DV99" s="60"/>
      <c r="DW99" s="60"/>
      <c r="EL99" s="80" t="s">
        <v>13</v>
      </c>
      <c r="EM99" s="80"/>
      <c r="EN99" s="80"/>
      <c r="EO99" s="2"/>
      <c r="EP99" s="2"/>
      <c r="EQ99" s="5"/>
      <c r="ER99" s="2"/>
      <c r="ES99" s="3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80" t="s">
        <v>14</v>
      </c>
      <c r="FG99" s="80"/>
      <c r="FH99" s="80"/>
      <c r="FK99" s="60"/>
      <c r="FL99" s="60"/>
      <c r="FM99" s="60"/>
      <c r="FN99" s="60"/>
      <c r="FO99" s="60"/>
      <c r="FP99" s="60"/>
      <c r="FQ99" s="60"/>
      <c r="FR99" s="60"/>
    </row>
    <row r="100" spans="1:182" x14ac:dyDescent="0.35">
      <c r="A100" s="80" t="s">
        <v>13</v>
      </c>
      <c r="B100" s="80"/>
      <c r="C100" s="80"/>
      <c r="D100" s="2"/>
      <c r="E100" s="2"/>
      <c r="F100" s="2"/>
      <c r="G100" s="2"/>
      <c r="H100" s="3"/>
      <c r="I100" s="2"/>
      <c r="J100" s="5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80" t="s">
        <v>15</v>
      </c>
      <c r="V100" s="80"/>
      <c r="W100" s="80"/>
      <c r="Z100" s="60" t="s">
        <v>13</v>
      </c>
      <c r="AA100" s="60"/>
      <c r="AB100" s="62">
        <v>1</v>
      </c>
      <c r="AC100" s="62"/>
      <c r="AD100" s="60">
        <v>7</v>
      </c>
      <c r="AE100" s="60"/>
      <c r="AF100" s="63">
        <f>1/5</f>
        <v>0.2</v>
      </c>
      <c r="AG100" s="64"/>
      <c r="AV100" s="80" t="s">
        <v>13</v>
      </c>
      <c r="AW100" s="80"/>
      <c r="AX100" s="80"/>
      <c r="AY100" s="2"/>
      <c r="AZ100" s="2"/>
      <c r="BA100" s="2"/>
      <c r="BB100" s="2"/>
      <c r="BC100" s="3"/>
      <c r="BD100" s="2"/>
      <c r="BE100" s="5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80" t="s">
        <v>15</v>
      </c>
      <c r="BQ100" s="80"/>
      <c r="BR100" s="80"/>
      <c r="BU100" s="60" t="s">
        <v>13</v>
      </c>
      <c r="BV100" s="60"/>
      <c r="BW100" s="62">
        <v>1</v>
      </c>
      <c r="BX100" s="62"/>
      <c r="BY100" s="60">
        <v>7</v>
      </c>
      <c r="BZ100" s="60"/>
      <c r="CA100" s="63">
        <f>1/5</f>
        <v>0.2</v>
      </c>
      <c r="CB100" s="64"/>
      <c r="CQ100" s="80" t="s">
        <v>13</v>
      </c>
      <c r="CR100" s="80"/>
      <c r="CS100" s="80"/>
      <c r="CT100" s="2"/>
      <c r="CU100" s="2"/>
      <c r="CV100" s="2"/>
      <c r="CW100" s="2"/>
      <c r="CX100" s="2"/>
      <c r="CY100" s="2"/>
      <c r="CZ100" s="5"/>
      <c r="DA100" s="2"/>
      <c r="DB100" s="2"/>
      <c r="DC100" s="2"/>
      <c r="DD100" s="2"/>
      <c r="DE100" s="2"/>
      <c r="DF100" s="2"/>
      <c r="DG100" s="2"/>
      <c r="DH100" s="3"/>
      <c r="DI100" s="2"/>
      <c r="DJ100" s="2"/>
      <c r="DK100" s="80" t="s">
        <v>15</v>
      </c>
      <c r="DL100" s="80"/>
      <c r="DM100" s="80"/>
      <c r="DP100" s="60" t="s">
        <v>13</v>
      </c>
      <c r="DQ100" s="60"/>
      <c r="DR100" s="62">
        <v>1</v>
      </c>
      <c r="DS100" s="62"/>
      <c r="DT100" s="60">
        <f>1/5</f>
        <v>0.2</v>
      </c>
      <c r="DU100" s="60"/>
      <c r="DV100" s="63">
        <v>7</v>
      </c>
      <c r="DW100" s="64"/>
      <c r="EL100" s="80" t="s">
        <v>13</v>
      </c>
      <c r="EM100" s="80"/>
      <c r="EN100" s="80"/>
      <c r="EO100" s="2"/>
      <c r="EP100" s="2"/>
      <c r="EQ100" s="2"/>
      <c r="ER100" s="2"/>
      <c r="ES100" s="2"/>
      <c r="ET100" s="2"/>
      <c r="EU100" s="5"/>
      <c r="EV100" s="2"/>
      <c r="EW100" s="2"/>
      <c r="EX100" s="2"/>
      <c r="EY100" s="2"/>
      <c r="EZ100" s="2"/>
      <c r="FA100" s="2"/>
      <c r="FB100" s="2"/>
      <c r="FC100" s="2"/>
      <c r="FD100" s="2"/>
      <c r="FE100" s="3"/>
      <c r="FF100" s="80" t="s">
        <v>15</v>
      </c>
      <c r="FG100" s="80"/>
      <c r="FH100" s="80"/>
      <c r="FK100" s="60" t="s">
        <v>13</v>
      </c>
      <c r="FL100" s="60"/>
      <c r="FM100" s="62">
        <v>1</v>
      </c>
      <c r="FN100" s="62"/>
      <c r="FO100" s="60">
        <f>1/5</f>
        <v>0.2</v>
      </c>
      <c r="FP100" s="60"/>
      <c r="FQ100" s="63">
        <v>7</v>
      </c>
      <c r="FR100" s="64"/>
    </row>
    <row r="101" spans="1:182" x14ac:dyDescent="0.35">
      <c r="Z101" s="60"/>
      <c r="AA101" s="60"/>
      <c r="AB101" s="62"/>
      <c r="AC101" s="62"/>
      <c r="AD101" s="60"/>
      <c r="AE101" s="60"/>
      <c r="AF101" s="65"/>
      <c r="AG101" s="66"/>
      <c r="BU101" s="60"/>
      <c r="BV101" s="60"/>
      <c r="BW101" s="62"/>
      <c r="BX101" s="62"/>
      <c r="BY101" s="60"/>
      <c r="BZ101" s="60"/>
      <c r="CA101" s="65"/>
      <c r="CB101" s="66"/>
      <c r="DP101" s="60"/>
      <c r="DQ101" s="60"/>
      <c r="DR101" s="62"/>
      <c r="DS101" s="62"/>
      <c r="DT101" s="60"/>
      <c r="DU101" s="60"/>
      <c r="DV101" s="65"/>
      <c r="DW101" s="66"/>
      <c r="FK101" s="60"/>
      <c r="FL101" s="60"/>
      <c r="FM101" s="62"/>
      <c r="FN101" s="62"/>
      <c r="FO101" s="60"/>
      <c r="FP101" s="60"/>
      <c r="FQ101" s="65"/>
      <c r="FR101" s="66"/>
    </row>
    <row r="102" spans="1:182" x14ac:dyDescent="0.35">
      <c r="A102" s="79" t="s">
        <v>2</v>
      </c>
      <c r="B102" s="79"/>
      <c r="C102" s="79"/>
      <c r="D102" s="2">
        <v>9</v>
      </c>
      <c r="E102" s="2">
        <v>8</v>
      </c>
      <c r="F102" s="2">
        <v>7</v>
      </c>
      <c r="G102" s="2">
        <v>6</v>
      </c>
      <c r="H102" s="2">
        <v>5</v>
      </c>
      <c r="I102" s="2">
        <v>4</v>
      </c>
      <c r="J102" s="2">
        <v>3</v>
      </c>
      <c r="K102" s="2">
        <v>2</v>
      </c>
      <c r="L102" s="2">
        <v>1</v>
      </c>
      <c r="M102" s="2">
        <v>2</v>
      </c>
      <c r="N102" s="2">
        <v>3</v>
      </c>
      <c r="O102" s="2">
        <v>4</v>
      </c>
      <c r="P102" s="2">
        <v>5</v>
      </c>
      <c r="Q102" s="2">
        <v>6</v>
      </c>
      <c r="R102" s="2">
        <v>7</v>
      </c>
      <c r="S102" s="2">
        <v>8</v>
      </c>
      <c r="T102" s="2">
        <v>9</v>
      </c>
      <c r="U102" s="79" t="s">
        <v>3</v>
      </c>
      <c r="V102" s="79"/>
      <c r="W102" s="79"/>
      <c r="Z102" s="60" t="s">
        <v>14</v>
      </c>
      <c r="AA102" s="60"/>
      <c r="AB102" s="60">
        <f>1/7</f>
        <v>0.14285714285714285</v>
      </c>
      <c r="AC102" s="60"/>
      <c r="AD102" s="62">
        <v>1</v>
      </c>
      <c r="AE102" s="62"/>
      <c r="AF102" s="60">
        <v>5</v>
      </c>
      <c r="AG102" s="60"/>
      <c r="AV102" s="79" t="s">
        <v>2</v>
      </c>
      <c r="AW102" s="79"/>
      <c r="AX102" s="79"/>
      <c r="AY102" s="2">
        <v>9</v>
      </c>
      <c r="AZ102" s="2">
        <v>8</v>
      </c>
      <c r="BA102" s="2">
        <v>7</v>
      </c>
      <c r="BB102" s="2">
        <v>6</v>
      </c>
      <c r="BC102" s="2">
        <v>5</v>
      </c>
      <c r="BD102" s="2">
        <v>4</v>
      </c>
      <c r="BE102" s="2">
        <v>3</v>
      </c>
      <c r="BF102" s="2">
        <v>2</v>
      </c>
      <c r="BG102" s="2">
        <v>1</v>
      </c>
      <c r="BH102" s="2">
        <v>2</v>
      </c>
      <c r="BI102" s="2">
        <v>3</v>
      </c>
      <c r="BJ102" s="2">
        <v>4</v>
      </c>
      <c r="BK102" s="2">
        <v>5</v>
      </c>
      <c r="BL102" s="2">
        <v>6</v>
      </c>
      <c r="BM102" s="2">
        <v>7</v>
      </c>
      <c r="BN102" s="2">
        <v>8</v>
      </c>
      <c r="BO102" s="2">
        <v>9</v>
      </c>
      <c r="BP102" s="79" t="s">
        <v>3</v>
      </c>
      <c r="BQ102" s="79"/>
      <c r="BR102" s="79"/>
      <c r="BU102" s="60" t="s">
        <v>14</v>
      </c>
      <c r="BV102" s="60"/>
      <c r="BW102" s="60">
        <f>1/7</f>
        <v>0.14285714285714285</v>
      </c>
      <c r="BX102" s="60"/>
      <c r="BY102" s="62">
        <v>1</v>
      </c>
      <c r="BZ102" s="62"/>
      <c r="CA102" s="60">
        <v>6</v>
      </c>
      <c r="CB102" s="60"/>
      <c r="CQ102" s="79" t="s">
        <v>2</v>
      </c>
      <c r="CR102" s="79"/>
      <c r="CS102" s="79"/>
      <c r="CT102" s="2">
        <v>9</v>
      </c>
      <c r="CU102" s="2">
        <v>8</v>
      </c>
      <c r="CV102" s="2">
        <v>7</v>
      </c>
      <c r="CW102" s="2">
        <v>6</v>
      </c>
      <c r="CX102" s="2">
        <v>5</v>
      </c>
      <c r="CY102" s="2">
        <v>4</v>
      </c>
      <c r="CZ102" s="2">
        <v>3</v>
      </c>
      <c r="DA102" s="2">
        <v>2</v>
      </c>
      <c r="DB102" s="2">
        <v>1</v>
      </c>
      <c r="DC102" s="2">
        <v>2</v>
      </c>
      <c r="DD102" s="2">
        <v>3</v>
      </c>
      <c r="DE102" s="2">
        <v>4</v>
      </c>
      <c r="DF102" s="2">
        <v>5</v>
      </c>
      <c r="DG102" s="2">
        <v>6</v>
      </c>
      <c r="DH102" s="2">
        <v>7</v>
      </c>
      <c r="DI102" s="2">
        <v>8</v>
      </c>
      <c r="DJ102" s="2">
        <v>9</v>
      </c>
      <c r="DK102" s="79" t="s">
        <v>3</v>
      </c>
      <c r="DL102" s="79"/>
      <c r="DM102" s="79"/>
      <c r="DP102" s="60" t="s">
        <v>14</v>
      </c>
      <c r="DQ102" s="60"/>
      <c r="DR102" s="60">
        <v>5</v>
      </c>
      <c r="DS102" s="60"/>
      <c r="DT102" s="62">
        <v>1</v>
      </c>
      <c r="DU102" s="62"/>
      <c r="DV102" s="60">
        <f>1/5</f>
        <v>0.2</v>
      </c>
      <c r="DW102" s="60"/>
      <c r="EL102" s="79" t="s">
        <v>2</v>
      </c>
      <c r="EM102" s="79"/>
      <c r="EN102" s="79"/>
      <c r="EO102" s="2">
        <v>9</v>
      </c>
      <c r="EP102" s="2">
        <v>8</v>
      </c>
      <c r="EQ102" s="2">
        <v>7</v>
      </c>
      <c r="ER102" s="2">
        <v>6</v>
      </c>
      <c r="ES102" s="2">
        <v>5</v>
      </c>
      <c r="ET102" s="2">
        <v>4</v>
      </c>
      <c r="EU102" s="2">
        <v>3</v>
      </c>
      <c r="EV102" s="2">
        <v>2</v>
      </c>
      <c r="EW102" s="2">
        <v>1</v>
      </c>
      <c r="EX102" s="2">
        <v>2</v>
      </c>
      <c r="EY102" s="2">
        <v>3</v>
      </c>
      <c r="EZ102" s="2">
        <v>4</v>
      </c>
      <c r="FA102" s="2">
        <v>5</v>
      </c>
      <c r="FB102" s="2">
        <v>6</v>
      </c>
      <c r="FC102" s="2">
        <v>7</v>
      </c>
      <c r="FD102" s="2">
        <v>8</v>
      </c>
      <c r="FE102" s="2">
        <v>9</v>
      </c>
      <c r="FF102" s="79" t="s">
        <v>3</v>
      </c>
      <c r="FG102" s="79"/>
      <c r="FH102" s="79"/>
      <c r="FK102" s="60" t="s">
        <v>14</v>
      </c>
      <c r="FL102" s="60"/>
      <c r="FM102" s="60">
        <v>5</v>
      </c>
      <c r="FN102" s="60"/>
      <c r="FO102" s="62">
        <v>1</v>
      </c>
      <c r="FP102" s="62"/>
      <c r="FQ102" s="60">
        <f>1/5</f>
        <v>0.2</v>
      </c>
      <c r="FR102" s="60"/>
    </row>
    <row r="103" spans="1:182" x14ac:dyDescent="0.35">
      <c r="A103" s="80" t="s">
        <v>14</v>
      </c>
      <c r="B103" s="80"/>
      <c r="C103" s="80"/>
      <c r="D103" s="2"/>
      <c r="E103" s="2"/>
      <c r="F103" s="2"/>
      <c r="G103" s="2"/>
      <c r="H103" s="2"/>
      <c r="I103" s="2"/>
      <c r="J103" s="5"/>
      <c r="K103" s="2"/>
      <c r="L103" s="2"/>
      <c r="M103" s="2"/>
      <c r="N103" s="2"/>
      <c r="O103" s="2"/>
      <c r="P103" s="3"/>
      <c r="Q103" s="2"/>
      <c r="R103" s="2"/>
      <c r="S103" s="2"/>
      <c r="T103" s="2"/>
      <c r="U103" s="80" t="s">
        <v>15</v>
      </c>
      <c r="V103" s="80"/>
      <c r="W103" s="80"/>
      <c r="Z103" s="60"/>
      <c r="AA103" s="60"/>
      <c r="AB103" s="60"/>
      <c r="AC103" s="60"/>
      <c r="AD103" s="62"/>
      <c r="AE103" s="62"/>
      <c r="AF103" s="60"/>
      <c r="AG103" s="60"/>
      <c r="AV103" s="80" t="s">
        <v>14</v>
      </c>
      <c r="AW103" s="80"/>
      <c r="AX103" s="80"/>
      <c r="AY103" s="2"/>
      <c r="AZ103" s="2"/>
      <c r="BA103" s="2"/>
      <c r="BB103" s="2"/>
      <c r="BC103" s="2"/>
      <c r="BD103" s="2"/>
      <c r="BE103" s="5"/>
      <c r="BF103" s="2"/>
      <c r="BG103" s="2"/>
      <c r="BH103" s="2"/>
      <c r="BI103" s="2"/>
      <c r="BJ103" s="2"/>
      <c r="BK103" s="2"/>
      <c r="BL103" s="3"/>
      <c r="BM103" s="2"/>
      <c r="BN103" s="2"/>
      <c r="BO103" s="2"/>
      <c r="BP103" s="80" t="s">
        <v>15</v>
      </c>
      <c r="BQ103" s="80"/>
      <c r="BR103" s="80"/>
      <c r="BU103" s="60"/>
      <c r="BV103" s="60"/>
      <c r="BW103" s="60"/>
      <c r="BX103" s="60"/>
      <c r="BY103" s="62"/>
      <c r="BZ103" s="62"/>
      <c r="CA103" s="60"/>
      <c r="CB103" s="60"/>
      <c r="CQ103" s="80" t="s">
        <v>14</v>
      </c>
      <c r="CR103" s="80"/>
      <c r="CS103" s="80"/>
      <c r="CT103" s="2"/>
      <c r="CU103" s="2"/>
      <c r="CV103" s="2"/>
      <c r="CW103" s="2"/>
      <c r="CX103" s="3"/>
      <c r="CY103" s="2"/>
      <c r="CZ103" s="5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80" t="s">
        <v>15</v>
      </c>
      <c r="DL103" s="80"/>
      <c r="DM103" s="80"/>
      <c r="DP103" s="60"/>
      <c r="DQ103" s="60"/>
      <c r="DR103" s="60"/>
      <c r="DS103" s="60"/>
      <c r="DT103" s="62"/>
      <c r="DU103" s="62"/>
      <c r="DV103" s="60"/>
      <c r="DW103" s="60"/>
      <c r="EL103" s="80" t="s">
        <v>14</v>
      </c>
      <c r="EM103" s="80"/>
      <c r="EN103" s="80"/>
      <c r="EO103" s="2"/>
      <c r="EP103" s="2"/>
      <c r="EQ103" s="2"/>
      <c r="ER103" s="2"/>
      <c r="ES103" s="2"/>
      <c r="ET103" s="2"/>
      <c r="EU103" s="3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80" t="s">
        <v>15</v>
      </c>
      <c r="FG103" s="80"/>
      <c r="FH103" s="80"/>
      <c r="FK103" s="60"/>
      <c r="FL103" s="60"/>
      <c r="FM103" s="60"/>
      <c r="FN103" s="60"/>
      <c r="FO103" s="62"/>
      <c r="FP103" s="62"/>
      <c r="FQ103" s="60"/>
      <c r="FR103" s="60"/>
    </row>
    <row r="104" spans="1:182" x14ac:dyDescent="0.35">
      <c r="Z104" s="60" t="s">
        <v>15</v>
      </c>
      <c r="AA104" s="60"/>
      <c r="AB104" s="60">
        <v>5</v>
      </c>
      <c r="AC104" s="60"/>
      <c r="AD104" s="60">
        <f>1/5</f>
        <v>0.2</v>
      </c>
      <c r="AE104" s="60"/>
      <c r="AF104" s="62">
        <v>1</v>
      </c>
      <c r="AG104" s="62"/>
      <c r="BU104" s="60" t="s">
        <v>15</v>
      </c>
      <c r="BV104" s="60"/>
      <c r="BW104" s="60">
        <v>5</v>
      </c>
      <c r="BX104" s="60"/>
      <c r="BY104" s="60">
        <f>1/6</f>
        <v>0.16666666666666666</v>
      </c>
      <c r="BZ104" s="60"/>
      <c r="CA104" s="62">
        <v>1</v>
      </c>
      <c r="CB104" s="62"/>
      <c r="DP104" s="60" t="s">
        <v>15</v>
      </c>
      <c r="DQ104" s="60"/>
      <c r="DR104" s="60">
        <f>1/7</f>
        <v>0.14285714285714285</v>
      </c>
      <c r="DS104" s="60"/>
      <c r="DT104" s="60">
        <v>5</v>
      </c>
      <c r="DU104" s="60"/>
      <c r="DV104" s="62">
        <v>1</v>
      </c>
      <c r="DW104" s="62"/>
      <c r="FK104" s="60" t="s">
        <v>15</v>
      </c>
      <c r="FL104" s="60"/>
      <c r="FM104" s="60">
        <f>1/7</f>
        <v>0.14285714285714285</v>
      </c>
      <c r="FN104" s="60"/>
      <c r="FO104" s="60">
        <v>5</v>
      </c>
      <c r="FP104" s="60"/>
      <c r="FQ104" s="62">
        <v>1</v>
      </c>
      <c r="FR104" s="62"/>
    </row>
    <row r="105" spans="1:182" x14ac:dyDescent="0.35">
      <c r="Z105" s="60"/>
      <c r="AA105" s="60"/>
      <c r="AB105" s="60"/>
      <c r="AC105" s="60"/>
      <c r="AD105" s="60"/>
      <c r="AE105" s="60"/>
      <c r="AF105" s="62"/>
      <c r="AG105" s="62"/>
      <c r="BU105" s="60"/>
      <c r="BV105" s="60"/>
      <c r="BW105" s="60"/>
      <c r="BX105" s="60"/>
      <c r="BY105" s="60"/>
      <c r="BZ105" s="60"/>
      <c r="CA105" s="62"/>
      <c r="CB105" s="62"/>
      <c r="DP105" s="60"/>
      <c r="DQ105" s="60"/>
      <c r="DR105" s="60"/>
      <c r="DS105" s="60"/>
      <c r="DT105" s="60"/>
      <c r="DU105" s="60"/>
      <c r="DV105" s="62"/>
      <c r="DW105" s="62"/>
      <c r="FK105" s="60"/>
      <c r="FL105" s="60"/>
      <c r="FM105" s="60"/>
      <c r="FN105" s="60"/>
      <c r="FO105" s="60"/>
      <c r="FP105" s="60"/>
      <c r="FQ105" s="62"/>
      <c r="FR105" s="62"/>
    </row>
    <row r="106" spans="1:182" x14ac:dyDescent="0.35">
      <c r="A106" s="8" t="s">
        <v>16</v>
      </c>
      <c r="AV106" s="8" t="s">
        <v>16</v>
      </c>
      <c r="CQ106" s="8" t="s">
        <v>16</v>
      </c>
      <c r="EL106" s="8" t="s">
        <v>16</v>
      </c>
    </row>
    <row r="108" spans="1:182" x14ac:dyDescent="0.35">
      <c r="A108" s="79" t="s">
        <v>2</v>
      </c>
      <c r="B108" s="79"/>
      <c r="C108" s="79"/>
      <c r="D108" s="2">
        <v>9</v>
      </c>
      <c r="E108" s="2">
        <v>8</v>
      </c>
      <c r="F108" s="2">
        <v>7</v>
      </c>
      <c r="G108" s="2">
        <v>6</v>
      </c>
      <c r="H108" s="2">
        <v>5</v>
      </c>
      <c r="I108" s="2">
        <v>4</v>
      </c>
      <c r="J108" s="2">
        <v>3</v>
      </c>
      <c r="K108" s="2">
        <v>2</v>
      </c>
      <c r="L108" s="2">
        <v>1</v>
      </c>
      <c r="M108" s="2">
        <v>2</v>
      </c>
      <c r="N108" s="2">
        <v>3</v>
      </c>
      <c r="O108" s="2">
        <v>4</v>
      </c>
      <c r="P108" s="2">
        <v>5</v>
      </c>
      <c r="Q108" s="2">
        <v>6</v>
      </c>
      <c r="R108" s="2">
        <v>7</v>
      </c>
      <c r="S108" s="2">
        <v>8</v>
      </c>
      <c r="T108" s="2">
        <v>9</v>
      </c>
      <c r="U108" s="79" t="s">
        <v>3</v>
      </c>
      <c r="V108" s="79"/>
      <c r="W108" s="79"/>
      <c r="Z108" s="60"/>
      <c r="AA108" s="60"/>
      <c r="AB108" s="60" t="s">
        <v>17</v>
      </c>
      <c r="AC108" s="60"/>
      <c r="AD108" s="60" t="s">
        <v>18</v>
      </c>
      <c r="AE108" s="60"/>
      <c r="AF108" s="60" t="s">
        <v>19</v>
      </c>
      <c r="AG108" s="60"/>
      <c r="AH108" s="60" t="s">
        <v>31</v>
      </c>
      <c r="AI108" s="60"/>
      <c r="AJ108" s="60" t="s">
        <v>20</v>
      </c>
      <c r="AK108" s="60"/>
      <c r="AL108" s="60" t="s">
        <v>21</v>
      </c>
      <c r="AM108" s="60"/>
      <c r="AN108" s="60" t="s">
        <v>22</v>
      </c>
      <c r="AO108" s="60"/>
      <c r="AP108" s="60" t="s">
        <v>83</v>
      </c>
      <c r="AQ108" s="60"/>
      <c r="AV108" s="79" t="s">
        <v>2</v>
      </c>
      <c r="AW108" s="79"/>
      <c r="AX108" s="79"/>
      <c r="AY108" s="2">
        <v>9</v>
      </c>
      <c r="AZ108" s="2">
        <v>8</v>
      </c>
      <c r="BA108" s="2">
        <v>7</v>
      </c>
      <c r="BB108" s="2">
        <v>6</v>
      </c>
      <c r="BC108" s="2">
        <v>5</v>
      </c>
      <c r="BD108" s="2">
        <v>4</v>
      </c>
      <c r="BE108" s="2">
        <v>3</v>
      </c>
      <c r="BF108" s="2">
        <v>2</v>
      </c>
      <c r="BG108" s="2">
        <v>1</v>
      </c>
      <c r="BH108" s="2">
        <v>2</v>
      </c>
      <c r="BI108" s="2">
        <v>3</v>
      </c>
      <c r="BJ108" s="2">
        <v>4</v>
      </c>
      <c r="BK108" s="2">
        <v>5</v>
      </c>
      <c r="BL108" s="2">
        <v>6</v>
      </c>
      <c r="BM108" s="2">
        <v>7</v>
      </c>
      <c r="BN108" s="2">
        <v>8</v>
      </c>
      <c r="BO108" s="2">
        <v>9</v>
      </c>
      <c r="BP108" s="79" t="s">
        <v>3</v>
      </c>
      <c r="BQ108" s="79"/>
      <c r="BR108" s="79"/>
      <c r="BU108" s="60"/>
      <c r="BV108" s="60"/>
      <c r="BW108" s="60" t="s">
        <v>17</v>
      </c>
      <c r="BX108" s="60"/>
      <c r="BY108" s="60" t="s">
        <v>18</v>
      </c>
      <c r="BZ108" s="60"/>
      <c r="CA108" s="60" t="s">
        <v>19</v>
      </c>
      <c r="CB108" s="60"/>
      <c r="CC108" s="60" t="s">
        <v>31</v>
      </c>
      <c r="CD108" s="60"/>
      <c r="CE108" s="60" t="s">
        <v>20</v>
      </c>
      <c r="CF108" s="60"/>
      <c r="CG108" s="60" t="s">
        <v>21</v>
      </c>
      <c r="CH108" s="60"/>
      <c r="CI108" s="60" t="s">
        <v>22</v>
      </c>
      <c r="CJ108" s="60"/>
      <c r="CK108" s="60" t="s">
        <v>83</v>
      </c>
      <c r="CL108" s="60"/>
      <c r="CQ108" s="79" t="s">
        <v>2</v>
      </c>
      <c r="CR108" s="79"/>
      <c r="CS108" s="79"/>
      <c r="CT108" s="2">
        <v>9</v>
      </c>
      <c r="CU108" s="2">
        <v>8</v>
      </c>
      <c r="CV108" s="2">
        <v>7</v>
      </c>
      <c r="CW108" s="2">
        <v>6</v>
      </c>
      <c r="CX108" s="2">
        <v>5</v>
      </c>
      <c r="CY108" s="2">
        <v>4</v>
      </c>
      <c r="CZ108" s="2">
        <v>3</v>
      </c>
      <c r="DA108" s="2">
        <v>2</v>
      </c>
      <c r="DB108" s="2">
        <v>1</v>
      </c>
      <c r="DC108" s="2">
        <v>2</v>
      </c>
      <c r="DD108" s="2">
        <v>3</v>
      </c>
      <c r="DE108" s="2">
        <v>4</v>
      </c>
      <c r="DF108" s="2">
        <v>5</v>
      </c>
      <c r="DG108" s="2">
        <v>6</v>
      </c>
      <c r="DH108" s="2">
        <v>7</v>
      </c>
      <c r="DI108" s="2">
        <v>8</v>
      </c>
      <c r="DJ108" s="2">
        <v>9</v>
      </c>
      <c r="DK108" s="79" t="s">
        <v>3</v>
      </c>
      <c r="DL108" s="79"/>
      <c r="DM108" s="79"/>
      <c r="DP108" s="60"/>
      <c r="DQ108" s="60"/>
      <c r="DR108" s="60" t="s">
        <v>17</v>
      </c>
      <c r="DS108" s="60"/>
      <c r="DT108" s="60" t="s">
        <v>18</v>
      </c>
      <c r="DU108" s="60"/>
      <c r="DV108" s="60" t="s">
        <v>19</v>
      </c>
      <c r="DW108" s="60"/>
      <c r="DX108" s="60" t="s">
        <v>31</v>
      </c>
      <c r="DY108" s="60"/>
      <c r="DZ108" s="60" t="s">
        <v>20</v>
      </c>
      <c r="EA108" s="60"/>
      <c r="EB108" s="60" t="s">
        <v>21</v>
      </c>
      <c r="EC108" s="60"/>
      <c r="ED108" s="60" t="s">
        <v>22</v>
      </c>
      <c r="EE108" s="60"/>
      <c r="EF108" s="60" t="s">
        <v>83</v>
      </c>
      <c r="EG108" s="60"/>
      <c r="EL108" s="79" t="s">
        <v>2</v>
      </c>
      <c r="EM108" s="79"/>
      <c r="EN108" s="79"/>
      <c r="EO108" s="2">
        <v>9</v>
      </c>
      <c r="EP108" s="2">
        <v>8</v>
      </c>
      <c r="EQ108" s="2">
        <v>7</v>
      </c>
      <c r="ER108" s="2">
        <v>6</v>
      </c>
      <c r="ES108" s="2">
        <v>5</v>
      </c>
      <c r="ET108" s="2">
        <v>4</v>
      </c>
      <c r="EU108" s="2">
        <v>3</v>
      </c>
      <c r="EV108" s="2">
        <v>2</v>
      </c>
      <c r="EW108" s="2">
        <v>1</v>
      </c>
      <c r="EX108" s="2">
        <v>2</v>
      </c>
      <c r="EY108" s="2">
        <v>3</v>
      </c>
      <c r="EZ108" s="2">
        <v>4</v>
      </c>
      <c r="FA108" s="2">
        <v>5</v>
      </c>
      <c r="FB108" s="2">
        <v>6</v>
      </c>
      <c r="FC108" s="2">
        <v>7</v>
      </c>
      <c r="FD108" s="2">
        <v>8</v>
      </c>
      <c r="FE108" s="2">
        <v>9</v>
      </c>
      <c r="FF108" s="79" t="s">
        <v>3</v>
      </c>
      <c r="FG108" s="79"/>
      <c r="FH108" s="79"/>
      <c r="FK108" s="60"/>
      <c r="FL108" s="60"/>
      <c r="FM108" s="60" t="s">
        <v>17</v>
      </c>
      <c r="FN108" s="60"/>
      <c r="FO108" s="60" t="s">
        <v>18</v>
      </c>
      <c r="FP108" s="60"/>
      <c r="FQ108" s="60" t="s">
        <v>19</v>
      </c>
      <c r="FR108" s="60"/>
      <c r="FS108" s="60" t="s">
        <v>31</v>
      </c>
      <c r="FT108" s="60"/>
      <c r="FU108" s="60" t="s">
        <v>20</v>
      </c>
      <c r="FV108" s="60"/>
      <c r="FW108" s="60" t="s">
        <v>21</v>
      </c>
      <c r="FX108" s="60"/>
      <c r="FY108" s="60" t="s">
        <v>22</v>
      </c>
      <c r="FZ108" s="60"/>
    </row>
    <row r="109" spans="1:182" x14ac:dyDescent="0.35">
      <c r="A109" s="80" t="s">
        <v>17</v>
      </c>
      <c r="B109" s="80"/>
      <c r="C109" s="80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Q109" s="2"/>
      <c r="R109" s="2"/>
      <c r="S109" s="2"/>
      <c r="T109" s="2"/>
      <c r="U109" s="80" t="s">
        <v>18</v>
      </c>
      <c r="V109" s="80"/>
      <c r="W109" s="8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V109" s="80" t="s">
        <v>17</v>
      </c>
      <c r="AW109" s="80"/>
      <c r="AX109" s="80"/>
      <c r="AY109" s="2"/>
      <c r="AZ109" s="2"/>
      <c r="BA109" s="3"/>
      <c r="BB109" s="2"/>
      <c r="BC109" s="2"/>
      <c r="BD109" s="2"/>
      <c r="BE109" s="2"/>
      <c r="BF109" s="2"/>
      <c r="BG109" s="2"/>
      <c r="BH109" s="2"/>
      <c r="BI109" s="2"/>
      <c r="BJ109" s="2"/>
      <c r="BK109" s="5"/>
      <c r="BL109" s="2"/>
      <c r="BM109" s="2"/>
      <c r="BN109" s="2"/>
      <c r="BO109" s="2"/>
      <c r="BP109" s="80" t="s">
        <v>18</v>
      </c>
      <c r="BQ109" s="80"/>
      <c r="BR109" s="8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Q109" s="80" t="s">
        <v>17</v>
      </c>
      <c r="CR109" s="80"/>
      <c r="CS109" s="80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3"/>
      <c r="DG109" s="2"/>
      <c r="DH109" s="2"/>
      <c r="DI109" s="2"/>
      <c r="DJ109" s="2"/>
      <c r="DK109" s="80" t="s">
        <v>18</v>
      </c>
      <c r="DL109" s="80"/>
      <c r="DM109" s="80"/>
      <c r="DP109" s="60"/>
      <c r="DQ109" s="60"/>
      <c r="DR109" s="60"/>
      <c r="DS109" s="60"/>
      <c r="DT109" s="60"/>
      <c r="DU109" s="60"/>
      <c r="DV109" s="60"/>
      <c r="DW109" s="60"/>
      <c r="DX109" s="60"/>
      <c r="DY109" s="60"/>
      <c r="DZ109" s="60"/>
      <c r="EA109" s="60"/>
      <c r="EB109" s="60"/>
      <c r="EC109" s="60"/>
      <c r="ED109" s="60"/>
      <c r="EE109" s="60"/>
      <c r="EF109" s="60"/>
      <c r="EG109" s="60"/>
      <c r="EL109" s="80" t="s">
        <v>17</v>
      </c>
      <c r="EM109" s="80"/>
      <c r="EN109" s="80"/>
      <c r="EO109" s="2"/>
      <c r="EP109" s="2"/>
      <c r="EQ109" s="3"/>
      <c r="ER109" s="2"/>
      <c r="ES109" s="2"/>
      <c r="ET109" s="2"/>
      <c r="EU109" s="2"/>
      <c r="EV109" s="2"/>
      <c r="EW109" s="2"/>
      <c r="EX109" s="2"/>
      <c r="EY109" s="2"/>
      <c r="EZ109" s="2"/>
      <c r="FA109" s="5"/>
      <c r="FB109" s="2"/>
      <c r="FC109" s="2"/>
      <c r="FD109" s="2"/>
      <c r="FE109" s="2"/>
      <c r="FF109" s="80" t="s">
        <v>18</v>
      </c>
      <c r="FG109" s="80"/>
      <c r="FH109" s="80"/>
      <c r="FK109" s="60"/>
      <c r="FL109" s="60"/>
      <c r="FM109" s="60"/>
      <c r="FN109" s="60"/>
      <c r="FO109" s="60"/>
      <c r="FP109" s="60"/>
      <c r="FQ109" s="60"/>
      <c r="FR109" s="60"/>
      <c r="FS109" s="60"/>
      <c r="FT109" s="60"/>
      <c r="FU109" s="60"/>
      <c r="FV109" s="60"/>
      <c r="FW109" s="60"/>
      <c r="FX109" s="60"/>
      <c r="FY109" s="60"/>
      <c r="FZ109" s="60"/>
    </row>
    <row r="110" spans="1:182" x14ac:dyDescent="0.35">
      <c r="A110" s="80" t="s">
        <v>17</v>
      </c>
      <c r="B110" s="80"/>
      <c r="C110" s="80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"/>
      <c r="S110" s="2"/>
      <c r="T110" s="2"/>
      <c r="U110" s="80" t="s">
        <v>19</v>
      </c>
      <c r="V110" s="80"/>
      <c r="W110" s="80"/>
      <c r="Z110" s="60" t="s">
        <v>17</v>
      </c>
      <c r="AA110" s="60"/>
      <c r="AB110" s="62">
        <v>1</v>
      </c>
      <c r="AC110" s="62"/>
      <c r="AD110" s="60">
        <v>5</v>
      </c>
      <c r="AE110" s="60"/>
      <c r="AF110" s="63">
        <v>7</v>
      </c>
      <c r="AG110" s="64"/>
      <c r="AH110" s="60">
        <v>7</v>
      </c>
      <c r="AI110" s="60"/>
      <c r="AJ110" s="60">
        <f>1/5</f>
        <v>0.2</v>
      </c>
      <c r="AK110" s="60"/>
      <c r="AL110" s="60">
        <f>1/3</f>
        <v>0.33333333333333331</v>
      </c>
      <c r="AM110" s="60"/>
      <c r="AN110" s="60">
        <v>7</v>
      </c>
      <c r="AO110" s="60"/>
      <c r="AP110" s="60">
        <v>3</v>
      </c>
      <c r="AQ110" s="60"/>
      <c r="AV110" s="80" t="s">
        <v>17</v>
      </c>
      <c r="AW110" s="80"/>
      <c r="AX110" s="80"/>
      <c r="AY110" s="2"/>
      <c r="AZ110" s="2"/>
      <c r="BA110" s="2"/>
      <c r="BB110" s="2"/>
      <c r="BC110" s="3"/>
      <c r="BD110" s="2"/>
      <c r="BE110" s="2"/>
      <c r="BF110" s="2"/>
      <c r="BG110" s="2"/>
      <c r="BH110" s="2"/>
      <c r="BI110" s="2"/>
      <c r="BJ110" s="2"/>
      <c r="BK110" s="2"/>
      <c r="BL110" s="2"/>
      <c r="BM110" s="5"/>
      <c r="BN110" s="2"/>
      <c r="BO110" s="2"/>
      <c r="BP110" s="80" t="s">
        <v>19</v>
      </c>
      <c r="BQ110" s="80"/>
      <c r="BR110" s="80"/>
      <c r="BU110" s="60" t="s">
        <v>17</v>
      </c>
      <c r="BV110" s="60"/>
      <c r="BW110" s="62">
        <v>1</v>
      </c>
      <c r="BX110" s="62"/>
      <c r="BY110" s="60">
        <f>1/7</f>
        <v>0.14285714285714285</v>
      </c>
      <c r="BZ110" s="60"/>
      <c r="CA110" s="63">
        <f>1/5</f>
        <v>0.2</v>
      </c>
      <c r="CB110" s="64"/>
      <c r="CC110" s="60">
        <v>7</v>
      </c>
      <c r="CD110" s="60"/>
      <c r="CE110" s="60">
        <f>1/5</f>
        <v>0.2</v>
      </c>
      <c r="CF110" s="60"/>
      <c r="CG110" s="60">
        <v>5</v>
      </c>
      <c r="CH110" s="60"/>
      <c r="CI110" s="60">
        <v>7</v>
      </c>
      <c r="CJ110" s="60"/>
      <c r="CK110" s="60">
        <v>3</v>
      </c>
      <c r="CL110" s="60"/>
      <c r="CQ110" s="80" t="s">
        <v>17</v>
      </c>
      <c r="CR110" s="80"/>
      <c r="CS110" s="80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3"/>
      <c r="DI110" s="2"/>
      <c r="DJ110" s="2"/>
      <c r="DK110" s="80" t="s">
        <v>19</v>
      </c>
      <c r="DL110" s="80"/>
      <c r="DM110" s="80"/>
      <c r="DP110" s="60" t="s">
        <v>17</v>
      </c>
      <c r="DQ110" s="60"/>
      <c r="DR110" s="62">
        <v>1</v>
      </c>
      <c r="DS110" s="62"/>
      <c r="DT110" s="60">
        <v>5</v>
      </c>
      <c r="DU110" s="60"/>
      <c r="DV110" s="63">
        <v>7</v>
      </c>
      <c r="DW110" s="64"/>
      <c r="DX110" s="60">
        <v>7</v>
      </c>
      <c r="DY110" s="60"/>
      <c r="DZ110" s="60">
        <f>1/5</f>
        <v>0.2</v>
      </c>
      <c r="EA110" s="60"/>
      <c r="EB110" s="60">
        <f>1/3</f>
        <v>0.33333333333333331</v>
      </c>
      <c r="EC110" s="60"/>
      <c r="ED110" s="60">
        <v>7</v>
      </c>
      <c r="EE110" s="60"/>
      <c r="EF110" s="60">
        <v>3</v>
      </c>
      <c r="EG110" s="60"/>
      <c r="EL110" s="80" t="s">
        <v>17</v>
      </c>
      <c r="EM110" s="80"/>
      <c r="EN110" s="80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5"/>
      <c r="FD110" s="2"/>
      <c r="FE110" s="3"/>
      <c r="FF110" s="80" t="s">
        <v>19</v>
      </c>
      <c r="FG110" s="80"/>
      <c r="FH110" s="80"/>
      <c r="FK110" s="60" t="s">
        <v>17</v>
      </c>
      <c r="FL110" s="60"/>
      <c r="FM110" s="62">
        <v>1</v>
      </c>
      <c r="FN110" s="62"/>
      <c r="FO110" s="60">
        <v>5</v>
      </c>
      <c r="FP110" s="60"/>
      <c r="FQ110" s="63">
        <v>7</v>
      </c>
      <c r="FR110" s="64"/>
      <c r="FS110" s="60">
        <v>7</v>
      </c>
      <c r="FT110" s="60"/>
      <c r="FU110" s="60">
        <f>1/5</f>
        <v>0.2</v>
      </c>
      <c r="FV110" s="60"/>
      <c r="FW110" s="60">
        <f>1/3</f>
        <v>0.33333333333333331</v>
      </c>
      <c r="FX110" s="60"/>
      <c r="FY110" s="60">
        <v>7</v>
      </c>
      <c r="FZ110" s="60"/>
    </row>
    <row r="111" spans="1:182" x14ac:dyDescent="0.35">
      <c r="A111" s="80" t="s">
        <v>17</v>
      </c>
      <c r="B111" s="80"/>
      <c r="C111" s="80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"/>
      <c r="S111" s="2"/>
      <c r="T111" s="2"/>
      <c r="U111" s="80" t="s">
        <v>31</v>
      </c>
      <c r="V111" s="80"/>
      <c r="W111" s="80"/>
      <c r="Z111" s="60"/>
      <c r="AA111" s="60"/>
      <c r="AB111" s="62"/>
      <c r="AC111" s="62"/>
      <c r="AD111" s="60"/>
      <c r="AE111" s="60"/>
      <c r="AF111" s="65"/>
      <c r="AG111" s="66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V111" s="80" t="s">
        <v>17</v>
      </c>
      <c r="AW111" s="80"/>
      <c r="AX111" s="80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3"/>
      <c r="BN111" s="2"/>
      <c r="BO111" s="2"/>
      <c r="BP111" s="80" t="s">
        <v>31</v>
      </c>
      <c r="BQ111" s="80"/>
      <c r="BR111" s="80"/>
      <c r="BU111" s="60"/>
      <c r="BV111" s="60"/>
      <c r="BW111" s="62"/>
      <c r="BX111" s="62"/>
      <c r="BY111" s="60"/>
      <c r="BZ111" s="60"/>
      <c r="CA111" s="65"/>
      <c r="CB111" s="66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Q111" s="80" t="s">
        <v>17</v>
      </c>
      <c r="CR111" s="80"/>
      <c r="CS111" s="80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3"/>
      <c r="DI111" s="2"/>
      <c r="DJ111" s="2"/>
      <c r="DK111" s="80" t="s">
        <v>31</v>
      </c>
      <c r="DL111" s="80"/>
      <c r="DM111" s="80"/>
      <c r="DP111" s="60"/>
      <c r="DQ111" s="60"/>
      <c r="DR111" s="62"/>
      <c r="DS111" s="62"/>
      <c r="DT111" s="60"/>
      <c r="DU111" s="60"/>
      <c r="DV111" s="65"/>
      <c r="DW111" s="66"/>
      <c r="DX111" s="60"/>
      <c r="DY111" s="60"/>
      <c r="DZ111" s="60"/>
      <c r="EA111" s="60"/>
      <c r="EB111" s="60"/>
      <c r="EC111" s="60"/>
      <c r="ED111" s="60"/>
      <c r="EE111" s="60"/>
      <c r="EF111" s="60"/>
      <c r="EG111" s="60"/>
      <c r="EL111" s="80" t="s">
        <v>17</v>
      </c>
      <c r="EM111" s="80"/>
      <c r="EN111" s="80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3"/>
      <c r="FB111" s="2"/>
      <c r="FC111" s="5"/>
      <c r="FD111" s="2"/>
      <c r="FE111" s="2"/>
      <c r="FF111" s="80" t="s">
        <v>31</v>
      </c>
      <c r="FG111" s="80"/>
      <c r="FH111" s="80"/>
      <c r="FK111" s="60"/>
      <c r="FL111" s="60"/>
      <c r="FM111" s="62"/>
      <c r="FN111" s="62"/>
      <c r="FO111" s="60"/>
      <c r="FP111" s="60"/>
      <c r="FQ111" s="65"/>
      <c r="FR111" s="66"/>
      <c r="FS111" s="60"/>
      <c r="FT111" s="60"/>
      <c r="FU111" s="60"/>
      <c r="FV111" s="60"/>
      <c r="FW111" s="60"/>
      <c r="FX111" s="60"/>
      <c r="FY111" s="60"/>
      <c r="FZ111" s="60"/>
    </row>
    <row r="112" spans="1:182" x14ac:dyDescent="0.35">
      <c r="A112" s="80" t="s">
        <v>17</v>
      </c>
      <c r="B112" s="80"/>
      <c r="C112" s="80"/>
      <c r="D112" s="2"/>
      <c r="E112" s="2"/>
      <c r="F112" s="2"/>
      <c r="G112" s="2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80" t="s">
        <v>20</v>
      </c>
      <c r="V112" s="80"/>
      <c r="W112" s="80"/>
      <c r="Z112" s="60" t="s">
        <v>18</v>
      </c>
      <c r="AA112" s="60"/>
      <c r="AB112" s="60">
        <f>1/5</f>
        <v>0.2</v>
      </c>
      <c r="AC112" s="60"/>
      <c r="AD112" s="62">
        <v>1</v>
      </c>
      <c r="AE112" s="62"/>
      <c r="AF112" s="60">
        <f>1/7</f>
        <v>0.14285714285714285</v>
      </c>
      <c r="AG112" s="60"/>
      <c r="AH112" s="60">
        <f>1/5</f>
        <v>0.2</v>
      </c>
      <c r="AI112" s="60"/>
      <c r="AJ112" s="60">
        <f>1/5</f>
        <v>0.2</v>
      </c>
      <c r="AK112" s="60"/>
      <c r="AL112" s="60">
        <v>3</v>
      </c>
      <c r="AM112" s="60"/>
      <c r="AN112" s="60">
        <v>7</v>
      </c>
      <c r="AO112" s="60"/>
      <c r="AP112" s="60">
        <f>1/5</f>
        <v>0.2</v>
      </c>
      <c r="AQ112" s="60"/>
      <c r="AV112" s="80" t="s">
        <v>17</v>
      </c>
      <c r="AW112" s="80"/>
      <c r="AX112" s="80"/>
      <c r="AY112" s="2"/>
      <c r="AZ112" s="2"/>
      <c r="BA112" s="2"/>
      <c r="BB112" s="2"/>
      <c r="BC112" s="3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80" t="s">
        <v>20</v>
      </c>
      <c r="BQ112" s="80"/>
      <c r="BR112" s="80"/>
      <c r="BU112" s="60" t="s">
        <v>18</v>
      </c>
      <c r="BV112" s="60"/>
      <c r="BW112" s="60">
        <v>7</v>
      </c>
      <c r="BX112" s="60"/>
      <c r="BY112" s="62">
        <v>1</v>
      </c>
      <c r="BZ112" s="62"/>
      <c r="CA112" s="60">
        <v>5</v>
      </c>
      <c r="CB112" s="60"/>
      <c r="CC112" s="60">
        <v>3</v>
      </c>
      <c r="CD112" s="60"/>
      <c r="CE112" s="60">
        <f>1/5</f>
        <v>0.2</v>
      </c>
      <c r="CF112" s="60"/>
      <c r="CG112" s="60">
        <v>7</v>
      </c>
      <c r="CH112" s="60"/>
      <c r="CI112" s="60">
        <f>1/9</f>
        <v>0.1111111111111111</v>
      </c>
      <c r="CJ112" s="60"/>
      <c r="CK112" s="60">
        <f>1/5</f>
        <v>0.2</v>
      </c>
      <c r="CL112" s="60"/>
      <c r="CQ112" s="80" t="s">
        <v>17</v>
      </c>
      <c r="CR112" s="80"/>
      <c r="CS112" s="80"/>
      <c r="CT112" s="2"/>
      <c r="CU112" s="2"/>
      <c r="CV112" s="2"/>
      <c r="CW112" s="2"/>
      <c r="CX112" s="3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80" t="s">
        <v>20</v>
      </c>
      <c r="DL112" s="80"/>
      <c r="DM112" s="80"/>
      <c r="DP112" s="60" t="s">
        <v>18</v>
      </c>
      <c r="DQ112" s="60"/>
      <c r="DR112" s="60">
        <f>1/5</f>
        <v>0.2</v>
      </c>
      <c r="DS112" s="60"/>
      <c r="DT112" s="62">
        <v>1</v>
      </c>
      <c r="DU112" s="62"/>
      <c r="DV112" s="60">
        <v>4</v>
      </c>
      <c r="DW112" s="60"/>
      <c r="DX112" s="60">
        <f>1/6</f>
        <v>0.16666666666666666</v>
      </c>
      <c r="DY112" s="60"/>
      <c r="DZ112" s="60">
        <f>1/5</f>
        <v>0.2</v>
      </c>
      <c r="EA112" s="60"/>
      <c r="EB112" s="60">
        <v>3</v>
      </c>
      <c r="EC112" s="60"/>
      <c r="ED112" s="60">
        <v>7</v>
      </c>
      <c r="EE112" s="60"/>
      <c r="EF112" s="60">
        <f>1/5</f>
        <v>0.2</v>
      </c>
      <c r="EG112" s="60"/>
      <c r="EL112" s="80" t="s">
        <v>17</v>
      </c>
      <c r="EM112" s="80"/>
      <c r="EN112" s="80"/>
      <c r="EO112" s="2"/>
      <c r="EP112" s="2"/>
      <c r="EQ112" s="2"/>
      <c r="ER112" s="2"/>
      <c r="ES112" s="3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80" t="s">
        <v>20</v>
      </c>
      <c r="FG112" s="80"/>
      <c r="FH112" s="80"/>
      <c r="FK112" s="60" t="s">
        <v>18</v>
      </c>
      <c r="FL112" s="60"/>
      <c r="FM112" s="60">
        <f>1/5</f>
        <v>0.2</v>
      </c>
      <c r="FN112" s="60"/>
      <c r="FO112" s="62">
        <v>1</v>
      </c>
      <c r="FP112" s="62"/>
      <c r="FQ112" s="60">
        <v>4</v>
      </c>
      <c r="FR112" s="60"/>
      <c r="FS112" s="60">
        <f>1/6</f>
        <v>0.16666666666666666</v>
      </c>
      <c r="FT112" s="60"/>
      <c r="FU112" s="60">
        <f>1/5</f>
        <v>0.2</v>
      </c>
      <c r="FV112" s="60"/>
      <c r="FW112" s="60">
        <v>3</v>
      </c>
      <c r="FX112" s="60"/>
      <c r="FY112" s="60">
        <v>7</v>
      </c>
      <c r="FZ112" s="60"/>
    </row>
    <row r="113" spans="1:182" x14ac:dyDescent="0.35">
      <c r="A113" s="80" t="s">
        <v>17</v>
      </c>
      <c r="B113" s="80"/>
      <c r="C113" s="80"/>
      <c r="D113" s="2"/>
      <c r="E113" s="2"/>
      <c r="F113" s="2"/>
      <c r="G113" s="2"/>
      <c r="H113" s="2"/>
      <c r="I113" s="2"/>
      <c r="J113" s="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80" t="s">
        <v>21</v>
      </c>
      <c r="V113" s="80"/>
      <c r="W113" s="80"/>
      <c r="Z113" s="60"/>
      <c r="AA113" s="60"/>
      <c r="AB113" s="60"/>
      <c r="AC113" s="60"/>
      <c r="AD113" s="62"/>
      <c r="AE113" s="62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V113" s="80" t="s">
        <v>17</v>
      </c>
      <c r="AW113" s="80"/>
      <c r="AX113" s="80"/>
      <c r="AY113" s="2"/>
      <c r="AZ113" s="2"/>
      <c r="BA113" s="2"/>
      <c r="BB113" s="2"/>
      <c r="BC113" s="2"/>
      <c r="BD113" s="2"/>
      <c r="BE113" s="5"/>
      <c r="BF113" s="2"/>
      <c r="BG113" s="2"/>
      <c r="BH113" s="2"/>
      <c r="BI113" s="2"/>
      <c r="BJ113" s="2"/>
      <c r="BK113" s="3"/>
      <c r="BL113" s="2"/>
      <c r="BM113" s="2"/>
      <c r="BN113" s="2"/>
      <c r="BO113" s="2"/>
      <c r="BP113" s="80" t="s">
        <v>21</v>
      </c>
      <c r="BQ113" s="80"/>
      <c r="BR113" s="80"/>
      <c r="BU113" s="60"/>
      <c r="BV113" s="60"/>
      <c r="BW113" s="60"/>
      <c r="BX113" s="60"/>
      <c r="BY113" s="62"/>
      <c r="BZ113" s="62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Q113" s="80" t="s">
        <v>17</v>
      </c>
      <c r="CR113" s="80"/>
      <c r="CS113" s="80"/>
      <c r="CT113" s="2"/>
      <c r="CU113" s="2"/>
      <c r="CV113" s="2"/>
      <c r="CW113" s="2"/>
      <c r="CX113" s="2"/>
      <c r="CY113" s="2"/>
      <c r="CZ113" s="3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80" t="s">
        <v>21</v>
      </c>
      <c r="DL113" s="80"/>
      <c r="DM113" s="80"/>
      <c r="DP113" s="60"/>
      <c r="DQ113" s="60"/>
      <c r="DR113" s="60"/>
      <c r="DS113" s="60"/>
      <c r="DT113" s="62"/>
      <c r="DU113" s="62"/>
      <c r="DV113" s="60"/>
      <c r="DW113" s="60"/>
      <c r="DX113" s="60"/>
      <c r="DY113" s="60"/>
      <c r="DZ113" s="60"/>
      <c r="EA113" s="60"/>
      <c r="EB113" s="60"/>
      <c r="EC113" s="60"/>
      <c r="ED113" s="60"/>
      <c r="EE113" s="60"/>
      <c r="EF113" s="60"/>
      <c r="EG113" s="60"/>
      <c r="EL113" s="80" t="s">
        <v>17</v>
      </c>
      <c r="EM113" s="80"/>
      <c r="EN113" s="80"/>
      <c r="EO113" s="2"/>
      <c r="EP113" s="2"/>
      <c r="EQ113" s="2"/>
      <c r="ER113" s="2"/>
      <c r="ES113" s="2"/>
      <c r="ET113" s="2"/>
      <c r="EU113" s="3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80" t="s">
        <v>21</v>
      </c>
      <c r="FG113" s="80"/>
      <c r="FH113" s="80"/>
      <c r="FK113" s="60"/>
      <c r="FL113" s="60"/>
      <c r="FM113" s="60"/>
      <c r="FN113" s="60"/>
      <c r="FO113" s="62"/>
      <c r="FP113" s="62"/>
      <c r="FQ113" s="60"/>
      <c r="FR113" s="60"/>
      <c r="FS113" s="60"/>
      <c r="FT113" s="60"/>
      <c r="FU113" s="60"/>
      <c r="FV113" s="60"/>
      <c r="FW113" s="60"/>
      <c r="FX113" s="60"/>
      <c r="FY113" s="60"/>
      <c r="FZ113" s="60"/>
    </row>
    <row r="114" spans="1:182" x14ac:dyDescent="0.35">
      <c r="A114" s="80" t="s">
        <v>17</v>
      </c>
      <c r="B114" s="80"/>
      <c r="C114" s="8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"/>
      <c r="S114" s="2"/>
      <c r="T114" s="2"/>
      <c r="U114" s="80" t="s">
        <v>22</v>
      </c>
      <c r="V114" s="80"/>
      <c r="W114" s="80"/>
      <c r="Z114" s="60" t="s">
        <v>19</v>
      </c>
      <c r="AA114" s="60"/>
      <c r="AB114" s="60">
        <f>1/7</f>
        <v>0.14285714285714285</v>
      </c>
      <c r="AC114" s="60"/>
      <c r="AD114" s="60">
        <v>7</v>
      </c>
      <c r="AE114" s="60"/>
      <c r="AF114" s="62">
        <v>1</v>
      </c>
      <c r="AG114" s="62"/>
      <c r="AH114" s="60">
        <f>1/7</f>
        <v>0.14285714285714285</v>
      </c>
      <c r="AI114" s="60"/>
      <c r="AJ114" s="60">
        <f>1/5</f>
        <v>0.2</v>
      </c>
      <c r="AK114" s="60"/>
      <c r="AL114" s="60">
        <f>1/3</f>
        <v>0.33333333333333331</v>
      </c>
      <c r="AM114" s="60"/>
      <c r="AN114" s="60">
        <v>9</v>
      </c>
      <c r="AO114" s="60"/>
      <c r="AP114" s="60">
        <v>9</v>
      </c>
      <c r="AQ114" s="60"/>
      <c r="AV114" s="80" t="s">
        <v>17</v>
      </c>
      <c r="AW114" s="80"/>
      <c r="AX114" s="80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3"/>
      <c r="BN114" s="2"/>
      <c r="BO114" s="2"/>
      <c r="BP114" s="80" t="s">
        <v>22</v>
      </c>
      <c r="BQ114" s="80"/>
      <c r="BR114" s="80"/>
      <c r="BU114" s="60" t="s">
        <v>19</v>
      </c>
      <c r="BV114" s="60"/>
      <c r="BW114" s="60">
        <v>5</v>
      </c>
      <c r="BX114" s="60"/>
      <c r="BY114" s="60">
        <f>1/5</f>
        <v>0.2</v>
      </c>
      <c r="BZ114" s="60"/>
      <c r="CA114" s="62">
        <v>1</v>
      </c>
      <c r="CB114" s="62"/>
      <c r="CC114" s="60">
        <f>1/7</f>
        <v>0.14285714285714285</v>
      </c>
      <c r="CD114" s="60"/>
      <c r="CE114" s="60">
        <f>1/9</f>
        <v>0.1111111111111111</v>
      </c>
      <c r="CF114" s="60"/>
      <c r="CG114" s="60">
        <v>7</v>
      </c>
      <c r="CH114" s="60"/>
      <c r="CI114" s="60">
        <f>1/9</f>
        <v>0.1111111111111111</v>
      </c>
      <c r="CJ114" s="60"/>
      <c r="CK114" s="60">
        <v>5</v>
      </c>
      <c r="CL114" s="60"/>
      <c r="CQ114" s="80" t="s">
        <v>17</v>
      </c>
      <c r="CR114" s="80"/>
      <c r="CS114" s="80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3"/>
      <c r="DI114" s="2"/>
      <c r="DJ114" s="2"/>
      <c r="DK114" s="80" t="s">
        <v>22</v>
      </c>
      <c r="DL114" s="80"/>
      <c r="DM114" s="80"/>
      <c r="DP114" s="60" t="s">
        <v>19</v>
      </c>
      <c r="DQ114" s="60"/>
      <c r="DR114" s="60">
        <f>1/7</f>
        <v>0.14285714285714285</v>
      </c>
      <c r="DS114" s="60"/>
      <c r="DT114" s="60">
        <f>1/4</f>
        <v>0.25</v>
      </c>
      <c r="DU114" s="60"/>
      <c r="DV114" s="62">
        <v>1</v>
      </c>
      <c r="DW114" s="62"/>
      <c r="DX114" s="60">
        <v>5</v>
      </c>
      <c r="DY114" s="60"/>
      <c r="DZ114" s="60">
        <f>1/9</f>
        <v>0.1111111111111111</v>
      </c>
      <c r="EA114" s="60"/>
      <c r="EB114" s="60">
        <f>1/7</f>
        <v>0.14285714285714285</v>
      </c>
      <c r="EC114" s="60"/>
      <c r="ED114" s="60">
        <v>8</v>
      </c>
      <c r="EE114" s="60"/>
      <c r="EF114" s="60">
        <f>1/6</f>
        <v>0.16666666666666666</v>
      </c>
      <c r="EG114" s="60"/>
      <c r="EL114" s="80" t="s">
        <v>17</v>
      </c>
      <c r="EM114" s="80"/>
      <c r="EN114" s="80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3"/>
      <c r="FD114" s="2"/>
      <c r="FE114" s="2"/>
      <c r="FF114" s="80" t="s">
        <v>22</v>
      </c>
      <c r="FG114" s="80"/>
      <c r="FH114" s="80"/>
      <c r="FK114" s="60" t="s">
        <v>19</v>
      </c>
      <c r="FL114" s="60"/>
      <c r="FM114" s="60">
        <f>1/7</f>
        <v>0.14285714285714285</v>
      </c>
      <c r="FN114" s="60"/>
      <c r="FO114" s="60">
        <f>1/4</f>
        <v>0.25</v>
      </c>
      <c r="FP114" s="60"/>
      <c r="FQ114" s="62">
        <v>1</v>
      </c>
      <c r="FR114" s="62"/>
      <c r="FS114" s="60">
        <v>5</v>
      </c>
      <c r="FT114" s="60"/>
      <c r="FU114" s="60">
        <f>1/9</f>
        <v>0.1111111111111111</v>
      </c>
      <c r="FV114" s="60"/>
      <c r="FW114" s="60">
        <f>1/7</f>
        <v>0.14285714285714285</v>
      </c>
      <c r="FX114" s="60"/>
      <c r="FY114" s="60">
        <v>8</v>
      </c>
      <c r="FZ114" s="60"/>
    </row>
    <row r="115" spans="1:182" x14ac:dyDescent="0.35">
      <c r="A115" s="80" t="s">
        <v>17</v>
      </c>
      <c r="B115" s="80"/>
      <c r="C115" s="8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2"/>
      <c r="P115" s="2"/>
      <c r="Q115" s="2"/>
      <c r="R115" s="2"/>
      <c r="S115" s="2"/>
      <c r="T115" s="2"/>
      <c r="U115" s="80" t="s">
        <v>83</v>
      </c>
      <c r="V115" s="80"/>
      <c r="W115" s="80"/>
      <c r="Z115" s="60"/>
      <c r="AA115" s="60"/>
      <c r="AB115" s="60"/>
      <c r="AC115" s="60"/>
      <c r="AD115" s="60"/>
      <c r="AE115" s="60"/>
      <c r="AF115" s="62"/>
      <c r="AG115" s="62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V115" s="80" t="s">
        <v>17</v>
      </c>
      <c r="AW115" s="80"/>
      <c r="AX115" s="80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3"/>
      <c r="BJ115" s="2"/>
      <c r="BK115" s="2"/>
      <c r="BL115" s="2"/>
      <c r="BM115" s="2"/>
      <c r="BN115" s="2"/>
      <c r="BO115" s="2"/>
      <c r="BP115" s="80" t="s">
        <v>83</v>
      </c>
      <c r="BQ115" s="80"/>
      <c r="BR115" s="80"/>
      <c r="BU115" s="60"/>
      <c r="BV115" s="60"/>
      <c r="BW115" s="60"/>
      <c r="BX115" s="60"/>
      <c r="BY115" s="60"/>
      <c r="BZ115" s="60"/>
      <c r="CA115" s="62"/>
      <c r="CB115" s="62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Q115" s="80" t="s">
        <v>17</v>
      </c>
      <c r="CR115" s="80"/>
      <c r="CS115" s="80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3"/>
      <c r="DE115" s="2"/>
      <c r="DF115" s="2"/>
      <c r="DG115" s="2"/>
      <c r="DH115" s="2"/>
      <c r="DI115" s="2"/>
      <c r="DJ115" s="2"/>
      <c r="DK115" s="80" t="s">
        <v>83</v>
      </c>
      <c r="DL115" s="80"/>
      <c r="DM115" s="80"/>
      <c r="DP115" s="60"/>
      <c r="DQ115" s="60"/>
      <c r="DR115" s="60"/>
      <c r="DS115" s="60"/>
      <c r="DT115" s="60"/>
      <c r="DU115" s="60"/>
      <c r="DV115" s="62"/>
      <c r="DW115" s="62"/>
      <c r="DX115" s="60"/>
      <c r="DY115" s="60"/>
      <c r="DZ115" s="60"/>
      <c r="EA115" s="60"/>
      <c r="EB115" s="60"/>
      <c r="EC115" s="60"/>
      <c r="ED115" s="60"/>
      <c r="EE115" s="60"/>
      <c r="EF115" s="60"/>
      <c r="EG115" s="60"/>
      <c r="EL115" s="80" t="s">
        <v>17</v>
      </c>
      <c r="EM115" s="80"/>
      <c r="EN115" s="80"/>
      <c r="EO115" s="2"/>
      <c r="EP115" s="2"/>
      <c r="EQ115" s="2"/>
      <c r="ER115" s="2"/>
      <c r="ES115" s="2"/>
      <c r="ET115" s="2"/>
      <c r="EU115" s="3"/>
      <c r="EV115" s="2"/>
      <c r="EW115" s="2"/>
      <c r="EX115" s="2"/>
      <c r="EY115" s="5"/>
      <c r="EZ115" s="2"/>
      <c r="FA115" s="2"/>
      <c r="FB115" s="2"/>
      <c r="FC115" s="2"/>
      <c r="FD115" s="2"/>
      <c r="FE115" s="2"/>
      <c r="FF115" s="80" t="s">
        <v>83</v>
      </c>
      <c r="FG115" s="80"/>
      <c r="FH115" s="80"/>
      <c r="FK115" s="60"/>
      <c r="FL115" s="60"/>
      <c r="FM115" s="60"/>
      <c r="FN115" s="60"/>
      <c r="FO115" s="60"/>
      <c r="FP115" s="60"/>
      <c r="FQ115" s="62"/>
      <c r="FR115" s="62"/>
      <c r="FS115" s="60"/>
      <c r="FT115" s="60"/>
      <c r="FU115" s="60"/>
      <c r="FV115" s="60"/>
      <c r="FW115" s="60"/>
      <c r="FX115" s="60"/>
      <c r="FY115" s="60"/>
      <c r="FZ115" s="60"/>
    </row>
    <row r="116" spans="1:182" x14ac:dyDescent="0.35">
      <c r="Z116" s="60" t="s">
        <v>31</v>
      </c>
      <c r="AA116" s="60"/>
      <c r="AB116" s="60">
        <f>1/7</f>
        <v>0.14285714285714285</v>
      </c>
      <c r="AC116" s="60"/>
      <c r="AD116" s="60">
        <v>5</v>
      </c>
      <c r="AE116" s="60"/>
      <c r="AF116" s="60">
        <v>7</v>
      </c>
      <c r="AG116" s="60"/>
      <c r="AH116" s="62">
        <v>1</v>
      </c>
      <c r="AI116" s="62"/>
      <c r="AJ116" s="60">
        <f>1/7</f>
        <v>0.14285714285714285</v>
      </c>
      <c r="AK116" s="60"/>
      <c r="AL116" s="60">
        <v>3</v>
      </c>
      <c r="AM116" s="60"/>
      <c r="AN116" s="60">
        <v>5</v>
      </c>
      <c r="AO116" s="60"/>
      <c r="AP116" s="60">
        <f>1/7</f>
        <v>0.14285714285714285</v>
      </c>
      <c r="AQ116" s="60"/>
      <c r="BU116" s="60" t="s">
        <v>31</v>
      </c>
      <c r="BV116" s="60"/>
      <c r="BW116" s="60">
        <f>1/7</f>
        <v>0.14285714285714285</v>
      </c>
      <c r="BX116" s="60"/>
      <c r="BY116" s="60">
        <f>1/3</f>
        <v>0.33333333333333331</v>
      </c>
      <c r="BZ116" s="60"/>
      <c r="CA116" s="60">
        <v>7</v>
      </c>
      <c r="CB116" s="60"/>
      <c r="CC116" s="62">
        <v>1</v>
      </c>
      <c r="CD116" s="62"/>
      <c r="CE116" s="60">
        <f>1/7</f>
        <v>0.14285714285714285</v>
      </c>
      <c r="CF116" s="60"/>
      <c r="CG116" s="60">
        <f>1/9</f>
        <v>0.1111111111111111</v>
      </c>
      <c r="CH116" s="60"/>
      <c r="CI116" s="60">
        <v>5</v>
      </c>
      <c r="CJ116" s="60"/>
      <c r="CK116" s="60">
        <f>1/7</f>
        <v>0.14285714285714285</v>
      </c>
      <c r="CL116" s="60"/>
      <c r="DP116" s="60" t="s">
        <v>31</v>
      </c>
      <c r="DQ116" s="60"/>
      <c r="DR116" s="60">
        <f>1/7</f>
        <v>0.14285714285714285</v>
      </c>
      <c r="DS116" s="60"/>
      <c r="DT116" s="60">
        <v>6</v>
      </c>
      <c r="DU116" s="60"/>
      <c r="DV116" s="60">
        <f>1/5</f>
        <v>0.2</v>
      </c>
      <c r="DW116" s="60"/>
      <c r="DX116" s="62">
        <v>1</v>
      </c>
      <c r="DY116" s="62"/>
      <c r="DZ116" s="60">
        <f>1/7</f>
        <v>0.14285714285714285</v>
      </c>
      <c r="EA116" s="60"/>
      <c r="EB116" s="60">
        <v>5</v>
      </c>
      <c r="EC116" s="60"/>
      <c r="ED116" s="60">
        <v>7</v>
      </c>
      <c r="EE116" s="60"/>
      <c r="EF116" s="60">
        <f>1/7</f>
        <v>0.14285714285714285</v>
      </c>
      <c r="EG116" s="60"/>
      <c r="FK116" s="60" t="s">
        <v>31</v>
      </c>
      <c r="FL116" s="60"/>
      <c r="FM116" s="60">
        <f>1/7</f>
        <v>0.14285714285714285</v>
      </c>
      <c r="FN116" s="60"/>
      <c r="FO116" s="60">
        <v>6</v>
      </c>
      <c r="FP116" s="60"/>
      <c r="FQ116" s="60">
        <f>1/5</f>
        <v>0.2</v>
      </c>
      <c r="FR116" s="60"/>
      <c r="FS116" s="62">
        <v>1</v>
      </c>
      <c r="FT116" s="62"/>
      <c r="FU116" s="60">
        <f>1/7</f>
        <v>0.14285714285714285</v>
      </c>
      <c r="FV116" s="60"/>
      <c r="FW116" s="60">
        <v>5</v>
      </c>
      <c r="FX116" s="60"/>
      <c r="FY116" s="60">
        <v>7</v>
      </c>
      <c r="FZ116" s="60"/>
    </row>
    <row r="117" spans="1:182" x14ac:dyDescent="0.35">
      <c r="A117" s="79" t="s">
        <v>2</v>
      </c>
      <c r="B117" s="79"/>
      <c r="C117" s="79"/>
      <c r="D117" s="2">
        <v>9</v>
      </c>
      <c r="E117" s="2">
        <v>8</v>
      </c>
      <c r="F117" s="2">
        <v>7</v>
      </c>
      <c r="G117" s="2">
        <v>6</v>
      </c>
      <c r="H117" s="2">
        <v>5</v>
      </c>
      <c r="I117" s="2">
        <v>4</v>
      </c>
      <c r="J117" s="2">
        <v>3</v>
      </c>
      <c r="K117" s="2">
        <v>2</v>
      </c>
      <c r="L117" s="2">
        <v>1</v>
      </c>
      <c r="M117" s="2">
        <v>2</v>
      </c>
      <c r="N117" s="2">
        <v>3</v>
      </c>
      <c r="O117" s="2">
        <v>4</v>
      </c>
      <c r="P117" s="2">
        <v>5</v>
      </c>
      <c r="Q117" s="2">
        <v>6</v>
      </c>
      <c r="R117" s="2">
        <v>7</v>
      </c>
      <c r="S117" s="2">
        <v>8</v>
      </c>
      <c r="T117" s="2">
        <v>9</v>
      </c>
      <c r="U117" s="79" t="s">
        <v>3</v>
      </c>
      <c r="V117" s="79"/>
      <c r="W117" s="79"/>
      <c r="Z117" s="60"/>
      <c r="AA117" s="60"/>
      <c r="AB117" s="60"/>
      <c r="AC117" s="60"/>
      <c r="AD117" s="60"/>
      <c r="AE117" s="60"/>
      <c r="AF117" s="60"/>
      <c r="AG117" s="60"/>
      <c r="AH117" s="62"/>
      <c r="AI117" s="62"/>
      <c r="AJ117" s="60"/>
      <c r="AK117" s="60"/>
      <c r="AL117" s="60"/>
      <c r="AM117" s="60"/>
      <c r="AN117" s="60"/>
      <c r="AO117" s="60"/>
      <c r="AP117" s="60"/>
      <c r="AQ117" s="60"/>
      <c r="AV117" s="79" t="s">
        <v>2</v>
      </c>
      <c r="AW117" s="79"/>
      <c r="AX117" s="79"/>
      <c r="AY117" s="2">
        <v>9</v>
      </c>
      <c r="AZ117" s="2">
        <v>8</v>
      </c>
      <c r="BA117" s="2">
        <v>7</v>
      </c>
      <c r="BB117" s="2">
        <v>6</v>
      </c>
      <c r="BC117" s="2">
        <v>5</v>
      </c>
      <c r="BD117" s="2">
        <v>4</v>
      </c>
      <c r="BE117" s="2">
        <v>3</v>
      </c>
      <c r="BF117" s="2">
        <v>2</v>
      </c>
      <c r="BG117" s="2">
        <v>1</v>
      </c>
      <c r="BH117" s="2">
        <v>2</v>
      </c>
      <c r="BI117" s="2">
        <v>3</v>
      </c>
      <c r="BJ117" s="2">
        <v>4</v>
      </c>
      <c r="BK117" s="2">
        <v>5</v>
      </c>
      <c r="BL117" s="2">
        <v>6</v>
      </c>
      <c r="BM117" s="2">
        <v>7</v>
      </c>
      <c r="BN117" s="2">
        <v>8</v>
      </c>
      <c r="BO117" s="2">
        <v>9</v>
      </c>
      <c r="BP117" s="79" t="s">
        <v>3</v>
      </c>
      <c r="BQ117" s="79"/>
      <c r="BR117" s="79"/>
      <c r="BU117" s="60"/>
      <c r="BV117" s="60"/>
      <c r="BW117" s="60"/>
      <c r="BX117" s="60"/>
      <c r="BY117" s="60"/>
      <c r="BZ117" s="60"/>
      <c r="CA117" s="60"/>
      <c r="CB117" s="60"/>
      <c r="CC117" s="62"/>
      <c r="CD117" s="62"/>
      <c r="CE117" s="60"/>
      <c r="CF117" s="60"/>
      <c r="CG117" s="60"/>
      <c r="CH117" s="60"/>
      <c r="CI117" s="60"/>
      <c r="CJ117" s="60"/>
      <c r="CK117" s="60"/>
      <c r="CL117" s="60"/>
      <c r="CQ117" s="79" t="s">
        <v>2</v>
      </c>
      <c r="CR117" s="79"/>
      <c r="CS117" s="79"/>
      <c r="CT117" s="2">
        <v>9</v>
      </c>
      <c r="CU117" s="2">
        <v>8</v>
      </c>
      <c r="CV117" s="2">
        <v>7</v>
      </c>
      <c r="CW117" s="2">
        <v>6</v>
      </c>
      <c r="CX117" s="2">
        <v>5</v>
      </c>
      <c r="CY117" s="2">
        <v>4</v>
      </c>
      <c r="CZ117" s="2">
        <v>3</v>
      </c>
      <c r="DA117" s="2">
        <v>2</v>
      </c>
      <c r="DB117" s="2">
        <v>1</v>
      </c>
      <c r="DC117" s="2">
        <v>2</v>
      </c>
      <c r="DD117" s="2">
        <v>3</v>
      </c>
      <c r="DE117" s="2">
        <v>4</v>
      </c>
      <c r="DF117" s="2">
        <v>5</v>
      </c>
      <c r="DG117" s="2">
        <v>6</v>
      </c>
      <c r="DH117" s="2">
        <v>7</v>
      </c>
      <c r="DI117" s="2">
        <v>8</v>
      </c>
      <c r="DJ117" s="2">
        <v>9</v>
      </c>
      <c r="DK117" s="79" t="s">
        <v>3</v>
      </c>
      <c r="DL117" s="79"/>
      <c r="DM117" s="79"/>
      <c r="DP117" s="60"/>
      <c r="DQ117" s="60"/>
      <c r="DR117" s="60"/>
      <c r="DS117" s="60"/>
      <c r="DT117" s="60"/>
      <c r="DU117" s="60"/>
      <c r="DV117" s="60"/>
      <c r="DW117" s="60"/>
      <c r="DX117" s="62"/>
      <c r="DY117" s="62"/>
      <c r="DZ117" s="60"/>
      <c r="EA117" s="60"/>
      <c r="EB117" s="60"/>
      <c r="EC117" s="60"/>
      <c r="ED117" s="60"/>
      <c r="EE117" s="60"/>
      <c r="EF117" s="60"/>
      <c r="EG117" s="60"/>
      <c r="EL117" s="79" t="s">
        <v>2</v>
      </c>
      <c r="EM117" s="79"/>
      <c r="EN117" s="79"/>
      <c r="EO117" s="2">
        <v>9</v>
      </c>
      <c r="EP117" s="2">
        <v>8</v>
      </c>
      <c r="EQ117" s="2">
        <v>7</v>
      </c>
      <c r="ER117" s="2">
        <v>6</v>
      </c>
      <c r="ES117" s="2">
        <v>5</v>
      </c>
      <c r="ET117" s="2">
        <v>4</v>
      </c>
      <c r="EU117" s="2">
        <v>3</v>
      </c>
      <c r="EV117" s="2">
        <v>2</v>
      </c>
      <c r="EW117" s="2">
        <v>1</v>
      </c>
      <c r="EX117" s="2">
        <v>2</v>
      </c>
      <c r="EY117" s="2">
        <v>3</v>
      </c>
      <c r="EZ117" s="2">
        <v>4</v>
      </c>
      <c r="FA117" s="2">
        <v>5</v>
      </c>
      <c r="FB117" s="2">
        <v>6</v>
      </c>
      <c r="FC117" s="2">
        <v>7</v>
      </c>
      <c r="FD117" s="2">
        <v>8</v>
      </c>
      <c r="FE117" s="2">
        <v>9</v>
      </c>
      <c r="FF117" s="79" t="s">
        <v>3</v>
      </c>
      <c r="FG117" s="79"/>
      <c r="FH117" s="79"/>
      <c r="FK117" s="60"/>
      <c r="FL117" s="60"/>
      <c r="FM117" s="60"/>
      <c r="FN117" s="60"/>
      <c r="FO117" s="60"/>
      <c r="FP117" s="60"/>
      <c r="FQ117" s="60"/>
      <c r="FR117" s="60"/>
      <c r="FS117" s="62"/>
      <c r="FT117" s="62"/>
      <c r="FU117" s="60"/>
      <c r="FV117" s="60"/>
      <c r="FW117" s="60"/>
      <c r="FX117" s="60"/>
      <c r="FY117" s="60"/>
      <c r="FZ117" s="60"/>
    </row>
    <row r="118" spans="1:182" x14ac:dyDescent="0.35">
      <c r="A118" s="80" t="s">
        <v>18</v>
      </c>
      <c r="B118" s="80"/>
      <c r="C118" s="80"/>
      <c r="D118" s="2"/>
      <c r="E118" s="2"/>
      <c r="F118" s="3"/>
      <c r="G118" s="2"/>
      <c r="H118" s="2"/>
      <c r="I118" s="2"/>
      <c r="J118" s="5"/>
      <c r="K118" s="5"/>
      <c r="L118" s="2"/>
      <c r="M118" s="2"/>
      <c r="N118" s="2"/>
      <c r="O118" s="2"/>
      <c r="P118" s="2"/>
      <c r="Q118" s="2"/>
      <c r="R118" s="2"/>
      <c r="S118" s="2"/>
      <c r="T118" s="2"/>
      <c r="U118" s="80" t="s">
        <v>19</v>
      </c>
      <c r="V118" s="80"/>
      <c r="W118" s="80"/>
      <c r="Z118" s="60" t="s">
        <v>20</v>
      </c>
      <c r="AA118" s="60"/>
      <c r="AB118" s="60">
        <v>5</v>
      </c>
      <c r="AC118" s="60"/>
      <c r="AD118" s="60">
        <v>5</v>
      </c>
      <c r="AE118" s="60"/>
      <c r="AF118" s="60">
        <v>5</v>
      </c>
      <c r="AG118" s="60"/>
      <c r="AH118" s="60">
        <v>7</v>
      </c>
      <c r="AI118" s="60"/>
      <c r="AJ118" s="62">
        <v>1</v>
      </c>
      <c r="AK118" s="62"/>
      <c r="AL118" s="60">
        <v>3</v>
      </c>
      <c r="AM118" s="60"/>
      <c r="AN118" s="60">
        <v>3</v>
      </c>
      <c r="AO118" s="60"/>
      <c r="AP118" s="60">
        <f>1/3</f>
        <v>0.33333333333333331</v>
      </c>
      <c r="AQ118" s="60"/>
      <c r="AV118" s="80" t="s">
        <v>18</v>
      </c>
      <c r="AW118" s="80"/>
      <c r="AX118" s="80"/>
      <c r="AY118" s="2"/>
      <c r="AZ118" s="2"/>
      <c r="BA118" s="2"/>
      <c r="BB118" s="2"/>
      <c r="BC118" s="2"/>
      <c r="BD118" s="2"/>
      <c r="BE118" s="2"/>
      <c r="BF118" s="5"/>
      <c r="BG118" s="2"/>
      <c r="BH118" s="2"/>
      <c r="BI118" s="2"/>
      <c r="BJ118" s="2"/>
      <c r="BK118" s="3"/>
      <c r="BL118" s="2"/>
      <c r="BM118" s="2"/>
      <c r="BN118" s="2"/>
      <c r="BO118" s="2"/>
      <c r="BP118" s="80" t="s">
        <v>19</v>
      </c>
      <c r="BQ118" s="80"/>
      <c r="BR118" s="80"/>
      <c r="BU118" s="60" t="s">
        <v>20</v>
      </c>
      <c r="BV118" s="60"/>
      <c r="BW118" s="60">
        <v>5</v>
      </c>
      <c r="BX118" s="60"/>
      <c r="BY118" s="60">
        <v>5</v>
      </c>
      <c r="BZ118" s="60"/>
      <c r="CA118" s="60">
        <v>9</v>
      </c>
      <c r="CB118" s="60"/>
      <c r="CC118" s="60">
        <v>7</v>
      </c>
      <c r="CD118" s="60"/>
      <c r="CE118" s="62">
        <v>1</v>
      </c>
      <c r="CF118" s="62"/>
      <c r="CG118" s="60">
        <v>7</v>
      </c>
      <c r="CH118" s="60"/>
      <c r="CI118" s="60">
        <f>1/7</f>
        <v>0.14285714285714285</v>
      </c>
      <c r="CJ118" s="60"/>
      <c r="CK118" s="60">
        <v>9</v>
      </c>
      <c r="CL118" s="60"/>
      <c r="CQ118" s="80" t="s">
        <v>18</v>
      </c>
      <c r="CR118" s="80"/>
      <c r="CS118" s="80"/>
      <c r="CT118" s="2"/>
      <c r="CU118" s="2"/>
      <c r="CV118" s="2"/>
      <c r="CW118" s="2"/>
      <c r="CX118" s="2"/>
      <c r="CY118" s="2"/>
      <c r="CZ118" s="2"/>
      <c r="DA118" s="5"/>
      <c r="DB118" s="2"/>
      <c r="DC118" s="2"/>
      <c r="DD118" s="2"/>
      <c r="DE118" s="3"/>
      <c r="DF118" s="2"/>
      <c r="DG118" s="2"/>
      <c r="DH118" s="2"/>
      <c r="DI118" s="2"/>
      <c r="DJ118" s="2"/>
      <c r="DK118" s="80" t="s">
        <v>19</v>
      </c>
      <c r="DL118" s="80"/>
      <c r="DM118" s="80"/>
      <c r="DP118" s="60" t="s">
        <v>20</v>
      </c>
      <c r="DQ118" s="60"/>
      <c r="DR118" s="60">
        <v>5</v>
      </c>
      <c r="DS118" s="60"/>
      <c r="DT118" s="60">
        <v>5</v>
      </c>
      <c r="DU118" s="60"/>
      <c r="DV118" s="60">
        <v>9</v>
      </c>
      <c r="DW118" s="60"/>
      <c r="DX118" s="60">
        <v>7</v>
      </c>
      <c r="DY118" s="60"/>
      <c r="DZ118" s="62">
        <v>1</v>
      </c>
      <c r="EA118" s="62"/>
      <c r="EB118" s="60">
        <v>9</v>
      </c>
      <c r="EC118" s="60"/>
      <c r="ED118" s="60">
        <f>1/5</f>
        <v>0.2</v>
      </c>
      <c r="EE118" s="60"/>
      <c r="EF118" s="60">
        <f>1/3</f>
        <v>0.33333333333333331</v>
      </c>
      <c r="EG118" s="60"/>
      <c r="EL118" s="80" t="s">
        <v>18</v>
      </c>
      <c r="EM118" s="80"/>
      <c r="EN118" s="80"/>
      <c r="EO118" s="2"/>
      <c r="EP118" s="2"/>
      <c r="EQ118" s="2"/>
      <c r="ER118" s="2"/>
      <c r="ES118" s="3"/>
      <c r="ET118" s="2"/>
      <c r="EU118" s="2"/>
      <c r="EV118" s="5"/>
      <c r="EW118" s="2"/>
      <c r="EX118" s="2"/>
      <c r="EY118" s="2"/>
      <c r="EZ118" s="2"/>
      <c r="FA118" s="2"/>
      <c r="FB118" s="2"/>
      <c r="FC118" s="2"/>
      <c r="FD118" s="2"/>
      <c r="FE118" s="2"/>
      <c r="FF118" s="80" t="s">
        <v>19</v>
      </c>
      <c r="FG118" s="80"/>
      <c r="FH118" s="80"/>
      <c r="FK118" s="60" t="s">
        <v>20</v>
      </c>
      <c r="FL118" s="60"/>
      <c r="FM118" s="60">
        <v>5</v>
      </c>
      <c r="FN118" s="60"/>
      <c r="FO118" s="60">
        <v>5</v>
      </c>
      <c r="FP118" s="60"/>
      <c r="FQ118" s="60">
        <v>9</v>
      </c>
      <c r="FR118" s="60"/>
      <c r="FS118" s="60">
        <v>7</v>
      </c>
      <c r="FT118" s="60"/>
      <c r="FU118" s="62">
        <v>1</v>
      </c>
      <c r="FV118" s="62"/>
      <c r="FW118" s="60">
        <v>9</v>
      </c>
      <c r="FX118" s="60"/>
      <c r="FY118" s="60">
        <f>1/5</f>
        <v>0.2</v>
      </c>
      <c r="FZ118" s="60"/>
    </row>
    <row r="119" spans="1:182" x14ac:dyDescent="0.35">
      <c r="A119" s="80" t="s">
        <v>18</v>
      </c>
      <c r="B119" s="80"/>
      <c r="C119" s="80"/>
      <c r="D119" s="2"/>
      <c r="E119" s="2"/>
      <c r="F119" s="2"/>
      <c r="G119" s="2"/>
      <c r="H119" s="3"/>
      <c r="I119" s="2"/>
      <c r="J119" s="2"/>
      <c r="K119" s="5"/>
      <c r="L119" s="2"/>
      <c r="M119" s="2"/>
      <c r="N119" s="2"/>
      <c r="O119" s="2"/>
      <c r="P119" s="2"/>
      <c r="Q119" s="2"/>
      <c r="R119" s="2"/>
      <c r="S119" s="2"/>
      <c r="T119" s="2"/>
      <c r="U119" s="80" t="s">
        <v>31</v>
      </c>
      <c r="V119" s="80"/>
      <c r="W119" s="8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2"/>
      <c r="AK119" s="62"/>
      <c r="AL119" s="60"/>
      <c r="AM119" s="60"/>
      <c r="AN119" s="60"/>
      <c r="AO119" s="60"/>
      <c r="AP119" s="60"/>
      <c r="AQ119" s="60"/>
      <c r="AV119" s="80" t="s">
        <v>18</v>
      </c>
      <c r="AW119" s="80"/>
      <c r="AX119" s="80"/>
      <c r="AY119" s="2"/>
      <c r="AZ119" s="2"/>
      <c r="BA119" s="2"/>
      <c r="BB119" s="2"/>
      <c r="BC119" s="2"/>
      <c r="BD119" s="2"/>
      <c r="BE119" s="2"/>
      <c r="BF119" s="5"/>
      <c r="BG119" s="2"/>
      <c r="BH119" s="2"/>
      <c r="BI119" s="3"/>
      <c r="BJ119" s="2"/>
      <c r="BK119" s="2"/>
      <c r="BL119" s="2"/>
      <c r="BM119" s="2"/>
      <c r="BN119" s="2"/>
      <c r="BO119" s="2"/>
      <c r="BP119" s="80" t="s">
        <v>31</v>
      </c>
      <c r="BQ119" s="80"/>
      <c r="BR119" s="80"/>
      <c r="BU119" s="60"/>
      <c r="BV119" s="60"/>
      <c r="BW119" s="60"/>
      <c r="BX119" s="60"/>
      <c r="BY119" s="60"/>
      <c r="BZ119" s="60"/>
      <c r="CA119" s="60"/>
      <c r="CB119" s="60"/>
      <c r="CC119" s="60"/>
      <c r="CD119" s="60"/>
      <c r="CE119" s="62"/>
      <c r="CF119" s="62"/>
      <c r="CG119" s="60"/>
      <c r="CH119" s="60"/>
      <c r="CI119" s="60"/>
      <c r="CJ119" s="60"/>
      <c r="CK119" s="60"/>
      <c r="CL119" s="60"/>
      <c r="CQ119" s="80" t="s">
        <v>18</v>
      </c>
      <c r="CR119" s="80"/>
      <c r="CS119" s="80"/>
      <c r="CT119" s="2"/>
      <c r="CU119" s="2"/>
      <c r="CV119" s="2"/>
      <c r="CW119" s="3"/>
      <c r="CX119" s="2"/>
      <c r="CY119" s="2"/>
      <c r="CZ119" s="2"/>
      <c r="DA119" s="5"/>
      <c r="DB119" s="2"/>
      <c r="DC119" s="2"/>
      <c r="DD119" s="2"/>
      <c r="DE119" s="2"/>
      <c r="DF119" s="2"/>
      <c r="DG119" s="5"/>
      <c r="DH119" s="2"/>
      <c r="DI119" s="2"/>
      <c r="DJ119" s="2"/>
      <c r="DK119" s="80" t="s">
        <v>31</v>
      </c>
      <c r="DL119" s="80"/>
      <c r="DM119" s="80"/>
      <c r="DP119" s="60"/>
      <c r="DQ119" s="60"/>
      <c r="DR119" s="60"/>
      <c r="DS119" s="60"/>
      <c r="DT119" s="60"/>
      <c r="DU119" s="60"/>
      <c r="DV119" s="60"/>
      <c r="DW119" s="60"/>
      <c r="DX119" s="60"/>
      <c r="DY119" s="60"/>
      <c r="DZ119" s="62"/>
      <c r="EA119" s="62"/>
      <c r="EB119" s="60"/>
      <c r="EC119" s="60"/>
      <c r="ED119" s="60"/>
      <c r="EE119" s="60"/>
      <c r="EF119" s="60"/>
      <c r="EG119" s="60"/>
      <c r="EL119" s="80" t="s">
        <v>18</v>
      </c>
      <c r="EM119" s="80"/>
      <c r="EN119" s="80"/>
      <c r="EO119" s="2"/>
      <c r="EP119" s="2"/>
      <c r="EQ119" s="2"/>
      <c r="ER119" s="2"/>
      <c r="ES119" s="2"/>
      <c r="ET119" s="2"/>
      <c r="EU119" s="2"/>
      <c r="EV119" s="5"/>
      <c r="EW119" s="2"/>
      <c r="EX119" s="2"/>
      <c r="EY119" s="3"/>
      <c r="EZ119" s="2"/>
      <c r="FA119" s="2"/>
      <c r="FB119" s="2"/>
      <c r="FC119" s="2"/>
      <c r="FD119" s="2"/>
      <c r="FE119" s="2"/>
      <c r="FF119" s="80" t="s">
        <v>31</v>
      </c>
      <c r="FG119" s="80"/>
      <c r="FH119" s="80"/>
      <c r="FK119" s="60"/>
      <c r="FL119" s="60"/>
      <c r="FM119" s="60"/>
      <c r="FN119" s="60"/>
      <c r="FO119" s="60"/>
      <c r="FP119" s="60"/>
      <c r="FQ119" s="60"/>
      <c r="FR119" s="60"/>
      <c r="FS119" s="60"/>
      <c r="FT119" s="60"/>
      <c r="FU119" s="62"/>
      <c r="FV119" s="62"/>
      <c r="FW119" s="60"/>
      <c r="FX119" s="60"/>
      <c r="FY119" s="60"/>
      <c r="FZ119" s="60"/>
    </row>
    <row r="120" spans="1:182" x14ac:dyDescent="0.35">
      <c r="A120" s="80" t="s">
        <v>18</v>
      </c>
      <c r="B120" s="80"/>
      <c r="C120" s="80"/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80" t="s">
        <v>20</v>
      </c>
      <c r="V120" s="80"/>
      <c r="W120" s="80"/>
      <c r="Z120" s="60" t="s">
        <v>21</v>
      </c>
      <c r="AA120" s="60"/>
      <c r="AB120" s="60">
        <v>3</v>
      </c>
      <c r="AC120" s="60"/>
      <c r="AD120" s="60">
        <f>1/3</f>
        <v>0.33333333333333331</v>
      </c>
      <c r="AE120" s="60"/>
      <c r="AF120" s="60">
        <v>3</v>
      </c>
      <c r="AG120" s="60"/>
      <c r="AH120" s="60">
        <f>1/3</f>
        <v>0.33333333333333331</v>
      </c>
      <c r="AI120" s="60"/>
      <c r="AJ120" s="60">
        <f>1/3</f>
        <v>0.33333333333333331</v>
      </c>
      <c r="AK120" s="60"/>
      <c r="AL120" s="62">
        <v>1</v>
      </c>
      <c r="AM120" s="62"/>
      <c r="AN120" s="60">
        <v>3</v>
      </c>
      <c r="AO120" s="60"/>
      <c r="AP120" s="60">
        <f>1/3</f>
        <v>0.33333333333333331</v>
      </c>
      <c r="AQ120" s="60"/>
      <c r="AV120" s="80" t="s">
        <v>18</v>
      </c>
      <c r="AW120" s="80"/>
      <c r="AX120" s="80"/>
      <c r="AY120" s="2"/>
      <c r="AZ120" s="2"/>
      <c r="BA120" s="2"/>
      <c r="BB120" s="2"/>
      <c r="BC120" s="3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80" t="s">
        <v>20</v>
      </c>
      <c r="BQ120" s="80"/>
      <c r="BR120" s="80"/>
      <c r="BU120" s="60" t="s">
        <v>21</v>
      </c>
      <c r="BV120" s="60"/>
      <c r="BW120" s="60">
        <f>1/5</f>
        <v>0.2</v>
      </c>
      <c r="BX120" s="60"/>
      <c r="BY120" s="60">
        <f>1/7</f>
        <v>0.14285714285714285</v>
      </c>
      <c r="BZ120" s="60"/>
      <c r="CA120" s="60">
        <f>1/7</f>
        <v>0.14285714285714285</v>
      </c>
      <c r="CB120" s="60"/>
      <c r="CC120" s="60">
        <v>9</v>
      </c>
      <c r="CD120" s="60"/>
      <c r="CE120" s="60">
        <f>1/7</f>
        <v>0.14285714285714285</v>
      </c>
      <c r="CF120" s="60"/>
      <c r="CG120" s="62">
        <v>1</v>
      </c>
      <c r="CH120" s="62"/>
      <c r="CI120" s="60">
        <f>1/5</f>
        <v>0.2</v>
      </c>
      <c r="CJ120" s="60"/>
      <c r="CK120" s="60">
        <v>6</v>
      </c>
      <c r="CL120" s="60"/>
      <c r="CQ120" s="80" t="s">
        <v>18</v>
      </c>
      <c r="CR120" s="80"/>
      <c r="CS120" s="80"/>
      <c r="CT120" s="2"/>
      <c r="CU120" s="2"/>
      <c r="CV120" s="2"/>
      <c r="CW120" s="2"/>
      <c r="CX120" s="3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80" t="s">
        <v>20</v>
      </c>
      <c r="DL120" s="80"/>
      <c r="DM120" s="80"/>
      <c r="DP120" s="60" t="s">
        <v>21</v>
      </c>
      <c r="DQ120" s="60"/>
      <c r="DR120" s="60">
        <v>3</v>
      </c>
      <c r="DS120" s="60"/>
      <c r="DT120" s="60">
        <f>1/3</f>
        <v>0.33333333333333331</v>
      </c>
      <c r="DU120" s="60"/>
      <c r="DV120" s="60">
        <v>7</v>
      </c>
      <c r="DW120" s="60"/>
      <c r="DX120" s="60">
        <f>1/5</f>
        <v>0.2</v>
      </c>
      <c r="DY120" s="60"/>
      <c r="DZ120" s="60">
        <f>1/9</f>
        <v>0.1111111111111111</v>
      </c>
      <c r="EA120" s="60"/>
      <c r="EB120" s="62">
        <v>1</v>
      </c>
      <c r="EC120" s="62"/>
      <c r="ED120" s="60">
        <f>1/7</f>
        <v>0.14285714285714285</v>
      </c>
      <c r="EE120" s="60"/>
      <c r="EF120" s="60">
        <v>8</v>
      </c>
      <c r="EG120" s="60"/>
      <c r="EL120" s="80" t="s">
        <v>18</v>
      </c>
      <c r="EM120" s="80"/>
      <c r="EN120" s="80"/>
      <c r="EO120" s="2"/>
      <c r="EP120" s="2"/>
      <c r="EQ120" s="2"/>
      <c r="ER120" s="2"/>
      <c r="ES120" s="3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80" t="s">
        <v>20</v>
      </c>
      <c r="FG120" s="80"/>
      <c r="FH120" s="80"/>
      <c r="FK120" s="60" t="s">
        <v>21</v>
      </c>
      <c r="FL120" s="60"/>
      <c r="FM120" s="60">
        <v>3</v>
      </c>
      <c r="FN120" s="60"/>
      <c r="FO120" s="60">
        <f>1/3</f>
        <v>0.33333333333333331</v>
      </c>
      <c r="FP120" s="60"/>
      <c r="FQ120" s="60">
        <v>7</v>
      </c>
      <c r="FR120" s="60"/>
      <c r="FS120" s="60">
        <f>1/5</f>
        <v>0.2</v>
      </c>
      <c r="FT120" s="60"/>
      <c r="FU120" s="60">
        <f>1/9</f>
        <v>0.1111111111111111</v>
      </c>
      <c r="FV120" s="60"/>
      <c r="FW120" s="62">
        <v>1</v>
      </c>
      <c r="FX120" s="62"/>
      <c r="FY120" s="60">
        <f>1/7</f>
        <v>0.14285714285714285</v>
      </c>
      <c r="FZ120" s="60"/>
    </row>
    <row r="121" spans="1:182" x14ac:dyDescent="0.35">
      <c r="A121" s="80" t="s">
        <v>18</v>
      </c>
      <c r="B121" s="80"/>
      <c r="C121" s="8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2"/>
      <c r="P121" s="2"/>
      <c r="Q121" s="2"/>
      <c r="R121" s="2"/>
      <c r="S121" s="2"/>
      <c r="T121" s="2"/>
      <c r="U121" s="80" t="s">
        <v>21</v>
      </c>
      <c r="V121" s="80"/>
      <c r="W121" s="8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2"/>
      <c r="AM121" s="62"/>
      <c r="AN121" s="60"/>
      <c r="AO121" s="60"/>
      <c r="AP121" s="60"/>
      <c r="AQ121" s="60"/>
      <c r="AV121" s="80" t="s">
        <v>18</v>
      </c>
      <c r="AW121" s="80"/>
      <c r="AX121" s="80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5"/>
      <c r="BJ121" s="2"/>
      <c r="BK121" s="2"/>
      <c r="BL121" s="2"/>
      <c r="BM121" s="3"/>
      <c r="BN121" s="2"/>
      <c r="BO121" s="2"/>
      <c r="BP121" s="80" t="s">
        <v>21</v>
      </c>
      <c r="BQ121" s="80"/>
      <c r="BR121" s="8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2"/>
      <c r="CH121" s="62"/>
      <c r="CI121" s="60"/>
      <c r="CJ121" s="60"/>
      <c r="CK121" s="60"/>
      <c r="CL121" s="60"/>
      <c r="CQ121" s="80" t="s">
        <v>18</v>
      </c>
      <c r="CR121" s="80"/>
      <c r="CS121" s="80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3"/>
      <c r="DE121" s="2"/>
      <c r="DF121" s="2"/>
      <c r="DG121" s="2"/>
      <c r="DH121" s="2"/>
      <c r="DI121" s="2"/>
      <c r="DJ121" s="2"/>
      <c r="DK121" s="80" t="s">
        <v>21</v>
      </c>
      <c r="DL121" s="80"/>
      <c r="DM121" s="80"/>
      <c r="DP121" s="60"/>
      <c r="DQ121" s="60"/>
      <c r="DR121" s="60"/>
      <c r="DS121" s="60"/>
      <c r="DT121" s="60"/>
      <c r="DU121" s="60"/>
      <c r="DV121" s="60"/>
      <c r="DW121" s="60"/>
      <c r="DX121" s="60"/>
      <c r="DY121" s="60"/>
      <c r="DZ121" s="60"/>
      <c r="EA121" s="60"/>
      <c r="EB121" s="62"/>
      <c r="EC121" s="62"/>
      <c r="ED121" s="60"/>
      <c r="EE121" s="60"/>
      <c r="EF121" s="60"/>
      <c r="EG121" s="60"/>
      <c r="EL121" s="80" t="s">
        <v>18</v>
      </c>
      <c r="EM121" s="80"/>
      <c r="EN121" s="80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3"/>
      <c r="EZ121" s="2"/>
      <c r="FA121" s="2"/>
      <c r="FB121" s="2"/>
      <c r="FC121" s="2"/>
      <c r="FD121" s="2"/>
      <c r="FE121" s="2"/>
      <c r="FF121" s="80" t="s">
        <v>21</v>
      </c>
      <c r="FG121" s="80"/>
      <c r="FH121" s="80"/>
      <c r="FK121" s="60"/>
      <c r="FL121" s="60"/>
      <c r="FM121" s="60"/>
      <c r="FN121" s="60"/>
      <c r="FO121" s="60"/>
      <c r="FP121" s="60"/>
      <c r="FQ121" s="60"/>
      <c r="FR121" s="60"/>
      <c r="FS121" s="60"/>
      <c r="FT121" s="60"/>
      <c r="FU121" s="60"/>
      <c r="FV121" s="60"/>
      <c r="FW121" s="62"/>
      <c r="FX121" s="62"/>
      <c r="FY121" s="60"/>
      <c r="FZ121" s="60"/>
    </row>
    <row r="122" spans="1:182" x14ac:dyDescent="0.35">
      <c r="A122" s="80" t="s">
        <v>18</v>
      </c>
      <c r="B122" s="80"/>
      <c r="C122" s="8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"/>
      <c r="S122" s="2"/>
      <c r="T122" s="2"/>
      <c r="U122" s="80" t="s">
        <v>22</v>
      </c>
      <c r="V122" s="80"/>
      <c r="W122" s="80"/>
      <c r="Z122" s="60" t="s">
        <v>22</v>
      </c>
      <c r="AA122" s="60"/>
      <c r="AB122" s="60">
        <f>1/7</f>
        <v>0.14285714285714285</v>
      </c>
      <c r="AC122" s="60"/>
      <c r="AD122" s="60">
        <f>1/7</f>
        <v>0.14285714285714285</v>
      </c>
      <c r="AE122" s="60"/>
      <c r="AF122" s="60">
        <f>1/9</f>
        <v>0.1111111111111111</v>
      </c>
      <c r="AG122" s="60"/>
      <c r="AH122" s="60">
        <f>1/5</f>
        <v>0.2</v>
      </c>
      <c r="AI122" s="60"/>
      <c r="AJ122" s="60">
        <f>1/3</f>
        <v>0.33333333333333331</v>
      </c>
      <c r="AK122" s="60"/>
      <c r="AL122" s="60">
        <f>1/3</f>
        <v>0.33333333333333331</v>
      </c>
      <c r="AM122" s="60"/>
      <c r="AN122" s="62">
        <v>1</v>
      </c>
      <c r="AO122" s="62"/>
      <c r="AP122" s="60">
        <v>3</v>
      </c>
      <c r="AQ122" s="60"/>
      <c r="AV122" s="80" t="s">
        <v>18</v>
      </c>
      <c r="AW122" s="80"/>
      <c r="AX122" s="80"/>
      <c r="AY122" s="3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5"/>
      <c r="BN122" s="2"/>
      <c r="BO122" s="2"/>
      <c r="BP122" s="80" t="s">
        <v>22</v>
      </c>
      <c r="BQ122" s="80"/>
      <c r="BR122" s="80"/>
      <c r="BU122" s="60" t="s">
        <v>22</v>
      </c>
      <c r="BV122" s="60"/>
      <c r="BW122" s="60">
        <f>1/7</f>
        <v>0.14285714285714285</v>
      </c>
      <c r="BX122" s="60"/>
      <c r="BY122" s="60">
        <v>9</v>
      </c>
      <c r="BZ122" s="60"/>
      <c r="CA122" s="60">
        <v>9</v>
      </c>
      <c r="CB122" s="60"/>
      <c r="CC122" s="60">
        <f>1/5</f>
        <v>0.2</v>
      </c>
      <c r="CD122" s="60"/>
      <c r="CE122" s="60">
        <v>7</v>
      </c>
      <c r="CF122" s="60"/>
      <c r="CG122" s="60">
        <v>5</v>
      </c>
      <c r="CH122" s="60"/>
      <c r="CI122" s="62">
        <v>1</v>
      </c>
      <c r="CJ122" s="62"/>
      <c r="CK122" s="60">
        <v>5</v>
      </c>
      <c r="CL122" s="60"/>
      <c r="CQ122" s="80" t="s">
        <v>18</v>
      </c>
      <c r="CR122" s="80"/>
      <c r="CS122" s="80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3"/>
      <c r="DI122" s="2"/>
      <c r="DJ122" s="2"/>
      <c r="DK122" s="80" t="s">
        <v>22</v>
      </c>
      <c r="DL122" s="80"/>
      <c r="DM122" s="80"/>
      <c r="DP122" s="60" t="s">
        <v>22</v>
      </c>
      <c r="DQ122" s="60"/>
      <c r="DR122" s="60">
        <f>1/7</f>
        <v>0.14285714285714285</v>
      </c>
      <c r="DS122" s="60"/>
      <c r="DT122" s="60">
        <f>1/7</f>
        <v>0.14285714285714285</v>
      </c>
      <c r="DU122" s="60"/>
      <c r="DV122" s="60">
        <f>1/8</f>
        <v>0.125</v>
      </c>
      <c r="DW122" s="60"/>
      <c r="DX122" s="60">
        <f>1/7</f>
        <v>0.14285714285714285</v>
      </c>
      <c r="DY122" s="60"/>
      <c r="DZ122" s="60">
        <v>5</v>
      </c>
      <c r="EA122" s="60"/>
      <c r="EB122" s="60">
        <v>7</v>
      </c>
      <c r="EC122" s="60"/>
      <c r="ED122" s="62">
        <v>1</v>
      </c>
      <c r="EE122" s="62"/>
      <c r="EF122" s="60">
        <v>4</v>
      </c>
      <c r="EG122" s="60"/>
      <c r="EL122" s="80" t="s">
        <v>18</v>
      </c>
      <c r="EM122" s="80"/>
      <c r="EN122" s="80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3"/>
      <c r="FB122" s="2"/>
      <c r="FC122" s="5"/>
      <c r="FD122" s="2"/>
      <c r="FE122" s="2"/>
      <c r="FF122" s="80" t="s">
        <v>22</v>
      </c>
      <c r="FG122" s="80"/>
      <c r="FH122" s="80"/>
      <c r="FK122" s="60" t="s">
        <v>22</v>
      </c>
      <c r="FL122" s="60"/>
      <c r="FM122" s="60">
        <f>1/7</f>
        <v>0.14285714285714285</v>
      </c>
      <c r="FN122" s="60"/>
      <c r="FO122" s="60">
        <f>1/7</f>
        <v>0.14285714285714285</v>
      </c>
      <c r="FP122" s="60"/>
      <c r="FQ122" s="60">
        <f>1/8</f>
        <v>0.125</v>
      </c>
      <c r="FR122" s="60"/>
      <c r="FS122" s="60">
        <f>1/7</f>
        <v>0.14285714285714285</v>
      </c>
      <c r="FT122" s="60"/>
      <c r="FU122" s="60">
        <v>5</v>
      </c>
      <c r="FV122" s="60"/>
      <c r="FW122" s="60">
        <v>7</v>
      </c>
      <c r="FX122" s="60"/>
      <c r="FY122" s="62">
        <v>1</v>
      </c>
      <c r="FZ122" s="62"/>
    </row>
    <row r="123" spans="1:182" x14ac:dyDescent="0.35">
      <c r="A123" s="80" t="s">
        <v>18</v>
      </c>
      <c r="B123" s="80"/>
      <c r="C123" s="80"/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80" t="s">
        <v>83</v>
      </c>
      <c r="V123" s="80"/>
      <c r="W123" s="8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2"/>
      <c r="AO123" s="62"/>
      <c r="AP123" s="60"/>
      <c r="AQ123" s="60"/>
      <c r="AV123" s="80" t="s">
        <v>18</v>
      </c>
      <c r="AW123" s="80"/>
      <c r="AX123" s="80"/>
      <c r="AY123" s="2"/>
      <c r="AZ123" s="2"/>
      <c r="BA123" s="2"/>
      <c r="BB123" s="2"/>
      <c r="BC123" s="3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80" t="s">
        <v>83</v>
      </c>
      <c r="BQ123" s="80"/>
      <c r="BR123" s="80"/>
      <c r="BU123" s="60"/>
      <c r="BV123" s="60"/>
      <c r="BW123" s="60"/>
      <c r="BX123" s="60"/>
      <c r="BY123" s="60"/>
      <c r="BZ123" s="60"/>
      <c r="CA123" s="60"/>
      <c r="CB123" s="60"/>
      <c r="CC123" s="60"/>
      <c r="CD123" s="60"/>
      <c r="CE123" s="60"/>
      <c r="CF123" s="60"/>
      <c r="CG123" s="60"/>
      <c r="CH123" s="60"/>
      <c r="CI123" s="62"/>
      <c r="CJ123" s="62"/>
      <c r="CK123" s="60"/>
      <c r="CL123" s="60"/>
      <c r="CQ123" s="80" t="s">
        <v>18</v>
      </c>
      <c r="CR123" s="80"/>
      <c r="CS123" s="80"/>
      <c r="CT123" s="2"/>
      <c r="CU123" s="2"/>
      <c r="CV123" s="2"/>
      <c r="CW123" s="2"/>
      <c r="CX123" s="3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80" t="s">
        <v>83</v>
      </c>
      <c r="DL123" s="80"/>
      <c r="DM123" s="80"/>
      <c r="DP123" s="60"/>
      <c r="DQ123" s="60"/>
      <c r="DR123" s="60"/>
      <c r="DS123" s="60"/>
      <c r="DT123" s="60"/>
      <c r="DU123" s="60"/>
      <c r="DV123" s="60"/>
      <c r="DW123" s="60"/>
      <c r="DX123" s="60"/>
      <c r="DY123" s="60"/>
      <c r="DZ123" s="60"/>
      <c r="EA123" s="60"/>
      <c r="EB123" s="60"/>
      <c r="EC123" s="60"/>
      <c r="ED123" s="62"/>
      <c r="EE123" s="62"/>
      <c r="EF123" s="60"/>
      <c r="EG123" s="60"/>
      <c r="EL123" s="80" t="s">
        <v>18</v>
      </c>
      <c r="EM123" s="80"/>
      <c r="EN123" s="80"/>
      <c r="EO123" s="2"/>
      <c r="EP123" s="2"/>
      <c r="EQ123" s="2"/>
      <c r="ER123" s="2"/>
      <c r="ES123" s="3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80" t="s">
        <v>83</v>
      </c>
      <c r="FG123" s="80"/>
      <c r="FH123" s="80"/>
      <c r="FK123" s="60"/>
      <c r="FL123" s="60"/>
      <c r="FM123" s="60"/>
      <c r="FN123" s="60"/>
      <c r="FO123" s="60"/>
      <c r="FP123" s="60"/>
      <c r="FQ123" s="60"/>
      <c r="FR123" s="60"/>
      <c r="FS123" s="60"/>
      <c r="FT123" s="60"/>
      <c r="FU123" s="60"/>
      <c r="FV123" s="60"/>
      <c r="FW123" s="60"/>
      <c r="FX123" s="60"/>
      <c r="FY123" s="62"/>
      <c r="FZ123" s="62"/>
    </row>
    <row r="124" spans="1:182" x14ac:dyDescent="0.35">
      <c r="Z124" s="60" t="s">
        <v>83</v>
      </c>
      <c r="AA124" s="60"/>
      <c r="AB124" s="60">
        <f>1/3</f>
        <v>0.33333333333333331</v>
      </c>
      <c r="AC124" s="60"/>
      <c r="AD124" s="60">
        <v>5</v>
      </c>
      <c r="AE124" s="60"/>
      <c r="AF124" s="60">
        <f>1/9</f>
        <v>0.1111111111111111</v>
      </c>
      <c r="AG124" s="60"/>
      <c r="AH124" s="60">
        <v>7</v>
      </c>
      <c r="AI124" s="60"/>
      <c r="AJ124" s="60">
        <v>3</v>
      </c>
      <c r="AK124" s="60"/>
      <c r="AL124" s="60">
        <v>3</v>
      </c>
      <c r="AM124" s="60"/>
      <c r="AN124" s="60">
        <f>1/3</f>
        <v>0.33333333333333331</v>
      </c>
      <c r="AO124" s="60"/>
      <c r="AP124" s="62">
        <v>1</v>
      </c>
      <c r="AQ124" s="62"/>
      <c r="BU124" s="60" t="s">
        <v>83</v>
      </c>
      <c r="BV124" s="60"/>
      <c r="BW124" s="60">
        <f>1/3</f>
        <v>0.33333333333333331</v>
      </c>
      <c r="BX124" s="60"/>
      <c r="BY124" s="60">
        <v>5</v>
      </c>
      <c r="BZ124" s="60"/>
      <c r="CA124" s="60">
        <f>1/5</f>
        <v>0.2</v>
      </c>
      <c r="CB124" s="60"/>
      <c r="CC124" s="60">
        <v>7</v>
      </c>
      <c r="CD124" s="60"/>
      <c r="CE124" s="60">
        <f>1/9</f>
        <v>0.1111111111111111</v>
      </c>
      <c r="CF124" s="60"/>
      <c r="CG124" s="60">
        <f>1/6</f>
        <v>0.16666666666666666</v>
      </c>
      <c r="CH124" s="60"/>
      <c r="CI124" s="60">
        <f>1/5</f>
        <v>0.2</v>
      </c>
      <c r="CJ124" s="60"/>
      <c r="CK124" s="62">
        <v>1</v>
      </c>
      <c r="CL124" s="62"/>
      <c r="DP124" s="60" t="s">
        <v>83</v>
      </c>
      <c r="DQ124" s="60"/>
      <c r="DR124" s="60">
        <f>1/3</f>
        <v>0.33333333333333331</v>
      </c>
      <c r="DS124" s="60"/>
      <c r="DT124" s="60">
        <v>5</v>
      </c>
      <c r="DU124" s="60"/>
      <c r="DV124" s="60">
        <v>6</v>
      </c>
      <c r="DW124" s="60"/>
      <c r="DX124" s="60">
        <v>7</v>
      </c>
      <c r="DY124" s="60"/>
      <c r="DZ124" s="60">
        <v>3</v>
      </c>
      <c r="EA124" s="60"/>
      <c r="EB124" s="60">
        <f>1/8</f>
        <v>0.125</v>
      </c>
      <c r="EC124" s="60"/>
      <c r="ED124" s="60">
        <f>1/4</f>
        <v>0.25</v>
      </c>
      <c r="EE124" s="60"/>
      <c r="EF124" s="62">
        <v>1</v>
      </c>
      <c r="EG124" s="62"/>
      <c r="FK124" s="60" t="s">
        <v>83</v>
      </c>
      <c r="FL124" s="60"/>
      <c r="FM124" s="60">
        <f>1/3</f>
        <v>0.33333333333333331</v>
      </c>
      <c r="FN124" s="60"/>
      <c r="FO124" s="60">
        <v>5</v>
      </c>
      <c r="FP124" s="60"/>
      <c r="FQ124" s="60">
        <v>6</v>
      </c>
      <c r="FR124" s="60"/>
      <c r="FS124" s="60">
        <v>7</v>
      </c>
      <c r="FT124" s="60"/>
      <c r="FU124" s="60">
        <v>3</v>
      </c>
      <c r="FV124" s="60"/>
      <c r="FW124" s="60">
        <f>1/8</f>
        <v>0.125</v>
      </c>
      <c r="FX124" s="60"/>
      <c r="FY124" s="60">
        <f>1/4</f>
        <v>0.25</v>
      </c>
      <c r="FZ124" s="60"/>
    </row>
    <row r="125" spans="1:182" x14ac:dyDescent="0.35">
      <c r="A125" s="79" t="s">
        <v>2</v>
      </c>
      <c r="B125" s="79"/>
      <c r="C125" s="79"/>
      <c r="D125" s="2">
        <v>9</v>
      </c>
      <c r="E125" s="2">
        <v>8</v>
      </c>
      <c r="F125" s="2">
        <v>7</v>
      </c>
      <c r="G125" s="2">
        <v>6</v>
      </c>
      <c r="H125" s="2">
        <v>5</v>
      </c>
      <c r="I125" s="2">
        <v>4</v>
      </c>
      <c r="J125" s="2">
        <v>3</v>
      </c>
      <c r="K125" s="2">
        <v>2</v>
      </c>
      <c r="L125" s="2">
        <v>1</v>
      </c>
      <c r="M125" s="2">
        <v>2</v>
      </c>
      <c r="N125" s="2">
        <v>3</v>
      </c>
      <c r="O125" s="2">
        <v>4</v>
      </c>
      <c r="P125" s="2">
        <v>5</v>
      </c>
      <c r="Q125" s="2">
        <v>6</v>
      </c>
      <c r="R125" s="2">
        <v>7</v>
      </c>
      <c r="S125" s="2">
        <v>8</v>
      </c>
      <c r="T125" s="2">
        <v>9</v>
      </c>
      <c r="U125" s="79" t="s">
        <v>3</v>
      </c>
      <c r="V125" s="79"/>
      <c r="W125" s="79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2"/>
      <c r="AQ125" s="62"/>
      <c r="AV125" s="79" t="s">
        <v>2</v>
      </c>
      <c r="AW125" s="79"/>
      <c r="AX125" s="79"/>
      <c r="AY125" s="2">
        <v>9</v>
      </c>
      <c r="AZ125" s="2">
        <v>8</v>
      </c>
      <c r="BA125" s="2">
        <v>7</v>
      </c>
      <c r="BB125" s="2">
        <v>6</v>
      </c>
      <c r="BC125" s="2">
        <v>5</v>
      </c>
      <c r="BD125" s="2">
        <v>4</v>
      </c>
      <c r="BE125" s="2">
        <v>3</v>
      </c>
      <c r="BF125" s="2">
        <v>2</v>
      </c>
      <c r="BG125" s="2">
        <v>1</v>
      </c>
      <c r="BH125" s="2">
        <v>2</v>
      </c>
      <c r="BI125" s="2">
        <v>3</v>
      </c>
      <c r="BJ125" s="2">
        <v>4</v>
      </c>
      <c r="BK125" s="2">
        <v>5</v>
      </c>
      <c r="BL125" s="2">
        <v>6</v>
      </c>
      <c r="BM125" s="2">
        <v>7</v>
      </c>
      <c r="BN125" s="2">
        <v>8</v>
      </c>
      <c r="BO125" s="2">
        <v>9</v>
      </c>
      <c r="BP125" s="79" t="s">
        <v>3</v>
      </c>
      <c r="BQ125" s="79"/>
      <c r="BR125" s="79"/>
      <c r="BU125" s="60"/>
      <c r="BV125" s="60"/>
      <c r="BW125" s="60"/>
      <c r="BX125" s="60"/>
      <c r="BY125" s="60"/>
      <c r="BZ125" s="60"/>
      <c r="CA125" s="60"/>
      <c r="CB125" s="60"/>
      <c r="CC125" s="60"/>
      <c r="CD125" s="60"/>
      <c r="CE125" s="60"/>
      <c r="CF125" s="60"/>
      <c r="CG125" s="60"/>
      <c r="CH125" s="60"/>
      <c r="CI125" s="60"/>
      <c r="CJ125" s="60"/>
      <c r="CK125" s="62"/>
      <c r="CL125" s="62"/>
      <c r="CQ125" s="79" t="s">
        <v>2</v>
      </c>
      <c r="CR125" s="79"/>
      <c r="CS125" s="79"/>
      <c r="CT125" s="2">
        <v>9</v>
      </c>
      <c r="CU125" s="2">
        <v>8</v>
      </c>
      <c r="CV125" s="2">
        <v>7</v>
      </c>
      <c r="CW125" s="2">
        <v>6</v>
      </c>
      <c r="CX125" s="2">
        <v>5</v>
      </c>
      <c r="CY125" s="2">
        <v>4</v>
      </c>
      <c r="CZ125" s="2">
        <v>3</v>
      </c>
      <c r="DA125" s="2">
        <v>2</v>
      </c>
      <c r="DB125" s="2">
        <v>1</v>
      </c>
      <c r="DC125" s="2">
        <v>2</v>
      </c>
      <c r="DD125" s="2">
        <v>3</v>
      </c>
      <c r="DE125" s="2">
        <v>4</v>
      </c>
      <c r="DF125" s="2">
        <v>5</v>
      </c>
      <c r="DG125" s="2">
        <v>6</v>
      </c>
      <c r="DH125" s="2">
        <v>7</v>
      </c>
      <c r="DI125" s="2">
        <v>8</v>
      </c>
      <c r="DJ125" s="2">
        <v>9</v>
      </c>
      <c r="DK125" s="79" t="s">
        <v>3</v>
      </c>
      <c r="DL125" s="79"/>
      <c r="DM125" s="79"/>
      <c r="DP125" s="60"/>
      <c r="DQ125" s="60"/>
      <c r="DR125" s="60"/>
      <c r="DS125" s="60"/>
      <c r="DT125" s="60"/>
      <c r="DU125" s="60"/>
      <c r="DV125" s="60"/>
      <c r="DW125" s="60"/>
      <c r="DX125" s="60"/>
      <c r="DY125" s="60"/>
      <c r="DZ125" s="60"/>
      <c r="EA125" s="60"/>
      <c r="EB125" s="60"/>
      <c r="EC125" s="60"/>
      <c r="ED125" s="60"/>
      <c r="EE125" s="60"/>
      <c r="EF125" s="62"/>
      <c r="EG125" s="62"/>
      <c r="EL125" s="79" t="s">
        <v>2</v>
      </c>
      <c r="EM125" s="79"/>
      <c r="EN125" s="79"/>
      <c r="EO125" s="2">
        <v>9</v>
      </c>
      <c r="EP125" s="2">
        <v>8</v>
      </c>
      <c r="EQ125" s="2">
        <v>7</v>
      </c>
      <c r="ER125" s="2">
        <v>6</v>
      </c>
      <c r="ES125" s="2">
        <v>5</v>
      </c>
      <c r="ET125" s="2">
        <v>4</v>
      </c>
      <c r="EU125" s="2">
        <v>3</v>
      </c>
      <c r="EV125" s="2">
        <v>2</v>
      </c>
      <c r="EW125" s="2">
        <v>1</v>
      </c>
      <c r="EX125" s="2">
        <v>2</v>
      </c>
      <c r="EY125" s="2">
        <v>3</v>
      </c>
      <c r="EZ125" s="2">
        <v>4</v>
      </c>
      <c r="FA125" s="2">
        <v>5</v>
      </c>
      <c r="FB125" s="2">
        <v>6</v>
      </c>
      <c r="FC125" s="2">
        <v>7</v>
      </c>
      <c r="FD125" s="2">
        <v>8</v>
      </c>
      <c r="FE125" s="2">
        <v>9</v>
      </c>
      <c r="FF125" s="79" t="s">
        <v>3</v>
      </c>
      <c r="FG125" s="79"/>
      <c r="FH125" s="79"/>
      <c r="FK125" s="60"/>
      <c r="FL125" s="60"/>
      <c r="FM125" s="60"/>
      <c r="FN125" s="60"/>
      <c r="FO125" s="60"/>
      <c r="FP125" s="60"/>
      <c r="FQ125" s="60"/>
      <c r="FR125" s="60"/>
      <c r="FS125" s="60"/>
      <c r="FT125" s="60"/>
      <c r="FU125" s="60"/>
      <c r="FV125" s="60"/>
      <c r="FW125" s="60"/>
      <c r="FX125" s="60"/>
      <c r="FY125" s="60"/>
      <c r="FZ125" s="60"/>
    </row>
    <row r="126" spans="1:182" x14ac:dyDescent="0.35">
      <c r="A126" s="80" t="s">
        <v>19</v>
      </c>
      <c r="B126" s="80"/>
      <c r="C126" s="80"/>
      <c r="D126" s="2"/>
      <c r="E126" s="2"/>
      <c r="F126" s="3"/>
      <c r="G126" s="2"/>
      <c r="H126" s="2"/>
      <c r="I126" s="2"/>
      <c r="J126" s="5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80" t="s">
        <v>31</v>
      </c>
      <c r="V126" s="80"/>
      <c r="W126" s="80"/>
      <c r="AV126" s="80" t="s">
        <v>19</v>
      </c>
      <c r="AW126" s="80"/>
      <c r="AX126" s="80"/>
      <c r="AY126" s="2"/>
      <c r="AZ126" s="2"/>
      <c r="BA126" s="3"/>
      <c r="BB126" s="2"/>
      <c r="BC126" s="2"/>
      <c r="BD126" s="2"/>
      <c r="BE126" s="5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80" t="s">
        <v>31</v>
      </c>
      <c r="BQ126" s="80"/>
      <c r="BR126" s="80"/>
      <c r="CQ126" s="80" t="s">
        <v>19</v>
      </c>
      <c r="CR126" s="80"/>
      <c r="CS126" s="80"/>
      <c r="CT126" s="2"/>
      <c r="CU126" s="2"/>
      <c r="CV126" s="2"/>
      <c r="CW126" s="2"/>
      <c r="CX126" s="5"/>
      <c r="CY126" s="2"/>
      <c r="CZ126" s="5"/>
      <c r="DA126" s="2"/>
      <c r="DB126" s="2"/>
      <c r="DC126" s="2"/>
      <c r="DD126" s="2"/>
      <c r="DE126" s="2"/>
      <c r="DF126" s="3"/>
      <c r="DG126" s="2"/>
      <c r="DH126" s="2"/>
      <c r="DI126" s="2"/>
      <c r="DJ126" s="2"/>
      <c r="DK126" s="80" t="s">
        <v>31</v>
      </c>
      <c r="DL126" s="80"/>
      <c r="DM126" s="80"/>
      <c r="EL126" s="80" t="s">
        <v>19</v>
      </c>
      <c r="EM126" s="80"/>
      <c r="EN126" s="80"/>
      <c r="EO126" s="2"/>
      <c r="EP126" s="2"/>
      <c r="EQ126" s="3"/>
      <c r="ER126" s="2"/>
      <c r="ES126" s="2"/>
      <c r="ET126" s="2"/>
      <c r="EU126" s="5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80" t="s">
        <v>31</v>
      </c>
      <c r="FG126" s="80"/>
      <c r="FH126" s="80"/>
    </row>
    <row r="127" spans="1:182" x14ac:dyDescent="0.35">
      <c r="A127" s="80" t="s">
        <v>19</v>
      </c>
      <c r="B127" s="80"/>
      <c r="C127" s="80"/>
      <c r="D127" s="2"/>
      <c r="E127" s="2"/>
      <c r="F127" s="2"/>
      <c r="G127" s="2"/>
      <c r="H127" s="3"/>
      <c r="I127" s="2"/>
      <c r="J127" s="5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80" t="s">
        <v>20</v>
      </c>
      <c r="V127" s="80"/>
      <c r="W127" s="80"/>
      <c r="AV127" s="80" t="s">
        <v>19</v>
      </c>
      <c r="AW127" s="80"/>
      <c r="AX127" s="80"/>
      <c r="AY127" s="3"/>
      <c r="AZ127" s="2"/>
      <c r="BA127" s="2"/>
      <c r="BB127" s="2"/>
      <c r="BC127" s="2"/>
      <c r="BD127" s="2"/>
      <c r="BE127" s="5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80" t="s">
        <v>20</v>
      </c>
      <c r="BQ127" s="80"/>
      <c r="BR127" s="80"/>
      <c r="CQ127" s="80" t="s">
        <v>19</v>
      </c>
      <c r="CR127" s="80"/>
      <c r="CS127" s="80"/>
      <c r="CT127" s="3"/>
      <c r="CU127" s="2"/>
      <c r="CV127" s="2"/>
      <c r="CW127" s="2"/>
      <c r="CX127" s="2"/>
      <c r="CY127" s="2"/>
      <c r="CZ127" s="5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80" t="s">
        <v>20</v>
      </c>
      <c r="DL127" s="80"/>
      <c r="DM127" s="80"/>
      <c r="EL127" s="80" t="s">
        <v>19</v>
      </c>
      <c r="EM127" s="80"/>
      <c r="EN127" s="80"/>
      <c r="EO127" s="3"/>
      <c r="EP127" s="2"/>
      <c r="EQ127" s="2"/>
      <c r="ER127" s="2"/>
      <c r="ES127" s="2"/>
      <c r="ET127" s="2"/>
      <c r="EU127" s="5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80" t="s">
        <v>20</v>
      </c>
      <c r="FG127" s="80"/>
      <c r="FH127" s="80"/>
    </row>
    <row r="128" spans="1:182" x14ac:dyDescent="0.35">
      <c r="A128" s="80" t="s">
        <v>19</v>
      </c>
      <c r="B128" s="80"/>
      <c r="C128" s="80"/>
      <c r="D128" s="2"/>
      <c r="E128" s="2"/>
      <c r="F128" s="2"/>
      <c r="G128" s="2"/>
      <c r="H128" s="2"/>
      <c r="I128" s="2"/>
      <c r="J128" s="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80" t="s">
        <v>21</v>
      </c>
      <c r="V128" s="80"/>
      <c r="W128" s="80"/>
      <c r="Y128" s="6"/>
      <c r="Z128" s="6"/>
      <c r="AA128" s="6"/>
      <c r="AV128" s="80" t="s">
        <v>19</v>
      </c>
      <c r="AW128" s="80"/>
      <c r="AX128" s="80"/>
      <c r="AY128" s="2"/>
      <c r="AZ128" s="2"/>
      <c r="BA128" s="2"/>
      <c r="BB128" s="2"/>
      <c r="BC128" s="2"/>
      <c r="BD128" s="2"/>
      <c r="BE128" s="5"/>
      <c r="BF128" s="2"/>
      <c r="BG128" s="2"/>
      <c r="BH128" s="2"/>
      <c r="BI128" s="2"/>
      <c r="BJ128" s="2"/>
      <c r="BK128" s="2"/>
      <c r="BL128" s="2"/>
      <c r="BM128" s="3"/>
      <c r="BN128" s="2"/>
      <c r="BO128" s="2"/>
      <c r="BP128" s="80" t="s">
        <v>21</v>
      </c>
      <c r="BQ128" s="80"/>
      <c r="BR128" s="80"/>
      <c r="BT128" s="6"/>
      <c r="BU128" s="6"/>
      <c r="BV128" s="6"/>
      <c r="CQ128" s="80" t="s">
        <v>19</v>
      </c>
      <c r="CR128" s="80"/>
      <c r="CS128" s="80"/>
      <c r="CT128" s="2"/>
      <c r="CU128" s="2"/>
      <c r="CV128" s="3"/>
      <c r="CW128" s="2"/>
      <c r="CX128" s="2"/>
      <c r="CY128" s="2"/>
      <c r="CZ128" s="5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80" t="s">
        <v>21</v>
      </c>
      <c r="DL128" s="80"/>
      <c r="DM128" s="80"/>
      <c r="DO128" s="6"/>
      <c r="DP128" s="6"/>
      <c r="DQ128" s="6"/>
      <c r="EL128" s="80" t="s">
        <v>19</v>
      </c>
      <c r="EM128" s="80"/>
      <c r="EN128" s="80"/>
      <c r="EO128" s="2"/>
      <c r="EP128" s="2"/>
      <c r="EQ128" s="2"/>
      <c r="ER128" s="2"/>
      <c r="ES128" s="2"/>
      <c r="ET128" s="2"/>
      <c r="EU128" s="3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80" t="s">
        <v>21</v>
      </c>
      <c r="FG128" s="80"/>
      <c r="FH128" s="80"/>
      <c r="FJ128" s="6"/>
      <c r="FK128" s="6"/>
      <c r="FL128" s="6"/>
    </row>
    <row r="129" spans="1:164" x14ac:dyDescent="0.35">
      <c r="A129" s="80" t="s">
        <v>19</v>
      </c>
      <c r="B129" s="80"/>
      <c r="C129" s="8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5"/>
      <c r="Q129" s="2"/>
      <c r="R129" s="2"/>
      <c r="S129" s="2"/>
      <c r="T129" s="3"/>
      <c r="U129" s="80" t="s">
        <v>22</v>
      </c>
      <c r="V129" s="80"/>
      <c r="W129" s="80"/>
      <c r="AV129" s="80" t="s">
        <v>19</v>
      </c>
      <c r="AW129" s="80"/>
      <c r="AX129" s="80"/>
      <c r="AY129" s="3"/>
      <c r="AZ129" s="2"/>
      <c r="BA129" s="2"/>
      <c r="BB129" s="5"/>
      <c r="BC129" s="5"/>
      <c r="BD129" s="2"/>
      <c r="BE129" s="2"/>
      <c r="BF129" s="2"/>
      <c r="BG129" s="2"/>
      <c r="BH129" s="2"/>
      <c r="BI129" s="2"/>
      <c r="BJ129" s="2"/>
      <c r="BK129" s="5"/>
      <c r="BL129" s="2"/>
      <c r="BM129" s="2"/>
      <c r="BN129" s="2"/>
      <c r="BO129" s="2"/>
      <c r="BP129" s="80" t="s">
        <v>22</v>
      </c>
      <c r="BQ129" s="80"/>
      <c r="BR129" s="80"/>
      <c r="CQ129" s="80" t="s">
        <v>19</v>
      </c>
      <c r="CR129" s="80"/>
      <c r="CS129" s="80"/>
      <c r="CT129" s="2"/>
      <c r="CU129" s="2"/>
      <c r="CV129" s="2"/>
      <c r="CW129" s="2"/>
      <c r="CX129" s="2"/>
      <c r="CY129" s="5"/>
      <c r="CZ129" s="2"/>
      <c r="DA129" s="2"/>
      <c r="DB129" s="2"/>
      <c r="DC129" s="2"/>
      <c r="DD129" s="2"/>
      <c r="DE129" s="2"/>
      <c r="DF129" s="5"/>
      <c r="DG129" s="2"/>
      <c r="DH129" s="2"/>
      <c r="DI129" s="3"/>
      <c r="DJ129" s="2"/>
      <c r="DK129" s="80" t="s">
        <v>22</v>
      </c>
      <c r="DL129" s="80"/>
      <c r="DM129" s="80"/>
      <c r="EL129" s="80" t="s">
        <v>19</v>
      </c>
      <c r="EM129" s="80"/>
      <c r="EN129" s="80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5"/>
      <c r="FB129" s="2"/>
      <c r="FC129" s="3"/>
      <c r="FD129" s="2"/>
      <c r="FE129" s="2"/>
      <c r="FF129" s="80" t="s">
        <v>22</v>
      </c>
      <c r="FG129" s="80"/>
      <c r="FH129" s="80"/>
    </row>
    <row r="130" spans="1:164" x14ac:dyDescent="0.35">
      <c r="A130" s="80" t="s">
        <v>19</v>
      </c>
      <c r="B130" s="80"/>
      <c r="C130" s="8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5"/>
      <c r="O130" s="2"/>
      <c r="P130" s="2"/>
      <c r="Q130" s="2"/>
      <c r="R130" s="2"/>
      <c r="S130" s="2"/>
      <c r="T130" s="3"/>
      <c r="U130" s="80" t="s">
        <v>83</v>
      </c>
      <c r="V130" s="80"/>
      <c r="W130" s="80"/>
      <c r="AV130" s="80" t="s">
        <v>19</v>
      </c>
      <c r="AW130" s="80"/>
      <c r="AX130" s="80"/>
      <c r="AY130" s="2"/>
      <c r="AZ130" s="2"/>
      <c r="BA130" s="2"/>
      <c r="BB130" s="2"/>
      <c r="BC130" s="5"/>
      <c r="BD130" s="2"/>
      <c r="BE130" s="2"/>
      <c r="BF130" s="2"/>
      <c r="BG130" s="2"/>
      <c r="BH130" s="2"/>
      <c r="BI130" s="5"/>
      <c r="BJ130" s="2"/>
      <c r="BK130" s="3"/>
      <c r="BL130" s="2"/>
      <c r="BM130" s="2"/>
      <c r="BN130" s="2"/>
      <c r="BO130" s="2"/>
      <c r="BP130" s="80" t="s">
        <v>83</v>
      </c>
      <c r="BQ130" s="80"/>
      <c r="BR130" s="80"/>
      <c r="CQ130" s="80" t="s">
        <v>19</v>
      </c>
      <c r="CR130" s="80"/>
      <c r="CS130" s="80"/>
      <c r="CT130" s="2"/>
      <c r="CU130" s="2"/>
      <c r="CV130" s="2"/>
      <c r="CW130" s="3"/>
      <c r="CX130" s="2"/>
      <c r="CY130" s="2"/>
      <c r="CZ130" s="2"/>
      <c r="DA130" s="2"/>
      <c r="DB130" s="2"/>
      <c r="DC130" s="2"/>
      <c r="DD130" s="5"/>
      <c r="DE130" s="2"/>
      <c r="DF130" s="2"/>
      <c r="DG130" s="2"/>
      <c r="DH130" s="2"/>
      <c r="DI130" s="2"/>
      <c r="DJ130" s="2"/>
      <c r="DK130" s="80" t="s">
        <v>83</v>
      </c>
      <c r="DL130" s="80"/>
      <c r="DM130" s="80"/>
      <c r="EL130" s="80" t="s">
        <v>19</v>
      </c>
      <c r="EM130" s="80"/>
      <c r="EN130" s="80"/>
      <c r="EO130" s="2"/>
      <c r="EP130" s="2"/>
      <c r="EQ130" s="2"/>
      <c r="ER130" s="2"/>
      <c r="ES130" s="3"/>
      <c r="ET130" s="2"/>
      <c r="EU130" s="2"/>
      <c r="EV130" s="2"/>
      <c r="EW130" s="2"/>
      <c r="EX130" s="2"/>
      <c r="EY130" s="5"/>
      <c r="EZ130" s="2"/>
      <c r="FA130" s="2"/>
      <c r="FB130" s="2"/>
      <c r="FC130" s="2"/>
      <c r="FD130" s="2"/>
      <c r="FE130" s="2"/>
      <c r="FF130" s="80" t="s">
        <v>83</v>
      </c>
      <c r="FG130" s="80"/>
      <c r="FH130" s="80"/>
    </row>
    <row r="132" spans="1:164" x14ac:dyDescent="0.35">
      <c r="A132" s="79" t="s">
        <v>2</v>
      </c>
      <c r="B132" s="79"/>
      <c r="C132" s="79"/>
      <c r="D132" s="2">
        <v>9</v>
      </c>
      <c r="E132" s="2">
        <v>8</v>
      </c>
      <c r="F132" s="2">
        <v>7</v>
      </c>
      <c r="G132" s="2">
        <v>6</v>
      </c>
      <c r="H132" s="2">
        <v>5</v>
      </c>
      <c r="I132" s="2">
        <v>4</v>
      </c>
      <c r="J132" s="2">
        <v>3</v>
      </c>
      <c r="K132" s="2">
        <v>2</v>
      </c>
      <c r="L132" s="2">
        <v>1</v>
      </c>
      <c r="M132" s="2">
        <v>2</v>
      </c>
      <c r="N132" s="2">
        <v>3</v>
      </c>
      <c r="O132" s="2">
        <v>4</v>
      </c>
      <c r="P132" s="2">
        <v>5</v>
      </c>
      <c r="Q132" s="2">
        <v>6</v>
      </c>
      <c r="R132" s="2">
        <v>7</v>
      </c>
      <c r="S132" s="2">
        <v>8</v>
      </c>
      <c r="T132" s="2">
        <v>9</v>
      </c>
      <c r="U132" s="79" t="s">
        <v>3</v>
      </c>
      <c r="V132" s="79"/>
      <c r="W132" s="79"/>
      <c r="AV132" s="79" t="s">
        <v>2</v>
      </c>
      <c r="AW132" s="79"/>
      <c r="AX132" s="79"/>
      <c r="AY132" s="2">
        <v>9</v>
      </c>
      <c r="AZ132" s="2">
        <v>8</v>
      </c>
      <c r="BA132" s="2">
        <v>7</v>
      </c>
      <c r="BB132" s="2">
        <v>6</v>
      </c>
      <c r="BC132" s="2">
        <v>5</v>
      </c>
      <c r="BD132" s="2">
        <v>4</v>
      </c>
      <c r="BE132" s="2">
        <v>3</v>
      </c>
      <c r="BF132" s="2">
        <v>2</v>
      </c>
      <c r="BG132" s="2">
        <v>1</v>
      </c>
      <c r="BH132" s="2">
        <v>2</v>
      </c>
      <c r="BI132" s="2">
        <v>3</v>
      </c>
      <c r="BJ132" s="2">
        <v>4</v>
      </c>
      <c r="BK132" s="2">
        <v>5</v>
      </c>
      <c r="BL132" s="2">
        <v>6</v>
      </c>
      <c r="BM132" s="2">
        <v>7</v>
      </c>
      <c r="BN132" s="2">
        <v>8</v>
      </c>
      <c r="BO132" s="2">
        <v>9</v>
      </c>
      <c r="BP132" s="79" t="s">
        <v>3</v>
      </c>
      <c r="BQ132" s="79"/>
      <c r="BR132" s="79"/>
      <c r="CQ132" s="79" t="s">
        <v>2</v>
      </c>
      <c r="CR132" s="79"/>
      <c r="CS132" s="79"/>
      <c r="CT132" s="2">
        <v>9</v>
      </c>
      <c r="CU132" s="2">
        <v>8</v>
      </c>
      <c r="CV132" s="2">
        <v>7</v>
      </c>
      <c r="CW132" s="2">
        <v>6</v>
      </c>
      <c r="CX132" s="2">
        <v>5</v>
      </c>
      <c r="CY132" s="2">
        <v>4</v>
      </c>
      <c r="CZ132" s="2">
        <v>3</v>
      </c>
      <c r="DA132" s="2">
        <v>2</v>
      </c>
      <c r="DB132" s="2">
        <v>1</v>
      </c>
      <c r="DC132" s="2">
        <v>2</v>
      </c>
      <c r="DD132" s="2">
        <v>3</v>
      </c>
      <c r="DE132" s="2">
        <v>4</v>
      </c>
      <c r="DF132" s="2">
        <v>5</v>
      </c>
      <c r="DG132" s="2">
        <v>6</v>
      </c>
      <c r="DH132" s="2">
        <v>7</v>
      </c>
      <c r="DI132" s="2">
        <v>8</v>
      </c>
      <c r="DJ132" s="2">
        <v>9</v>
      </c>
      <c r="DK132" s="79" t="s">
        <v>3</v>
      </c>
      <c r="DL132" s="79"/>
      <c r="DM132" s="79"/>
      <c r="EL132" s="79" t="s">
        <v>2</v>
      </c>
      <c r="EM132" s="79"/>
      <c r="EN132" s="79"/>
      <c r="EO132" s="2">
        <v>9</v>
      </c>
      <c r="EP132" s="2">
        <v>8</v>
      </c>
      <c r="EQ132" s="2">
        <v>7</v>
      </c>
      <c r="ER132" s="2">
        <v>6</v>
      </c>
      <c r="ES132" s="2">
        <v>5</v>
      </c>
      <c r="ET132" s="2">
        <v>4</v>
      </c>
      <c r="EU132" s="2">
        <v>3</v>
      </c>
      <c r="EV132" s="2">
        <v>2</v>
      </c>
      <c r="EW132" s="2">
        <v>1</v>
      </c>
      <c r="EX132" s="2">
        <v>2</v>
      </c>
      <c r="EY132" s="2">
        <v>3</v>
      </c>
      <c r="EZ132" s="2">
        <v>4</v>
      </c>
      <c r="FA132" s="2">
        <v>5</v>
      </c>
      <c r="FB132" s="2">
        <v>6</v>
      </c>
      <c r="FC132" s="2">
        <v>7</v>
      </c>
      <c r="FD132" s="2">
        <v>8</v>
      </c>
      <c r="FE132" s="2">
        <v>9</v>
      </c>
      <c r="FF132" s="79" t="s">
        <v>3</v>
      </c>
      <c r="FG132" s="79"/>
      <c r="FH132" s="79"/>
    </row>
    <row r="133" spans="1:164" x14ac:dyDescent="0.35">
      <c r="A133" s="80" t="s">
        <v>31</v>
      </c>
      <c r="B133" s="80"/>
      <c r="C133" s="80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80" t="s">
        <v>20</v>
      </c>
      <c r="V133" s="80"/>
      <c r="W133" s="80"/>
      <c r="AV133" s="80" t="s">
        <v>31</v>
      </c>
      <c r="AW133" s="80"/>
      <c r="AX133" s="80"/>
      <c r="AY133" s="2"/>
      <c r="AZ133" s="2"/>
      <c r="BA133" s="3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80" t="s">
        <v>20</v>
      </c>
      <c r="BQ133" s="80"/>
      <c r="BR133" s="80"/>
      <c r="CQ133" s="80" t="s">
        <v>31</v>
      </c>
      <c r="CR133" s="80"/>
      <c r="CS133" s="80"/>
      <c r="CT133" s="2"/>
      <c r="CU133" s="2"/>
      <c r="CV133" s="3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80" t="s">
        <v>20</v>
      </c>
      <c r="DL133" s="80"/>
      <c r="DM133" s="80"/>
      <c r="EL133" s="80" t="s">
        <v>31</v>
      </c>
      <c r="EM133" s="80"/>
      <c r="EN133" s="80"/>
      <c r="EO133" s="2"/>
      <c r="EP133" s="2"/>
      <c r="EQ133" s="2"/>
      <c r="ER133" s="2"/>
      <c r="ES133" s="3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80" t="s">
        <v>20</v>
      </c>
      <c r="FG133" s="80"/>
      <c r="FH133" s="80"/>
    </row>
    <row r="134" spans="1:164" x14ac:dyDescent="0.35">
      <c r="A134" s="80" t="s">
        <v>31</v>
      </c>
      <c r="B134" s="80"/>
      <c r="C134" s="8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O134" s="2"/>
      <c r="P134" s="2"/>
      <c r="Q134" s="2"/>
      <c r="R134" s="2"/>
      <c r="S134" s="2"/>
      <c r="T134" s="2"/>
      <c r="U134" s="80" t="s">
        <v>21</v>
      </c>
      <c r="V134" s="80"/>
      <c r="W134" s="80"/>
      <c r="AV134" s="80" t="s">
        <v>31</v>
      </c>
      <c r="AW134" s="80"/>
      <c r="AX134" s="80"/>
      <c r="AY134" s="3"/>
      <c r="AZ134" s="2"/>
      <c r="BA134" s="2"/>
      <c r="BB134" s="2"/>
      <c r="BC134" s="5"/>
      <c r="BD134" s="2"/>
      <c r="BE134" s="2"/>
      <c r="BF134" s="2"/>
      <c r="BG134" s="2"/>
      <c r="BH134" s="2"/>
      <c r="BI134" s="5"/>
      <c r="BJ134" s="2"/>
      <c r="BK134" s="2"/>
      <c r="BL134" s="2"/>
      <c r="BM134" s="5"/>
      <c r="BN134" s="2"/>
      <c r="BO134" s="2"/>
      <c r="BP134" s="80" t="s">
        <v>21</v>
      </c>
      <c r="BQ134" s="80"/>
      <c r="BR134" s="80"/>
      <c r="CQ134" s="80" t="s">
        <v>31</v>
      </c>
      <c r="CR134" s="80"/>
      <c r="CS134" s="80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5"/>
      <c r="DE134" s="2"/>
      <c r="DF134" s="3"/>
      <c r="DG134" s="2"/>
      <c r="DH134" s="2"/>
      <c r="DI134" s="2"/>
      <c r="DJ134" s="2"/>
      <c r="DK134" s="80" t="s">
        <v>21</v>
      </c>
      <c r="DL134" s="80"/>
      <c r="DM134" s="80"/>
      <c r="EL134" s="80" t="s">
        <v>31</v>
      </c>
      <c r="EM134" s="80"/>
      <c r="EN134" s="80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3"/>
      <c r="EZ134" s="2"/>
      <c r="FA134" s="2"/>
      <c r="FB134" s="2"/>
      <c r="FC134" s="2"/>
      <c r="FD134" s="2"/>
      <c r="FE134" s="2"/>
      <c r="FF134" s="80" t="s">
        <v>21</v>
      </c>
      <c r="FG134" s="80"/>
      <c r="FH134" s="80"/>
    </row>
    <row r="135" spans="1:164" x14ac:dyDescent="0.35">
      <c r="A135" s="80" t="s">
        <v>31</v>
      </c>
      <c r="B135" s="80"/>
      <c r="C135" s="8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Q135" s="2"/>
      <c r="R135" s="2"/>
      <c r="S135" s="2"/>
      <c r="T135" s="2"/>
      <c r="U135" s="80" t="s">
        <v>22</v>
      </c>
      <c r="V135" s="80"/>
      <c r="W135" s="80"/>
      <c r="AV135" s="80" t="s">
        <v>31</v>
      </c>
      <c r="AW135" s="80"/>
      <c r="AX135" s="80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3"/>
      <c r="BL135" s="2"/>
      <c r="BM135" s="2"/>
      <c r="BN135" s="2"/>
      <c r="BO135" s="2"/>
      <c r="BP135" s="80" t="s">
        <v>22</v>
      </c>
      <c r="BQ135" s="80"/>
      <c r="BR135" s="80"/>
      <c r="CQ135" s="80" t="s">
        <v>31</v>
      </c>
      <c r="CR135" s="80"/>
      <c r="CS135" s="80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5"/>
      <c r="DG135" s="2"/>
      <c r="DH135" s="3"/>
      <c r="DI135" s="2"/>
      <c r="DJ135" s="2"/>
      <c r="DK135" s="80" t="s">
        <v>22</v>
      </c>
      <c r="DL135" s="80"/>
      <c r="DM135" s="80"/>
      <c r="EL135" s="80" t="s">
        <v>31</v>
      </c>
      <c r="EM135" s="80"/>
      <c r="EN135" s="80"/>
      <c r="EO135" s="3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5"/>
      <c r="FB135" s="2"/>
      <c r="FC135" s="2"/>
      <c r="FD135" s="2"/>
      <c r="FE135" s="2"/>
      <c r="FF135" s="80" t="s">
        <v>22</v>
      </c>
      <c r="FG135" s="80"/>
      <c r="FH135" s="80"/>
    </row>
    <row r="136" spans="1:164" x14ac:dyDescent="0.35">
      <c r="A136" s="80" t="s">
        <v>31</v>
      </c>
      <c r="B136" s="80"/>
      <c r="C136" s="80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80" t="s">
        <v>83</v>
      </c>
      <c r="V136" s="80"/>
      <c r="W136" s="80"/>
      <c r="AV136" s="80" t="s">
        <v>31</v>
      </c>
      <c r="AW136" s="80"/>
      <c r="AX136" s="80"/>
      <c r="AY136" s="2"/>
      <c r="AZ136" s="2"/>
      <c r="BA136" s="3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80" t="s">
        <v>83</v>
      </c>
      <c r="BQ136" s="80"/>
      <c r="BR136" s="80"/>
      <c r="CQ136" s="80" t="s">
        <v>31</v>
      </c>
      <c r="CR136" s="80"/>
      <c r="CS136" s="80"/>
      <c r="CT136" s="2"/>
      <c r="CU136" s="2"/>
      <c r="CV136" s="3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80" t="s">
        <v>83</v>
      </c>
      <c r="DL136" s="80"/>
      <c r="DM136" s="80"/>
      <c r="EL136" s="80" t="s">
        <v>31</v>
      </c>
      <c r="EM136" s="80"/>
      <c r="EN136" s="80"/>
      <c r="EO136" s="2"/>
      <c r="EP136" s="2"/>
      <c r="EQ136" s="3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80" t="s">
        <v>83</v>
      </c>
      <c r="FG136" s="80"/>
      <c r="FH136" s="80"/>
    </row>
    <row r="138" spans="1:164" x14ac:dyDescent="0.35">
      <c r="A138" s="79" t="s">
        <v>2</v>
      </c>
      <c r="B138" s="79"/>
      <c r="C138" s="79"/>
      <c r="D138" s="2">
        <v>9</v>
      </c>
      <c r="E138" s="2">
        <v>8</v>
      </c>
      <c r="F138" s="2">
        <v>7</v>
      </c>
      <c r="G138" s="2">
        <v>6</v>
      </c>
      <c r="H138" s="2">
        <v>5</v>
      </c>
      <c r="I138" s="2">
        <v>4</v>
      </c>
      <c r="J138" s="2">
        <v>3</v>
      </c>
      <c r="K138" s="2">
        <v>2</v>
      </c>
      <c r="L138" s="2">
        <v>1</v>
      </c>
      <c r="M138" s="2">
        <v>2</v>
      </c>
      <c r="N138" s="2">
        <v>3</v>
      </c>
      <c r="O138" s="2">
        <v>4</v>
      </c>
      <c r="P138" s="2">
        <v>5</v>
      </c>
      <c r="Q138" s="2">
        <v>6</v>
      </c>
      <c r="R138" s="2">
        <v>7</v>
      </c>
      <c r="S138" s="2">
        <v>8</v>
      </c>
      <c r="T138" s="2">
        <v>9</v>
      </c>
      <c r="U138" s="79" t="s">
        <v>3</v>
      </c>
      <c r="V138" s="79"/>
      <c r="W138" s="79"/>
      <c r="AV138" s="79" t="s">
        <v>2</v>
      </c>
      <c r="AW138" s="79"/>
      <c r="AX138" s="79"/>
      <c r="AY138" s="2">
        <v>9</v>
      </c>
      <c r="AZ138" s="2">
        <v>8</v>
      </c>
      <c r="BA138" s="2">
        <v>7</v>
      </c>
      <c r="BB138" s="2">
        <v>6</v>
      </c>
      <c r="BC138" s="2">
        <v>5</v>
      </c>
      <c r="BD138" s="2">
        <v>4</v>
      </c>
      <c r="BE138" s="2">
        <v>3</v>
      </c>
      <c r="BF138" s="2">
        <v>2</v>
      </c>
      <c r="BG138" s="2">
        <v>1</v>
      </c>
      <c r="BH138" s="2">
        <v>2</v>
      </c>
      <c r="BI138" s="2">
        <v>3</v>
      </c>
      <c r="BJ138" s="2">
        <v>4</v>
      </c>
      <c r="BK138" s="2">
        <v>5</v>
      </c>
      <c r="BL138" s="2">
        <v>6</v>
      </c>
      <c r="BM138" s="2">
        <v>7</v>
      </c>
      <c r="BN138" s="2">
        <v>8</v>
      </c>
      <c r="BO138" s="2">
        <v>9</v>
      </c>
      <c r="BP138" s="79" t="s">
        <v>3</v>
      </c>
      <c r="BQ138" s="79"/>
      <c r="BR138" s="79"/>
      <c r="CQ138" s="79" t="s">
        <v>2</v>
      </c>
      <c r="CR138" s="79"/>
      <c r="CS138" s="79"/>
      <c r="CT138" s="2">
        <v>9</v>
      </c>
      <c r="CU138" s="2">
        <v>8</v>
      </c>
      <c r="CV138" s="2">
        <v>7</v>
      </c>
      <c r="CW138" s="2">
        <v>6</v>
      </c>
      <c r="CX138" s="2">
        <v>5</v>
      </c>
      <c r="CY138" s="2">
        <v>4</v>
      </c>
      <c r="CZ138" s="2">
        <v>3</v>
      </c>
      <c r="DA138" s="2">
        <v>2</v>
      </c>
      <c r="DB138" s="2">
        <v>1</v>
      </c>
      <c r="DC138" s="2">
        <v>2</v>
      </c>
      <c r="DD138" s="2">
        <v>3</v>
      </c>
      <c r="DE138" s="2">
        <v>4</v>
      </c>
      <c r="DF138" s="2">
        <v>5</v>
      </c>
      <c r="DG138" s="2">
        <v>6</v>
      </c>
      <c r="DH138" s="2">
        <v>7</v>
      </c>
      <c r="DI138" s="2">
        <v>8</v>
      </c>
      <c r="DJ138" s="2">
        <v>9</v>
      </c>
      <c r="DK138" s="79" t="s">
        <v>3</v>
      </c>
      <c r="DL138" s="79"/>
      <c r="DM138" s="79"/>
      <c r="EL138" s="79" t="s">
        <v>2</v>
      </c>
      <c r="EM138" s="79"/>
      <c r="EN138" s="79"/>
      <c r="EO138" s="2">
        <v>9</v>
      </c>
      <c r="EP138" s="2">
        <v>8</v>
      </c>
      <c r="EQ138" s="2">
        <v>7</v>
      </c>
      <c r="ER138" s="2">
        <v>6</v>
      </c>
      <c r="ES138" s="2">
        <v>5</v>
      </c>
      <c r="ET138" s="2">
        <v>4</v>
      </c>
      <c r="EU138" s="2">
        <v>3</v>
      </c>
      <c r="EV138" s="2">
        <v>2</v>
      </c>
      <c r="EW138" s="2">
        <v>1</v>
      </c>
      <c r="EX138" s="2">
        <v>2</v>
      </c>
      <c r="EY138" s="2">
        <v>3</v>
      </c>
      <c r="EZ138" s="2">
        <v>4</v>
      </c>
      <c r="FA138" s="2">
        <v>5</v>
      </c>
      <c r="FB138" s="2">
        <v>6</v>
      </c>
      <c r="FC138" s="2">
        <v>7</v>
      </c>
      <c r="FD138" s="2">
        <v>8</v>
      </c>
      <c r="FE138" s="2">
        <v>9</v>
      </c>
      <c r="FF138" s="79" t="s">
        <v>3</v>
      </c>
      <c r="FG138" s="79"/>
      <c r="FH138" s="79"/>
    </row>
    <row r="139" spans="1:164" x14ac:dyDescent="0.35">
      <c r="A139" s="80" t="s">
        <v>20</v>
      </c>
      <c r="B139" s="80"/>
      <c r="C139" s="8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2"/>
      <c r="P139" s="2"/>
      <c r="Q139" s="2"/>
      <c r="R139" s="2"/>
      <c r="S139" s="2"/>
      <c r="T139" s="2"/>
      <c r="U139" s="80" t="s">
        <v>21</v>
      </c>
      <c r="V139" s="80"/>
      <c r="W139" s="80"/>
      <c r="AV139" s="80" t="s">
        <v>20</v>
      </c>
      <c r="AW139" s="80"/>
      <c r="AX139" s="80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3"/>
      <c r="BN139" s="2"/>
      <c r="BO139" s="2"/>
      <c r="BP139" s="80" t="s">
        <v>21</v>
      </c>
      <c r="BQ139" s="80"/>
      <c r="BR139" s="80"/>
      <c r="CQ139" s="80" t="s">
        <v>20</v>
      </c>
      <c r="CR139" s="80"/>
      <c r="CS139" s="80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3"/>
      <c r="DK139" s="80" t="s">
        <v>21</v>
      </c>
      <c r="DL139" s="80"/>
      <c r="DM139" s="80"/>
      <c r="EL139" s="80" t="s">
        <v>20</v>
      </c>
      <c r="EM139" s="80"/>
      <c r="EN139" s="80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3"/>
      <c r="FB139" s="2"/>
      <c r="FC139" s="2"/>
      <c r="FD139" s="2"/>
      <c r="FE139" s="2"/>
      <c r="FF139" s="80" t="s">
        <v>21</v>
      </c>
      <c r="FG139" s="80"/>
      <c r="FH139" s="80"/>
    </row>
    <row r="140" spans="1:164" x14ac:dyDescent="0.35">
      <c r="A140" s="80" t="s">
        <v>20</v>
      </c>
      <c r="B140" s="80"/>
      <c r="C140" s="8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2"/>
      <c r="P140" s="2"/>
      <c r="Q140" s="2"/>
      <c r="R140" s="2"/>
      <c r="S140" s="2"/>
      <c r="T140" s="2"/>
      <c r="U140" s="80" t="s">
        <v>22</v>
      </c>
      <c r="V140" s="80"/>
      <c r="W140" s="80"/>
      <c r="AV140" s="80" t="s">
        <v>20</v>
      </c>
      <c r="AW140" s="80"/>
      <c r="AX140" s="80"/>
      <c r="AY140" s="2"/>
      <c r="AZ140" s="2"/>
      <c r="BA140" s="3"/>
      <c r="BB140" s="2"/>
      <c r="BC140" s="2"/>
      <c r="BD140" s="2"/>
      <c r="BE140" s="2"/>
      <c r="BF140" s="2"/>
      <c r="BG140" s="2"/>
      <c r="BH140" s="2"/>
      <c r="BI140" s="5"/>
      <c r="BJ140" s="2"/>
      <c r="BK140" s="2"/>
      <c r="BL140" s="2"/>
      <c r="BM140" s="2"/>
      <c r="BN140" s="2"/>
      <c r="BO140" s="2"/>
      <c r="BP140" s="80" t="s">
        <v>22</v>
      </c>
      <c r="BQ140" s="80"/>
      <c r="BR140" s="80"/>
      <c r="CQ140" s="80" t="s">
        <v>20</v>
      </c>
      <c r="CR140" s="80"/>
      <c r="CS140" s="80"/>
      <c r="CT140" s="2"/>
      <c r="CU140" s="2"/>
      <c r="CV140" s="2"/>
      <c r="CW140" s="2"/>
      <c r="CX140" s="3"/>
      <c r="CY140" s="2"/>
      <c r="CZ140" s="2"/>
      <c r="DA140" s="2"/>
      <c r="DB140" s="2"/>
      <c r="DC140" s="2"/>
      <c r="DD140" s="5"/>
      <c r="DE140" s="2"/>
      <c r="DF140" s="2"/>
      <c r="DG140" s="2"/>
      <c r="DH140" s="2"/>
      <c r="DI140" s="2"/>
      <c r="DJ140" s="2"/>
      <c r="DK140" s="80" t="s">
        <v>22</v>
      </c>
      <c r="DL140" s="80"/>
      <c r="DM140" s="80"/>
      <c r="EL140" s="80" t="s">
        <v>20</v>
      </c>
      <c r="EM140" s="80"/>
      <c r="EN140" s="80"/>
      <c r="EO140" s="2"/>
      <c r="EP140" s="2"/>
      <c r="EQ140" s="2"/>
      <c r="ER140" s="2"/>
      <c r="ES140" s="2"/>
      <c r="ET140" s="2"/>
      <c r="EU140" s="3"/>
      <c r="EV140" s="2"/>
      <c r="EW140" s="2"/>
      <c r="EX140" s="2"/>
      <c r="EY140" s="5"/>
      <c r="EZ140" s="2"/>
      <c r="FA140" s="2"/>
      <c r="FB140" s="2"/>
      <c r="FC140" s="2"/>
      <c r="FD140" s="2"/>
      <c r="FE140" s="2"/>
      <c r="FF140" s="80" t="s">
        <v>22</v>
      </c>
      <c r="FG140" s="80"/>
      <c r="FH140" s="80"/>
    </row>
    <row r="141" spans="1:164" x14ac:dyDescent="0.35">
      <c r="A141" s="80" t="s">
        <v>20</v>
      </c>
      <c r="B141" s="80"/>
      <c r="C141" s="80"/>
      <c r="D141" s="5"/>
      <c r="E141" s="2"/>
      <c r="F141" s="2"/>
      <c r="G141" s="2"/>
      <c r="H141" s="2"/>
      <c r="I141" s="2"/>
      <c r="J141" s="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80" t="s">
        <v>83</v>
      </c>
      <c r="V141" s="80"/>
      <c r="W141" s="80"/>
      <c r="AV141" s="80" t="s">
        <v>20</v>
      </c>
      <c r="AW141" s="80"/>
      <c r="AX141" s="80"/>
      <c r="AY141" s="5"/>
      <c r="AZ141" s="2"/>
      <c r="BA141" s="2"/>
      <c r="BB141" s="2"/>
      <c r="BC141" s="2"/>
      <c r="BD141" s="2"/>
      <c r="BE141" s="5"/>
      <c r="BF141" s="2"/>
      <c r="BG141" s="2"/>
      <c r="BH141" s="2"/>
      <c r="BI141" s="2"/>
      <c r="BJ141" s="2"/>
      <c r="BK141" s="2"/>
      <c r="BL141" s="2"/>
      <c r="BM141" s="2"/>
      <c r="BN141" s="2"/>
      <c r="BO141" s="3"/>
      <c r="BP141" s="80" t="s">
        <v>83</v>
      </c>
      <c r="BQ141" s="80"/>
      <c r="BR141" s="80"/>
      <c r="CQ141" s="80" t="s">
        <v>20</v>
      </c>
      <c r="CR141" s="80"/>
      <c r="CS141" s="80"/>
      <c r="CT141" s="5"/>
      <c r="CU141" s="2"/>
      <c r="CV141" s="2"/>
      <c r="CW141" s="2"/>
      <c r="CX141" s="2"/>
      <c r="CY141" s="2"/>
      <c r="CZ141" s="3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80" t="s">
        <v>83</v>
      </c>
      <c r="DL141" s="80"/>
      <c r="DM141" s="80"/>
      <c r="EL141" s="80" t="s">
        <v>20</v>
      </c>
      <c r="EM141" s="80"/>
      <c r="EN141" s="80"/>
      <c r="EO141" s="5"/>
      <c r="EP141" s="2"/>
      <c r="EQ141" s="2"/>
      <c r="ER141" s="2"/>
      <c r="ES141" s="2"/>
      <c r="ET141" s="2"/>
      <c r="EU141" s="3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80" t="s">
        <v>83</v>
      </c>
      <c r="FG141" s="80"/>
      <c r="FH141" s="80"/>
    </row>
    <row r="143" spans="1:164" x14ac:dyDescent="0.35">
      <c r="A143" s="79" t="s">
        <v>2</v>
      </c>
      <c r="B143" s="79"/>
      <c r="C143" s="79"/>
      <c r="D143" s="2">
        <v>9</v>
      </c>
      <c r="E143" s="2">
        <v>8</v>
      </c>
      <c r="F143" s="2">
        <v>7</v>
      </c>
      <c r="G143" s="2">
        <v>6</v>
      </c>
      <c r="H143" s="2">
        <v>5</v>
      </c>
      <c r="I143" s="2">
        <v>4</v>
      </c>
      <c r="J143" s="2">
        <v>3</v>
      </c>
      <c r="K143" s="2">
        <v>2</v>
      </c>
      <c r="L143" s="2">
        <v>1</v>
      </c>
      <c r="M143" s="2">
        <v>2</v>
      </c>
      <c r="N143" s="2">
        <v>3</v>
      </c>
      <c r="O143" s="2">
        <v>4</v>
      </c>
      <c r="P143" s="2">
        <v>5</v>
      </c>
      <c r="Q143" s="2">
        <v>6</v>
      </c>
      <c r="R143" s="2">
        <v>7</v>
      </c>
      <c r="S143" s="2">
        <v>8</v>
      </c>
      <c r="T143" s="2">
        <v>9</v>
      </c>
      <c r="U143" s="79" t="s">
        <v>3</v>
      </c>
      <c r="V143" s="79"/>
      <c r="W143" s="79"/>
      <c r="AV143" s="79" t="s">
        <v>2</v>
      </c>
      <c r="AW143" s="79"/>
      <c r="AX143" s="79"/>
      <c r="AY143" s="2">
        <v>9</v>
      </c>
      <c r="AZ143" s="2">
        <v>8</v>
      </c>
      <c r="BA143" s="2">
        <v>7</v>
      </c>
      <c r="BB143" s="2">
        <v>6</v>
      </c>
      <c r="BC143" s="2">
        <v>5</v>
      </c>
      <c r="BD143" s="2">
        <v>4</v>
      </c>
      <c r="BE143" s="2">
        <v>3</v>
      </c>
      <c r="BF143" s="2">
        <v>2</v>
      </c>
      <c r="BG143" s="2">
        <v>1</v>
      </c>
      <c r="BH143" s="2">
        <v>2</v>
      </c>
      <c r="BI143" s="2">
        <v>3</v>
      </c>
      <c r="BJ143" s="2">
        <v>4</v>
      </c>
      <c r="BK143" s="2">
        <v>5</v>
      </c>
      <c r="BL143" s="2">
        <v>6</v>
      </c>
      <c r="BM143" s="2">
        <v>7</v>
      </c>
      <c r="BN143" s="2">
        <v>8</v>
      </c>
      <c r="BO143" s="2">
        <v>9</v>
      </c>
      <c r="BP143" s="79" t="s">
        <v>3</v>
      </c>
      <c r="BQ143" s="79"/>
      <c r="BR143" s="79"/>
      <c r="CQ143" s="79" t="s">
        <v>2</v>
      </c>
      <c r="CR143" s="79"/>
      <c r="CS143" s="79"/>
      <c r="CT143" s="2">
        <v>9</v>
      </c>
      <c r="CU143" s="2">
        <v>8</v>
      </c>
      <c r="CV143" s="2">
        <v>7</v>
      </c>
      <c r="CW143" s="2">
        <v>6</v>
      </c>
      <c r="CX143" s="2">
        <v>5</v>
      </c>
      <c r="CY143" s="2">
        <v>4</v>
      </c>
      <c r="CZ143" s="2">
        <v>3</v>
      </c>
      <c r="DA143" s="2">
        <v>2</v>
      </c>
      <c r="DB143" s="2">
        <v>1</v>
      </c>
      <c r="DC143" s="2">
        <v>2</v>
      </c>
      <c r="DD143" s="2">
        <v>3</v>
      </c>
      <c r="DE143" s="2">
        <v>4</v>
      </c>
      <c r="DF143" s="2">
        <v>5</v>
      </c>
      <c r="DG143" s="2">
        <v>6</v>
      </c>
      <c r="DH143" s="2">
        <v>7</v>
      </c>
      <c r="DI143" s="2">
        <v>8</v>
      </c>
      <c r="DJ143" s="2">
        <v>9</v>
      </c>
      <c r="DK143" s="79" t="s">
        <v>3</v>
      </c>
      <c r="DL143" s="79"/>
      <c r="DM143" s="79"/>
      <c r="EL143" s="79" t="s">
        <v>2</v>
      </c>
      <c r="EM143" s="79"/>
      <c r="EN143" s="79"/>
      <c r="EO143" s="2">
        <v>9</v>
      </c>
      <c r="EP143" s="2">
        <v>8</v>
      </c>
      <c r="EQ143" s="2">
        <v>7</v>
      </c>
      <c r="ER143" s="2">
        <v>6</v>
      </c>
      <c r="ES143" s="2">
        <v>5</v>
      </c>
      <c r="ET143" s="2">
        <v>4</v>
      </c>
      <c r="EU143" s="2">
        <v>3</v>
      </c>
      <c r="EV143" s="2">
        <v>2</v>
      </c>
      <c r="EW143" s="2">
        <v>1</v>
      </c>
      <c r="EX143" s="2">
        <v>2</v>
      </c>
      <c r="EY143" s="2">
        <v>3</v>
      </c>
      <c r="EZ143" s="2">
        <v>4</v>
      </c>
      <c r="FA143" s="2">
        <v>5</v>
      </c>
      <c r="FB143" s="2">
        <v>6</v>
      </c>
      <c r="FC143" s="2">
        <v>7</v>
      </c>
      <c r="FD143" s="2">
        <v>8</v>
      </c>
      <c r="FE143" s="2">
        <v>9</v>
      </c>
      <c r="FF143" s="79" t="s">
        <v>3</v>
      </c>
      <c r="FG143" s="79"/>
      <c r="FH143" s="79"/>
    </row>
    <row r="144" spans="1:164" x14ac:dyDescent="0.35">
      <c r="A144" s="80" t="s">
        <v>21</v>
      </c>
      <c r="B144" s="80"/>
      <c r="C144" s="8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2"/>
      <c r="P144" s="2"/>
      <c r="Q144" s="2"/>
      <c r="R144" s="2"/>
      <c r="S144" s="2"/>
      <c r="T144" s="2"/>
      <c r="U144" s="80" t="s">
        <v>22</v>
      </c>
      <c r="V144" s="80"/>
      <c r="W144" s="80"/>
      <c r="AV144" s="80" t="s">
        <v>21</v>
      </c>
      <c r="AW144" s="80"/>
      <c r="AX144" s="80"/>
      <c r="AY144" s="2"/>
      <c r="AZ144" s="2"/>
      <c r="BA144" s="2"/>
      <c r="BB144" s="2"/>
      <c r="BC144" s="3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80" t="s">
        <v>22</v>
      </c>
      <c r="BQ144" s="80"/>
      <c r="BR144" s="80"/>
      <c r="CQ144" s="80" t="s">
        <v>21</v>
      </c>
      <c r="CR144" s="80"/>
      <c r="CS144" s="80"/>
      <c r="CT144" s="2"/>
      <c r="CU144" s="2"/>
      <c r="CV144" s="3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80" t="s">
        <v>22</v>
      </c>
      <c r="DL144" s="80"/>
      <c r="DM144" s="80"/>
      <c r="EL144" s="80" t="s">
        <v>21</v>
      </c>
      <c r="EM144" s="80"/>
      <c r="EN144" s="80"/>
      <c r="EO144" s="2"/>
      <c r="EP144" s="2"/>
      <c r="EQ144" s="2"/>
      <c r="ER144" s="2"/>
      <c r="ES144" s="3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80" t="s">
        <v>22</v>
      </c>
      <c r="FG144" s="80"/>
      <c r="FH144" s="80"/>
    </row>
    <row r="145" spans="1:174" x14ac:dyDescent="0.35">
      <c r="A145" s="80" t="s">
        <v>21</v>
      </c>
      <c r="B145" s="80"/>
      <c r="C145" s="80"/>
      <c r="D145" s="5"/>
      <c r="E145" s="2"/>
      <c r="F145" s="2"/>
      <c r="G145" s="2"/>
      <c r="H145" s="2"/>
      <c r="I145" s="2"/>
      <c r="J145" s="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80" t="s">
        <v>83</v>
      </c>
      <c r="V145" s="80"/>
      <c r="W145" s="80"/>
      <c r="AV145" s="80" t="s">
        <v>21</v>
      </c>
      <c r="AW145" s="80"/>
      <c r="AX145" s="80"/>
      <c r="AY145" s="5"/>
      <c r="AZ145" s="2"/>
      <c r="BA145" s="2"/>
      <c r="BB145" s="2"/>
      <c r="BC145" s="2"/>
      <c r="BD145" s="2"/>
      <c r="BE145" s="5"/>
      <c r="BF145" s="2"/>
      <c r="BG145" s="2"/>
      <c r="BH145" s="2"/>
      <c r="BI145" s="2"/>
      <c r="BJ145" s="2"/>
      <c r="BK145" s="2"/>
      <c r="BL145" s="3"/>
      <c r="BM145" s="2"/>
      <c r="BN145" s="2"/>
      <c r="BO145" s="2"/>
      <c r="BP145" s="80" t="s">
        <v>83</v>
      </c>
      <c r="BQ145" s="80"/>
      <c r="BR145" s="80"/>
      <c r="CQ145" s="80" t="s">
        <v>21</v>
      </c>
      <c r="CR145" s="80"/>
      <c r="CS145" s="80"/>
      <c r="CT145" s="5"/>
      <c r="CU145" s="2"/>
      <c r="CV145" s="2"/>
      <c r="CW145" s="2"/>
      <c r="CX145" s="2"/>
      <c r="CY145" s="2"/>
      <c r="CZ145" s="5"/>
      <c r="DA145" s="2"/>
      <c r="DB145" s="2"/>
      <c r="DC145" s="2"/>
      <c r="DD145" s="2"/>
      <c r="DE145" s="2"/>
      <c r="DF145" s="2"/>
      <c r="DG145" s="2"/>
      <c r="DH145" s="2"/>
      <c r="DI145" s="3"/>
      <c r="DJ145" s="2"/>
      <c r="DK145" s="80" t="s">
        <v>83</v>
      </c>
      <c r="DL145" s="80"/>
      <c r="DM145" s="80"/>
      <c r="EL145" s="80" t="s">
        <v>21</v>
      </c>
      <c r="EM145" s="80"/>
      <c r="EN145" s="80"/>
      <c r="EO145" s="5"/>
      <c r="EP145" s="2"/>
      <c r="EQ145" s="2"/>
      <c r="ER145" s="2"/>
      <c r="ES145" s="2"/>
      <c r="ET145" s="2"/>
      <c r="EU145" s="5"/>
      <c r="EV145" s="2"/>
      <c r="EW145" s="2"/>
      <c r="EX145" s="2"/>
      <c r="EY145" s="3"/>
      <c r="EZ145" s="2"/>
      <c r="FA145" s="2"/>
      <c r="FB145" s="2"/>
      <c r="FC145" s="2"/>
      <c r="FD145" s="2"/>
      <c r="FE145" s="2"/>
      <c r="FF145" s="80" t="s">
        <v>83</v>
      </c>
      <c r="FG145" s="80"/>
      <c r="FH145" s="80"/>
    </row>
    <row r="147" spans="1:174" x14ac:dyDescent="0.35">
      <c r="A147" s="79" t="s">
        <v>2</v>
      </c>
      <c r="B147" s="79"/>
      <c r="C147" s="79"/>
      <c r="D147" s="2">
        <v>9</v>
      </c>
      <c r="E147" s="2">
        <v>8</v>
      </c>
      <c r="F147" s="2">
        <v>7</v>
      </c>
      <c r="G147" s="2">
        <v>6</v>
      </c>
      <c r="H147" s="2">
        <v>5</v>
      </c>
      <c r="I147" s="2">
        <v>4</v>
      </c>
      <c r="J147" s="2">
        <v>3</v>
      </c>
      <c r="K147" s="2">
        <v>2</v>
      </c>
      <c r="L147" s="2">
        <v>1</v>
      </c>
      <c r="M147" s="2">
        <v>2</v>
      </c>
      <c r="N147" s="2">
        <v>3</v>
      </c>
      <c r="O147" s="2">
        <v>4</v>
      </c>
      <c r="P147" s="2">
        <v>5</v>
      </c>
      <c r="Q147" s="2">
        <v>6</v>
      </c>
      <c r="R147" s="2">
        <v>7</v>
      </c>
      <c r="S147" s="2">
        <v>8</v>
      </c>
      <c r="T147" s="2">
        <v>9</v>
      </c>
      <c r="U147" s="79" t="s">
        <v>3</v>
      </c>
      <c r="V147" s="79"/>
      <c r="W147" s="79"/>
      <c r="AV147" s="79" t="s">
        <v>2</v>
      </c>
      <c r="AW147" s="79"/>
      <c r="AX147" s="79"/>
      <c r="AY147" s="2">
        <v>9</v>
      </c>
      <c r="AZ147" s="2">
        <v>8</v>
      </c>
      <c r="BA147" s="2">
        <v>7</v>
      </c>
      <c r="BB147" s="2">
        <v>6</v>
      </c>
      <c r="BC147" s="2">
        <v>5</v>
      </c>
      <c r="BD147" s="2">
        <v>4</v>
      </c>
      <c r="BE147" s="2">
        <v>3</v>
      </c>
      <c r="BF147" s="2">
        <v>2</v>
      </c>
      <c r="BG147" s="2">
        <v>1</v>
      </c>
      <c r="BH147" s="2">
        <v>2</v>
      </c>
      <c r="BI147" s="2">
        <v>3</v>
      </c>
      <c r="BJ147" s="2">
        <v>4</v>
      </c>
      <c r="BK147" s="2">
        <v>5</v>
      </c>
      <c r="BL147" s="2">
        <v>6</v>
      </c>
      <c r="BM147" s="2">
        <v>7</v>
      </c>
      <c r="BN147" s="2">
        <v>8</v>
      </c>
      <c r="BO147" s="2">
        <v>9</v>
      </c>
      <c r="BP147" s="79" t="s">
        <v>3</v>
      </c>
      <c r="BQ147" s="79"/>
      <c r="BR147" s="79"/>
      <c r="CQ147" s="79" t="s">
        <v>2</v>
      </c>
      <c r="CR147" s="79"/>
      <c r="CS147" s="79"/>
      <c r="CT147" s="2">
        <v>9</v>
      </c>
      <c r="CU147" s="2">
        <v>8</v>
      </c>
      <c r="CV147" s="2">
        <v>7</v>
      </c>
      <c r="CW147" s="2">
        <v>6</v>
      </c>
      <c r="CX147" s="2">
        <v>5</v>
      </c>
      <c r="CY147" s="2">
        <v>4</v>
      </c>
      <c r="CZ147" s="2">
        <v>3</v>
      </c>
      <c r="DA147" s="2">
        <v>2</v>
      </c>
      <c r="DB147" s="2">
        <v>1</v>
      </c>
      <c r="DC147" s="2">
        <v>2</v>
      </c>
      <c r="DD147" s="2">
        <v>3</v>
      </c>
      <c r="DE147" s="2">
        <v>4</v>
      </c>
      <c r="DF147" s="2">
        <v>5</v>
      </c>
      <c r="DG147" s="2">
        <v>6</v>
      </c>
      <c r="DH147" s="2">
        <v>7</v>
      </c>
      <c r="DI147" s="2">
        <v>8</v>
      </c>
      <c r="DJ147" s="2">
        <v>9</v>
      </c>
      <c r="DK147" s="79" t="s">
        <v>3</v>
      </c>
      <c r="DL147" s="79"/>
      <c r="DM147" s="79"/>
      <c r="EL147" s="79" t="s">
        <v>2</v>
      </c>
      <c r="EM147" s="79"/>
      <c r="EN147" s="79"/>
      <c r="EO147" s="2">
        <v>9</v>
      </c>
      <c r="EP147" s="2">
        <v>8</v>
      </c>
      <c r="EQ147" s="2">
        <v>7</v>
      </c>
      <c r="ER147" s="2">
        <v>6</v>
      </c>
      <c r="ES147" s="2">
        <v>5</v>
      </c>
      <c r="ET147" s="2">
        <v>4</v>
      </c>
      <c r="EU147" s="2">
        <v>3</v>
      </c>
      <c r="EV147" s="2">
        <v>2</v>
      </c>
      <c r="EW147" s="2">
        <v>1</v>
      </c>
      <c r="EX147" s="2">
        <v>2</v>
      </c>
      <c r="EY147" s="2">
        <v>3</v>
      </c>
      <c r="EZ147" s="2">
        <v>4</v>
      </c>
      <c r="FA147" s="2">
        <v>5</v>
      </c>
      <c r="FB147" s="2">
        <v>6</v>
      </c>
      <c r="FC147" s="2">
        <v>7</v>
      </c>
      <c r="FD147" s="2">
        <v>8</v>
      </c>
      <c r="FE147" s="2">
        <v>9</v>
      </c>
      <c r="FF147" s="79" t="s">
        <v>3</v>
      </c>
      <c r="FG147" s="79"/>
      <c r="FH147" s="79"/>
    </row>
    <row r="148" spans="1:174" x14ac:dyDescent="0.35">
      <c r="A148" s="80" t="s">
        <v>22</v>
      </c>
      <c r="B148" s="80"/>
      <c r="C148" s="8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2"/>
      <c r="P148" s="2"/>
      <c r="Q148" s="2"/>
      <c r="R148" s="2"/>
      <c r="S148" s="2"/>
      <c r="T148" s="2"/>
      <c r="U148" s="80" t="s">
        <v>83</v>
      </c>
      <c r="V148" s="80"/>
      <c r="W148" s="80"/>
      <c r="AV148" s="80" t="s">
        <v>22</v>
      </c>
      <c r="AW148" s="80"/>
      <c r="AX148" s="80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3"/>
      <c r="BL148" s="2"/>
      <c r="BM148" s="2"/>
      <c r="BN148" s="2"/>
      <c r="BO148" s="2"/>
      <c r="BP148" s="80" t="s">
        <v>83</v>
      </c>
      <c r="BQ148" s="80"/>
      <c r="BR148" s="80"/>
      <c r="CQ148" s="80" t="s">
        <v>22</v>
      </c>
      <c r="CR148" s="80"/>
      <c r="CS148" s="80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3"/>
      <c r="DF148" s="2"/>
      <c r="DG148" s="2"/>
      <c r="DH148" s="2"/>
      <c r="DI148" s="2"/>
      <c r="DJ148" s="2"/>
      <c r="DK148" s="80" t="s">
        <v>83</v>
      </c>
      <c r="DL148" s="80"/>
      <c r="DM148" s="80"/>
      <c r="EL148" s="80" t="s">
        <v>22</v>
      </c>
      <c r="EM148" s="80"/>
      <c r="EN148" s="80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3"/>
      <c r="FB148" s="2"/>
      <c r="FC148" s="2"/>
      <c r="FD148" s="2"/>
      <c r="FE148" s="2"/>
      <c r="FF148" s="80" t="s">
        <v>83</v>
      </c>
      <c r="FG148" s="80"/>
      <c r="FH148" s="80"/>
    </row>
    <row r="149" spans="1:174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</row>
    <row r="150" spans="1:174" x14ac:dyDescent="0.35">
      <c r="A150" s="8" t="s">
        <v>23</v>
      </c>
      <c r="AV150" s="8" t="s">
        <v>23</v>
      </c>
      <c r="CQ150" s="8" t="s">
        <v>23</v>
      </c>
      <c r="EL150" s="8" t="s">
        <v>23</v>
      </c>
    </row>
    <row r="152" spans="1:174" x14ac:dyDescent="0.35">
      <c r="A152" s="79" t="s">
        <v>2</v>
      </c>
      <c r="B152" s="79"/>
      <c r="C152" s="79"/>
      <c r="D152" s="2">
        <v>9</v>
      </c>
      <c r="E152" s="2">
        <v>8</v>
      </c>
      <c r="F152" s="2">
        <v>7</v>
      </c>
      <c r="G152" s="2">
        <v>6</v>
      </c>
      <c r="H152" s="2">
        <v>5</v>
      </c>
      <c r="I152" s="2">
        <v>4</v>
      </c>
      <c r="J152" s="2">
        <v>3</v>
      </c>
      <c r="K152" s="2">
        <v>2</v>
      </c>
      <c r="L152" s="2">
        <v>1</v>
      </c>
      <c r="M152" s="2">
        <v>2</v>
      </c>
      <c r="N152" s="2">
        <v>3</v>
      </c>
      <c r="O152" s="2">
        <v>4</v>
      </c>
      <c r="P152" s="2">
        <v>5</v>
      </c>
      <c r="Q152" s="2">
        <v>6</v>
      </c>
      <c r="R152" s="2">
        <v>7</v>
      </c>
      <c r="S152" s="2">
        <v>8</v>
      </c>
      <c r="T152" s="2">
        <v>9</v>
      </c>
      <c r="U152" s="79" t="s">
        <v>3</v>
      </c>
      <c r="V152" s="79"/>
      <c r="W152" s="79"/>
      <c r="Z152" s="60"/>
      <c r="AA152" s="60"/>
      <c r="AB152" s="60" t="s">
        <v>92</v>
      </c>
      <c r="AC152" s="60"/>
      <c r="AD152" s="60" t="s">
        <v>25</v>
      </c>
      <c r="AE152" s="60"/>
      <c r="AF152" s="60" t="s">
        <v>26</v>
      </c>
      <c r="AG152" s="60"/>
      <c r="AV152" s="79" t="s">
        <v>2</v>
      </c>
      <c r="AW152" s="79"/>
      <c r="AX152" s="79"/>
      <c r="AY152" s="2">
        <v>9</v>
      </c>
      <c r="AZ152" s="2">
        <v>8</v>
      </c>
      <c r="BA152" s="2">
        <v>7</v>
      </c>
      <c r="BB152" s="2">
        <v>6</v>
      </c>
      <c r="BC152" s="2">
        <v>5</v>
      </c>
      <c r="BD152" s="2">
        <v>4</v>
      </c>
      <c r="BE152" s="2">
        <v>3</v>
      </c>
      <c r="BF152" s="2">
        <v>2</v>
      </c>
      <c r="BG152" s="2">
        <v>1</v>
      </c>
      <c r="BH152" s="2">
        <v>2</v>
      </c>
      <c r="BI152" s="2">
        <v>3</v>
      </c>
      <c r="BJ152" s="2">
        <v>4</v>
      </c>
      <c r="BK152" s="2">
        <v>5</v>
      </c>
      <c r="BL152" s="2">
        <v>6</v>
      </c>
      <c r="BM152" s="2">
        <v>7</v>
      </c>
      <c r="BN152" s="2">
        <v>8</v>
      </c>
      <c r="BO152" s="2">
        <v>9</v>
      </c>
      <c r="BP152" s="79" t="s">
        <v>3</v>
      </c>
      <c r="BQ152" s="79"/>
      <c r="BR152" s="79"/>
      <c r="BU152" s="60"/>
      <c r="BV152" s="60"/>
      <c r="BW152" s="60" t="s">
        <v>92</v>
      </c>
      <c r="BX152" s="60"/>
      <c r="BY152" s="60" t="s">
        <v>25</v>
      </c>
      <c r="BZ152" s="60"/>
      <c r="CA152" s="60" t="s">
        <v>26</v>
      </c>
      <c r="CB152" s="60"/>
      <c r="CQ152" s="79" t="s">
        <v>2</v>
      </c>
      <c r="CR152" s="79"/>
      <c r="CS152" s="79"/>
      <c r="CT152" s="2">
        <v>9</v>
      </c>
      <c r="CU152" s="2">
        <v>8</v>
      </c>
      <c r="CV152" s="2">
        <v>7</v>
      </c>
      <c r="CW152" s="2">
        <v>6</v>
      </c>
      <c r="CX152" s="2">
        <v>5</v>
      </c>
      <c r="CY152" s="2">
        <v>4</v>
      </c>
      <c r="CZ152" s="2">
        <v>3</v>
      </c>
      <c r="DA152" s="2">
        <v>2</v>
      </c>
      <c r="DB152" s="2">
        <v>1</v>
      </c>
      <c r="DC152" s="2">
        <v>2</v>
      </c>
      <c r="DD152" s="2">
        <v>3</v>
      </c>
      <c r="DE152" s="2">
        <v>4</v>
      </c>
      <c r="DF152" s="2">
        <v>5</v>
      </c>
      <c r="DG152" s="2">
        <v>6</v>
      </c>
      <c r="DH152" s="2">
        <v>7</v>
      </c>
      <c r="DI152" s="2">
        <v>8</v>
      </c>
      <c r="DJ152" s="2">
        <v>9</v>
      </c>
      <c r="DK152" s="79" t="s">
        <v>3</v>
      </c>
      <c r="DL152" s="79"/>
      <c r="DM152" s="79"/>
      <c r="DP152" s="60"/>
      <c r="DQ152" s="60"/>
      <c r="DR152" s="60" t="s">
        <v>92</v>
      </c>
      <c r="DS152" s="60"/>
      <c r="DT152" s="60" t="s">
        <v>25</v>
      </c>
      <c r="DU152" s="60"/>
      <c r="DV152" s="60" t="s">
        <v>26</v>
      </c>
      <c r="DW152" s="60"/>
      <c r="EL152" s="79" t="s">
        <v>2</v>
      </c>
      <c r="EM152" s="79"/>
      <c r="EN152" s="79"/>
      <c r="EO152" s="2">
        <v>9</v>
      </c>
      <c r="EP152" s="2">
        <v>8</v>
      </c>
      <c r="EQ152" s="2">
        <v>7</v>
      </c>
      <c r="ER152" s="2">
        <v>6</v>
      </c>
      <c r="ES152" s="2">
        <v>5</v>
      </c>
      <c r="ET152" s="2">
        <v>4</v>
      </c>
      <c r="EU152" s="2">
        <v>3</v>
      </c>
      <c r="EV152" s="2">
        <v>2</v>
      </c>
      <c r="EW152" s="2">
        <v>1</v>
      </c>
      <c r="EX152" s="2">
        <v>2</v>
      </c>
      <c r="EY152" s="2">
        <v>3</v>
      </c>
      <c r="EZ152" s="2">
        <v>4</v>
      </c>
      <c r="FA152" s="2">
        <v>5</v>
      </c>
      <c r="FB152" s="2">
        <v>6</v>
      </c>
      <c r="FC152" s="2">
        <v>7</v>
      </c>
      <c r="FD152" s="2">
        <v>8</v>
      </c>
      <c r="FE152" s="2">
        <v>9</v>
      </c>
      <c r="FF152" s="79" t="s">
        <v>3</v>
      </c>
      <c r="FG152" s="79"/>
      <c r="FH152" s="79"/>
      <c r="FK152" s="60"/>
      <c r="FL152" s="60"/>
      <c r="FM152" s="60" t="s">
        <v>92</v>
      </c>
      <c r="FN152" s="60"/>
      <c r="FO152" s="60" t="s">
        <v>25</v>
      </c>
      <c r="FP152" s="60"/>
      <c r="FQ152" s="60" t="s">
        <v>26</v>
      </c>
      <c r="FR152" s="60"/>
    </row>
    <row r="153" spans="1:174" x14ac:dyDescent="0.35">
      <c r="A153" s="80" t="s">
        <v>24</v>
      </c>
      <c r="B153" s="80"/>
      <c r="C153" s="80"/>
      <c r="D153" s="2"/>
      <c r="E153" s="2"/>
      <c r="F153" s="2"/>
      <c r="G153" s="2"/>
      <c r="H153" s="2"/>
      <c r="I153" s="2"/>
      <c r="J153" s="3"/>
      <c r="K153" s="2"/>
      <c r="L153" s="2"/>
      <c r="M153" s="2"/>
      <c r="N153" s="5"/>
      <c r="O153" s="2"/>
      <c r="P153" s="2"/>
      <c r="Q153" s="2"/>
      <c r="R153" s="2"/>
      <c r="S153" s="2"/>
      <c r="T153" s="2"/>
      <c r="U153" s="80" t="s">
        <v>25</v>
      </c>
      <c r="V153" s="80"/>
      <c r="W153" s="80"/>
      <c r="Z153" s="60"/>
      <c r="AA153" s="60"/>
      <c r="AB153" s="60"/>
      <c r="AC153" s="60"/>
      <c r="AD153" s="60"/>
      <c r="AE153" s="60"/>
      <c r="AF153" s="60"/>
      <c r="AG153" s="60"/>
      <c r="AV153" s="80" t="s">
        <v>24</v>
      </c>
      <c r="AW153" s="80"/>
      <c r="AX153" s="80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5"/>
      <c r="BJ153" s="2"/>
      <c r="BK153" s="2"/>
      <c r="BL153" s="2"/>
      <c r="BM153" s="3"/>
      <c r="BN153" s="2"/>
      <c r="BO153" s="2"/>
      <c r="BP153" s="80" t="s">
        <v>25</v>
      </c>
      <c r="BQ153" s="80"/>
      <c r="BR153" s="80"/>
      <c r="BU153" s="60"/>
      <c r="BV153" s="60"/>
      <c r="BW153" s="60"/>
      <c r="BX153" s="60"/>
      <c r="BY153" s="60"/>
      <c r="BZ153" s="60"/>
      <c r="CA153" s="60"/>
      <c r="CB153" s="60"/>
      <c r="CQ153" s="80" t="s">
        <v>24</v>
      </c>
      <c r="CR153" s="80"/>
      <c r="CS153" s="80"/>
      <c r="CT153" s="2"/>
      <c r="CU153" s="2"/>
      <c r="CV153" s="3"/>
      <c r="CW153" s="2"/>
      <c r="CX153" s="2"/>
      <c r="CY153" s="2"/>
      <c r="CZ153" s="2"/>
      <c r="DA153" s="2"/>
      <c r="DB153" s="2"/>
      <c r="DC153" s="2"/>
      <c r="DD153" s="5"/>
      <c r="DE153" s="2"/>
      <c r="DF153" s="2"/>
      <c r="DG153" s="2"/>
      <c r="DH153" s="2"/>
      <c r="DI153" s="2"/>
      <c r="DJ153" s="5"/>
      <c r="DK153" s="80" t="s">
        <v>25</v>
      </c>
      <c r="DL153" s="80"/>
      <c r="DM153" s="80"/>
      <c r="DP153" s="60"/>
      <c r="DQ153" s="60"/>
      <c r="DR153" s="60"/>
      <c r="DS153" s="60"/>
      <c r="DT153" s="60"/>
      <c r="DU153" s="60"/>
      <c r="DV153" s="60"/>
      <c r="DW153" s="60"/>
      <c r="EL153" s="80" t="s">
        <v>24</v>
      </c>
      <c r="EM153" s="80"/>
      <c r="EN153" s="80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5"/>
      <c r="EZ153" s="2"/>
      <c r="FA153" s="2"/>
      <c r="FB153" s="2"/>
      <c r="FC153" s="3"/>
      <c r="FD153" s="2"/>
      <c r="FE153" s="2"/>
      <c r="FF153" s="80" t="s">
        <v>25</v>
      </c>
      <c r="FG153" s="80"/>
      <c r="FH153" s="80"/>
      <c r="FK153" s="60"/>
      <c r="FL153" s="60"/>
      <c r="FM153" s="60"/>
      <c r="FN153" s="60"/>
      <c r="FO153" s="60"/>
      <c r="FP153" s="60"/>
      <c r="FQ153" s="60"/>
      <c r="FR153" s="60"/>
    </row>
    <row r="154" spans="1:174" x14ac:dyDescent="0.35">
      <c r="A154" s="80" t="s">
        <v>24</v>
      </c>
      <c r="B154" s="80"/>
      <c r="C154" s="80"/>
      <c r="D154" s="2"/>
      <c r="E154" s="2"/>
      <c r="F154" s="2"/>
      <c r="G154" s="2"/>
      <c r="H154" s="5"/>
      <c r="I154" s="2"/>
      <c r="J154" s="2"/>
      <c r="K154" s="2"/>
      <c r="L154" s="2"/>
      <c r="M154" s="2"/>
      <c r="N154" s="2"/>
      <c r="O154" s="2"/>
      <c r="P154" s="3"/>
      <c r="Q154" s="2"/>
      <c r="R154" s="2"/>
      <c r="S154" s="2"/>
      <c r="T154" s="2"/>
      <c r="U154" s="80" t="s">
        <v>26</v>
      </c>
      <c r="V154" s="80"/>
      <c r="W154" s="80"/>
      <c r="Z154" s="60" t="s">
        <v>92</v>
      </c>
      <c r="AA154" s="60"/>
      <c r="AB154" s="87">
        <v>1</v>
      </c>
      <c r="AC154" s="87"/>
      <c r="AD154" s="88">
        <f>1/3</f>
        <v>0.33333333333333331</v>
      </c>
      <c r="AE154" s="88"/>
      <c r="AF154" s="89">
        <v>5</v>
      </c>
      <c r="AG154" s="90"/>
      <c r="AV154" s="80" t="s">
        <v>24</v>
      </c>
      <c r="AW154" s="80"/>
      <c r="AX154" s="80"/>
      <c r="AY154" s="2"/>
      <c r="AZ154" s="2"/>
      <c r="BA154" s="2"/>
      <c r="BB154" s="2"/>
      <c r="BC154" s="3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80" t="s">
        <v>26</v>
      </c>
      <c r="BQ154" s="80"/>
      <c r="BR154" s="80"/>
      <c r="BU154" s="60" t="s">
        <v>92</v>
      </c>
      <c r="BV154" s="60"/>
      <c r="BW154" s="62">
        <v>1</v>
      </c>
      <c r="BX154" s="62"/>
      <c r="BY154" s="60">
        <v>7</v>
      </c>
      <c r="BZ154" s="60"/>
      <c r="CA154" s="63">
        <f>1/5</f>
        <v>0.2</v>
      </c>
      <c r="CB154" s="64"/>
      <c r="CQ154" s="80" t="s">
        <v>24</v>
      </c>
      <c r="CR154" s="80"/>
      <c r="CS154" s="80"/>
      <c r="CT154" s="2"/>
      <c r="CU154" s="2"/>
      <c r="CV154" s="2"/>
      <c r="CW154" s="2"/>
      <c r="CX154" s="5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3"/>
      <c r="DK154" s="80" t="s">
        <v>26</v>
      </c>
      <c r="DL154" s="80"/>
      <c r="DM154" s="80"/>
      <c r="DP154" s="60" t="s">
        <v>92</v>
      </c>
      <c r="DQ154" s="60"/>
      <c r="DR154" s="62">
        <v>1</v>
      </c>
      <c r="DS154" s="62"/>
      <c r="DT154" s="60">
        <f>1/7</f>
        <v>0.14285714285714285</v>
      </c>
      <c r="DU154" s="60"/>
      <c r="DV154" s="63">
        <v>9</v>
      </c>
      <c r="DW154" s="64"/>
      <c r="EL154" s="80" t="s">
        <v>24</v>
      </c>
      <c r="EM154" s="80"/>
      <c r="EN154" s="80"/>
      <c r="EO154" s="2"/>
      <c r="EP154" s="2"/>
      <c r="EQ154" s="2"/>
      <c r="ER154" s="2"/>
      <c r="ES154" s="5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3"/>
      <c r="FF154" s="80" t="s">
        <v>26</v>
      </c>
      <c r="FG154" s="80"/>
      <c r="FH154" s="80"/>
      <c r="FK154" s="60" t="s">
        <v>92</v>
      </c>
      <c r="FL154" s="60"/>
      <c r="FM154" s="62">
        <v>1</v>
      </c>
      <c r="FN154" s="62"/>
      <c r="FO154" s="60">
        <v>7</v>
      </c>
      <c r="FP154" s="60"/>
      <c r="FQ154" s="63">
        <v>9</v>
      </c>
      <c r="FR154" s="64"/>
    </row>
    <row r="155" spans="1:174" x14ac:dyDescent="0.35">
      <c r="Z155" s="60"/>
      <c r="AA155" s="60"/>
      <c r="AB155" s="87"/>
      <c r="AC155" s="87"/>
      <c r="AD155" s="88"/>
      <c r="AE155" s="88"/>
      <c r="AF155" s="91"/>
      <c r="AG155" s="92"/>
      <c r="BU155" s="60"/>
      <c r="BV155" s="60"/>
      <c r="BW155" s="62"/>
      <c r="BX155" s="62"/>
      <c r="BY155" s="60"/>
      <c r="BZ155" s="60"/>
      <c r="CA155" s="65"/>
      <c r="CB155" s="66"/>
      <c r="DP155" s="60"/>
      <c r="DQ155" s="60"/>
      <c r="DR155" s="62"/>
      <c r="DS155" s="62"/>
      <c r="DT155" s="60"/>
      <c r="DU155" s="60"/>
      <c r="DV155" s="65"/>
      <c r="DW155" s="66"/>
      <c r="FK155" s="60"/>
      <c r="FL155" s="60"/>
      <c r="FM155" s="62"/>
      <c r="FN155" s="62"/>
      <c r="FO155" s="60"/>
      <c r="FP155" s="60"/>
      <c r="FQ155" s="65"/>
      <c r="FR155" s="66"/>
    </row>
    <row r="156" spans="1:174" x14ac:dyDescent="0.35">
      <c r="A156" s="79" t="s">
        <v>2</v>
      </c>
      <c r="B156" s="79"/>
      <c r="C156" s="79"/>
      <c r="D156" s="2">
        <v>9</v>
      </c>
      <c r="E156" s="2">
        <v>8</v>
      </c>
      <c r="F156" s="2">
        <v>7</v>
      </c>
      <c r="G156" s="2">
        <v>6</v>
      </c>
      <c r="H156" s="2">
        <v>5</v>
      </c>
      <c r="I156" s="2">
        <v>4</v>
      </c>
      <c r="J156" s="2">
        <v>3</v>
      </c>
      <c r="K156" s="2">
        <v>2</v>
      </c>
      <c r="L156" s="2">
        <v>1</v>
      </c>
      <c r="M156" s="2">
        <v>2</v>
      </c>
      <c r="N156" s="2">
        <v>3</v>
      </c>
      <c r="O156" s="2">
        <v>4</v>
      </c>
      <c r="P156" s="2">
        <v>5</v>
      </c>
      <c r="Q156" s="2">
        <v>6</v>
      </c>
      <c r="R156" s="2">
        <v>7</v>
      </c>
      <c r="S156" s="2">
        <v>8</v>
      </c>
      <c r="T156" s="2">
        <v>9</v>
      </c>
      <c r="U156" s="79" t="s">
        <v>3</v>
      </c>
      <c r="V156" s="79"/>
      <c r="W156" s="79"/>
      <c r="Z156" s="60" t="s">
        <v>25</v>
      </c>
      <c r="AA156" s="60"/>
      <c r="AB156" s="88">
        <v>3</v>
      </c>
      <c r="AC156" s="88"/>
      <c r="AD156" s="87">
        <v>1</v>
      </c>
      <c r="AE156" s="87"/>
      <c r="AF156" s="93">
        <f>1/AD158</f>
        <v>0.1111111111111111</v>
      </c>
      <c r="AG156" s="93"/>
      <c r="AV156" s="79" t="s">
        <v>2</v>
      </c>
      <c r="AW156" s="79"/>
      <c r="AX156" s="79"/>
      <c r="AY156" s="2">
        <v>9</v>
      </c>
      <c r="AZ156" s="2">
        <v>8</v>
      </c>
      <c r="BA156" s="2">
        <v>7</v>
      </c>
      <c r="BB156" s="2">
        <v>6</v>
      </c>
      <c r="BC156" s="2">
        <v>5</v>
      </c>
      <c r="BD156" s="2">
        <v>4</v>
      </c>
      <c r="BE156" s="2">
        <v>3</v>
      </c>
      <c r="BF156" s="2">
        <v>2</v>
      </c>
      <c r="BG156" s="2">
        <v>1</v>
      </c>
      <c r="BH156" s="2">
        <v>2</v>
      </c>
      <c r="BI156" s="2">
        <v>3</v>
      </c>
      <c r="BJ156" s="2">
        <v>4</v>
      </c>
      <c r="BK156" s="2">
        <v>5</v>
      </c>
      <c r="BL156" s="2">
        <v>6</v>
      </c>
      <c r="BM156" s="2">
        <v>7</v>
      </c>
      <c r="BN156" s="2">
        <v>8</v>
      </c>
      <c r="BO156" s="2">
        <v>9</v>
      </c>
      <c r="BP156" s="79" t="s">
        <v>3</v>
      </c>
      <c r="BQ156" s="79"/>
      <c r="BR156" s="79"/>
      <c r="BU156" s="60" t="s">
        <v>25</v>
      </c>
      <c r="BV156" s="60"/>
      <c r="BW156" s="60">
        <f>1/7</f>
        <v>0.14285714285714285</v>
      </c>
      <c r="BX156" s="60"/>
      <c r="BY156" s="62">
        <v>1</v>
      </c>
      <c r="BZ156" s="62"/>
      <c r="CA156" s="60">
        <v>5</v>
      </c>
      <c r="CB156" s="60"/>
      <c r="CQ156" s="79" t="s">
        <v>2</v>
      </c>
      <c r="CR156" s="79"/>
      <c r="CS156" s="79"/>
      <c r="CT156" s="2">
        <v>9</v>
      </c>
      <c r="CU156" s="2">
        <v>8</v>
      </c>
      <c r="CV156" s="2">
        <v>7</v>
      </c>
      <c r="CW156" s="2">
        <v>6</v>
      </c>
      <c r="CX156" s="2">
        <v>5</v>
      </c>
      <c r="CY156" s="2">
        <v>4</v>
      </c>
      <c r="CZ156" s="2">
        <v>3</v>
      </c>
      <c r="DA156" s="2">
        <v>2</v>
      </c>
      <c r="DB156" s="2">
        <v>1</v>
      </c>
      <c r="DC156" s="2">
        <v>2</v>
      </c>
      <c r="DD156" s="2">
        <v>3</v>
      </c>
      <c r="DE156" s="2">
        <v>4</v>
      </c>
      <c r="DF156" s="2">
        <v>5</v>
      </c>
      <c r="DG156" s="2">
        <v>6</v>
      </c>
      <c r="DH156" s="2">
        <v>7</v>
      </c>
      <c r="DI156" s="2">
        <v>8</v>
      </c>
      <c r="DJ156" s="2">
        <v>9</v>
      </c>
      <c r="DK156" s="79" t="s">
        <v>3</v>
      </c>
      <c r="DL156" s="79"/>
      <c r="DM156" s="79"/>
      <c r="DP156" s="60" t="s">
        <v>25</v>
      </c>
      <c r="DQ156" s="60"/>
      <c r="DR156" s="60">
        <v>7</v>
      </c>
      <c r="DS156" s="60"/>
      <c r="DT156" s="62">
        <v>1</v>
      </c>
      <c r="DU156" s="62"/>
      <c r="DV156" s="60">
        <f>1/7</f>
        <v>0.14285714285714285</v>
      </c>
      <c r="DW156" s="60"/>
      <c r="EL156" s="79" t="s">
        <v>2</v>
      </c>
      <c r="EM156" s="79"/>
      <c r="EN156" s="79"/>
      <c r="EO156" s="2">
        <v>9</v>
      </c>
      <c r="EP156" s="2">
        <v>8</v>
      </c>
      <c r="EQ156" s="2">
        <v>7</v>
      </c>
      <c r="ER156" s="2">
        <v>6</v>
      </c>
      <c r="ES156" s="2">
        <v>5</v>
      </c>
      <c r="ET156" s="2">
        <v>4</v>
      </c>
      <c r="EU156" s="2">
        <v>3</v>
      </c>
      <c r="EV156" s="2">
        <v>2</v>
      </c>
      <c r="EW156" s="2">
        <v>1</v>
      </c>
      <c r="EX156" s="2">
        <v>2</v>
      </c>
      <c r="EY156" s="2">
        <v>3</v>
      </c>
      <c r="EZ156" s="2">
        <v>4</v>
      </c>
      <c r="FA156" s="2">
        <v>5</v>
      </c>
      <c r="FB156" s="2">
        <v>6</v>
      </c>
      <c r="FC156" s="2">
        <v>7</v>
      </c>
      <c r="FD156" s="2">
        <v>8</v>
      </c>
      <c r="FE156" s="2">
        <v>9</v>
      </c>
      <c r="FF156" s="79" t="s">
        <v>3</v>
      </c>
      <c r="FG156" s="79"/>
      <c r="FH156" s="79"/>
      <c r="FK156" s="60" t="s">
        <v>25</v>
      </c>
      <c r="FL156" s="60"/>
      <c r="FM156" s="60">
        <f>1/7</f>
        <v>0.14285714285714285</v>
      </c>
      <c r="FN156" s="60"/>
      <c r="FO156" s="62">
        <v>1</v>
      </c>
      <c r="FP156" s="62"/>
      <c r="FQ156" s="60">
        <v>5</v>
      </c>
      <c r="FR156" s="60"/>
    </row>
    <row r="157" spans="1:174" x14ac:dyDescent="0.35">
      <c r="A157" s="80" t="s">
        <v>25</v>
      </c>
      <c r="B157" s="80"/>
      <c r="C157" s="80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5"/>
      <c r="Q157" s="2"/>
      <c r="R157" s="2"/>
      <c r="S157" s="2"/>
      <c r="T157" s="2"/>
      <c r="U157" s="80" t="s">
        <v>26</v>
      </c>
      <c r="V157" s="80"/>
      <c r="W157" s="80"/>
      <c r="Z157" s="60"/>
      <c r="AA157" s="60"/>
      <c r="AB157" s="88"/>
      <c r="AC157" s="88"/>
      <c r="AD157" s="87"/>
      <c r="AE157" s="87"/>
      <c r="AF157" s="93"/>
      <c r="AG157" s="93"/>
      <c r="AV157" s="80" t="s">
        <v>25</v>
      </c>
      <c r="AW157" s="80"/>
      <c r="AX157" s="80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3"/>
      <c r="BL157" s="2"/>
      <c r="BM157" s="2"/>
      <c r="BN157" s="2"/>
      <c r="BO157" s="2"/>
      <c r="BP157" s="80" t="s">
        <v>26</v>
      </c>
      <c r="BQ157" s="80"/>
      <c r="BR157" s="80"/>
      <c r="BU157" s="60"/>
      <c r="BV157" s="60"/>
      <c r="BW157" s="60"/>
      <c r="BX157" s="60"/>
      <c r="BY157" s="62"/>
      <c r="BZ157" s="62"/>
      <c r="CA157" s="60"/>
      <c r="CB157" s="60"/>
      <c r="CQ157" s="80" t="s">
        <v>25</v>
      </c>
      <c r="CR157" s="80"/>
      <c r="CS157" s="80"/>
      <c r="CT157" s="2"/>
      <c r="CU157" s="2"/>
      <c r="CV157" s="3"/>
      <c r="CW157" s="2"/>
      <c r="CX157" s="2"/>
      <c r="CY157" s="2"/>
      <c r="CZ157" s="2"/>
      <c r="DA157" s="2"/>
      <c r="DB157" s="2"/>
      <c r="DC157" s="2"/>
      <c r="DD157" s="2"/>
      <c r="DE157" s="2"/>
      <c r="DF157" s="5"/>
      <c r="DG157" s="2"/>
      <c r="DH157" s="5"/>
      <c r="DI157" s="2"/>
      <c r="DJ157" s="2"/>
      <c r="DK157" s="80" t="s">
        <v>26</v>
      </c>
      <c r="DL157" s="80"/>
      <c r="DM157" s="80"/>
      <c r="DP157" s="60"/>
      <c r="DQ157" s="60"/>
      <c r="DR157" s="60"/>
      <c r="DS157" s="60"/>
      <c r="DT157" s="62"/>
      <c r="DU157" s="62"/>
      <c r="DV157" s="60"/>
      <c r="DW157" s="60"/>
      <c r="EL157" s="80" t="s">
        <v>25</v>
      </c>
      <c r="EM157" s="80"/>
      <c r="EN157" s="80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3"/>
      <c r="FB157" s="2"/>
      <c r="FC157" s="2"/>
      <c r="FD157" s="2"/>
      <c r="FE157" s="2"/>
      <c r="FF157" s="80" t="s">
        <v>26</v>
      </c>
      <c r="FG157" s="80"/>
      <c r="FH157" s="80"/>
      <c r="FK157" s="60"/>
      <c r="FL157" s="60"/>
      <c r="FM157" s="60"/>
      <c r="FN157" s="60"/>
      <c r="FO157" s="62"/>
      <c r="FP157" s="62"/>
      <c r="FQ157" s="60"/>
      <c r="FR157" s="60"/>
    </row>
    <row r="158" spans="1:174" x14ac:dyDescent="0.35">
      <c r="Z158" s="60" t="s">
        <v>26</v>
      </c>
      <c r="AA158" s="60"/>
      <c r="AB158" s="88">
        <f>1/5</f>
        <v>0.2</v>
      </c>
      <c r="AC158" s="88"/>
      <c r="AD158" s="88">
        <v>9</v>
      </c>
      <c r="AE158" s="88"/>
      <c r="AF158" s="87">
        <v>1</v>
      </c>
      <c r="AG158" s="87"/>
      <c r="BU158" s="60" t="s">
        <v>26</v>
      </c>
      <c r="BV158" s="60"/>
      <c r="BW158" s="60">
        <v>5</v>
      </c>
      <c r="BX158" s="60"/>
      <c r="BY158" s="60">
        <f>1/5</f>
        <v>0.2</v>
      </c>
      <c r="BZ158" s="60"/>
      <c r="CA158" s="62">
        <v>1</v>
      </c>
      <c r="CB158" s="62"/>
      <c r="DP158" s="60" t="s">
        <v>26</v>
      </c>
      <c r="DQ158" s="60"/>
      <c r="DR158" s="60">
        <f>1/9</f>
        <v>0.1111111111111111</v>
      </c>
      <c r="DS158" s="60"/>
      <c r="DT158" s="60">
        <v>7</v>
      </c>
      <c r="DU158" s="60"/>
      <c r="DV158" s="62">
        <v>1</v>
      </c>
      <c r="DW158" s="62"/>
      <c r="FK158" s="60" t="s">
        <v>26</v>
      </c>
      <c r="FL158" s="60"/>
      <c r="FM158" s="60">
        <f>1/9</f>
        <v>0.1111111111111111</v>
      </c>
      <c r="FN158" s="60"/>
      <c r="FO158" s="60">
        <f>1/5</f>
        <v>0.2</v>
      </c>
      <c r="FP158" s="60"/>
      <c r="FQ158" s="62">
        <v>1</v>
      </c>
      <c r="FR158" s="62"/>
    </row>
    <row r="159" spans="1:174" x14ac:dyDescent="0.35">
      <c r="Z159" s="60"/>
      <c r="AA159" s="60"/>
      <c r="AB159" s="88"/>
      <c r="AC159" s="88"/>
      <c r="AD159" s="88"/>
      <c r="AE159" s="88"/>
      <c r="AF159" s="87"/>
      <c r="AG159" s="87"/>
      <c r="BU159" s="60"/>
      <c r="BV159" s="60"/>
      <c r="BW159" s="60"/>
      <c r="BX159" s="60"/>
      <c r="BY159" s="60"/>
      <c r="BZ159" s="60"/>
      <c r="CA159" s="62"/>
      <c r="CB159" s="62"/>
      <c r="DP159" s="60"/>
      <c r="DQ159" s="60"/>
      <c r="DR159" s="60"/>
      <c r="DS159" s="60"/>
      <c r="DT159" s="60"/>
      <c r="DU159" s="60"/>
      <c r="DV159" s="62"/>
      <c r="DW159" s="62"/>
      <c r="FK159" s="60"/>
      <c r="FL159" s="60"/>
      <c r="FM159" s="60"/>
      <c r="FN159" s="60"/>
      <c r="FO159" s="60"/>
      <c r="FP159" s="60"/>
      <c r="FQ159" s="62"/>
      <c r="FR159" s="62"/>
    </row>
  </sheetData>
  <mergeCells count="2102">
    <mergeCell ref="Z152:AA153"/>
    <mergeCell ref="AB152:AC153"/>
    <mergeCell ref="AD152:AE153"/>
    <mergeCell ref="AF152:AG153"/>
    <mergeCell ref="Z154:AA155"/>
    <mergeCell ref="AB154:AC155"/>
    <mergeCell ref="AD154:AE155"/>
    <mergeCell ref="AF154:AG155"/>
    <mergeCell ref="Z156:AA157"/>
    <mergeCell ref="AB156:AC157"/>
    <mergeCell ref="AD156:AE157"/>
    <mergeCell ref="AF156:AG157"/>
    <mergeCell ref="Z158:AA159"/>
    <mergeCell ref="AB158:AC159"/>
    <mergeCell ref="AD158:AE159"/>
    <mergeCell ref="AF158:AG159"/>
    <mergeCell ref="Z122:AA123"/>
    <mergeCell ref="AB122:AC123"/>
    <mergeCell ref="AD122:AE123"/>
    <mergeCell ref="AF122:AG123"/>
    <mergeCell ref="AH122:AI123"/>
    <mergeCell ref="AJ122:AK123"/>
    <mergeCell ref="AL122:AM123"/>
    <mergeCell ref="AN122:AO123"/>
    <mergeCell ref="AP122:AQ123"/>
    <mergeCell ref="Z124:AA125"/>
    <mergeCell ref="AB124:AC125"/>
    <mergeCell ref="AD124:AE125"/>
    <mergeCell ref="AF124:AG125"/>
    <mergeCell ref="AH124:AI125"/>
    <mergeCell ref="AJ124:AK125"/>
    <mergeCell ref="AL124:AM125"/>
    <mergeCell ref="AN124:AO125"/>
    <mergeCell ref="AP124:AQ125"/>
    <mergeCell ref="Z118:AA119"/>
    <mergeCell ref="AB118:AC119"/>
    <mergeCell ref="AD118:AE119"/>
    <mergeCell ref="AF118:AG119"/>
    <mergeCell ref="AH118:AI119"/>
    <mergeCell ref="AJ118:AK119"/>
    <mergeCell ref="AL118:AM119"/>
    <mergeCell ref="AN118:AO119"/>
    <mergeCell ref="AP118:AQ119"/>
    <mergeCell ref="Z120:AA121"/>
    <mergeCell ref="AB120:AC121"/>
    <mergeCell ref="AD120:AE121"/>
    <mergeCell ref="AF120:AG121"/>
    <mergeCell ref="AH120:AI121"/>
    <mergeCell ref="AJ120:AK121"/>
    <mergeCell ref="AL120:AM121"/>
    <mergeCell ref="AN120:AO121"/>
    <mergeCell ref="AP120:AQ121"/>
    <mergeCell ref="Z114:AA115"/>
    <mergeCell ref="AB114:AC115"/>
    <mergeCell ref="AD114:AE115"/>
    <mergeCell ref="AF114:AG115"/>
    <mergeCell ref="AH114:AI115"/>
    <mergeCell ref="AJ114:AK115"/>
    <mergeCell ref="AL114:AM115"/>
    <mergeCell ref="AN114:AO115"/>
    <mergeCell ref="AP114:AQ115"/>
    <mergeCell ref="Z116:AA117"/>
    <mergeCell ref="AB116:AC117"/>
    <mergeCell ref="AD116:AE117"/>
    <mergeCell ref="AF116:AG117"/>
    <mergeCell ref="AH116:AI117"/>
    <mergeCell ref="AJ116:AK117"/>
    <mergeCell ref="AL116:AM117"/>
    <mergeCell ref="AN116:AO117"/>
    <mergeCell ref="AP116:AQ117"/>
    <mergeCell ref="Z110:AA111"/>
    <mergeCell ref="AB110:AC111"/>
    <mergeCell ref="AD110:AE111"/>
    <mergeCell ref="AF110:AG111"/>
    <mergeCell ref="AH110:AI111"/>
    <mergeCell ref="AJ110:AK111"/>
    <mergeCell ref="AL110:AM111"/>
    <mergeCell ref="AN110:AO111"/>
    <mergeCell ref="AP110:AQ111"/>
    <mergeCell ref="Z112:AA113"/>
    <mergeCell ref="AB112:AC113"/>
    <mergeCell ref="AD112:AE113"/>
    <mergeCell ref="AF112:AG113"/>
    <mergeCell ref="AH112:AI113"/>
    <mergeCell ref="AJ112:AK113"/>
    <mergeCell ref="AL112:AM113"/>
    <mergeCell ref="AN112:AO113"/>
    <mergeCell ref="AP112:AQ113"/>
    <mergeCell ref="Z102:AA103"/>
    <mergeCell ref="AB102:AC103"/>
    <mergeCell ref="AD102:AE103"/>
    <mergeCell ref="AF102:AG103"/>
    <mergeCell ref="Z104:AA105"/>
    <mergeCell ref="AB104:AC105"/>
    <mergeCell ref="AD104:AE105"/>
    <mergeCell ref="AF104:AG105"/>
    <mergeCell ref="Z108:AA109"/>
    <mergeCell ref="AB108:AC109"/>
    <mergeCell ref="AD108:AE109"/>
    <mergeCell ref="AF108:AG109"/>
    <mergeCell ref="AH108:AI109"/>
    <mergeCell ref="AJ108:AK109"/>
    <mergeCell ref="AL108:AM109"/>
    <mergeCell ref="AN108:AO109"/>
    <mergeCell ref="AP108:AQ109"/>
    <mergeCell ref="Z78:AA79"/>
    <mergeCell ref="AB78:AC79"/>
    <mergeCell ref="AD78:AE79"/>
    <mergeCell ref="AF78:AG79"/>
    <mergeCell ref="AH78:AI79"/>
    <mergeCell ref="AJ78:AK79"/>
    <mergeCell ref="AL78:AM79"/>
    <mergeCell ref="AN78:AO79"/>
    <mergeCell ref="AP78:AQ79"/>
    <mergeCell ref="Z98:AA99"/>
    <mergeCell ref="AB98:AC99"/>
    <mergeCell ref="AD98:AE99"/>
    <mergeCell ref="AF98:AG99"/>
    <mergeCell ref="Z100:AA101"/>
    <mergeCell ref="AB100:AC101"/>
    <mergeCell ref="AD100:AE101"/>
    <mergeCell ref="AF100:AG101"/>
    <mergeCell ref="Z74:AA75"/>
    <mergeCell ref="AB74:AC75"/>
    <mergeCell ref="AD74:AE75"/>
    <mergeCell ref="AF74:AG75"/>
    <mergeCell ref="AH74:AI75"/>
    <mergeCell ref="AJ74:AK75"/>
    <mergeCell ref="AL74:AM75"/>
    <mergeCell ref="AN74:AO75"/>
    <mergeCell ref="AP74:AQ75"/>
    <mergeCell ref="Z76:AA77"/>
    <mergeCell ref="AB76:AC77"/>
    <mergeCell ref="AD76:AE77"/>
    <mergeCell ref="AF76:AG77"/>
    <mergeCell ref="AH76:AI77"/>
    <mergeCell ref="AJ76:AK77"/>
    <mergeCell ref="AL76:AM77"/>
    <mergeCell ref="AN76:AO77"/>
    <mergeCell ref="AP76:AQ77"/>
    <mergeCell ref="Z70:AA71"/>
    <mergeCell ref="AB70:AC71"/>
    <mergeCell ref="AD70:AE71"/>
    <mergeCell ref="AF70:AG71"/>
    <mergeCell ref="AH70:AI71"/>
    <mergeCell ref="AJ70:AK71"/>
    <mergeCell ref="AL70:AM71"/>
    <mergeCell ref="AN70:AO71"/>
    <mergeCell ref="AP70:AQ71"/>
    <mergeCell ref="Z72:AA73"/>
    <mergeCell ref="AB72:AC73"/>
    <mergeCell ref="AD72:AE73"/>
    <mergeCell ref="AF72:AG73"/>
    <mergeCell ref="AH72:AI73"/>
    <mergeCell ref="AJ72:AK73"/>
    <mergeCell ref="AL72:AM73"/>
    <mergeCell ref="AN72:AO73"/>
    <mergeCell ref="AP72:AQ73"/>
    <mergeCell ref="AN64:AO65"/>
    <mergeCell ref="AP64:AQ65"/>
    <mergeCell ref="Z66:AA67"/>
    <mergeCell ref="AB66:AC67"/>
    <mergeCell ref="AD66:AE67"/>
    <mergeCell ref="AF66:AG67"/>
    <mergeCell ref="AH66:AI67"/>
    <mergeCell ref="AJ66:AK67"/>
    <mergeCell ref="AL66:AM67"/>
    <mergeCell ref="AN66:AO67"/>
    <mergeCell ref="AP66:AQ67"/>
    <mergeCell ref="Z68:AA69"/>
    <mergeCell ref="AB68:AC69"/>
    <mergeCell ref="AD68:AE69"/>
    <mergeCell ref="AF68:AG69"/>
    <mergeCell ref="AH68:AI69"/>
    <mergeCell ref="AJ68:AK69"/>
    <mergeCell ref="AL68:AM69"/>
    <mergeCell ref="AN68:AO69"/>
    <mergeCell ref="AP68:AQ69"/>
    <mergeCell ref="BU152:BV153"/>
    <mergeCell ref="BW152:BX153"/>
    <mergeCell ref="BY152:BZ153"/>
    <mergeCell ref="CA152:CB153"/>
    <mergeCell ref="BU154:BV155"/>
    <mergeCell ref="BW154:BX155"/>
    <mergeCell ref="BY154:BZ155"/>
    <mergeCell ref="CA154:CB155"/>
    <mergeCell ref="BU156:BV157"/>
    <mergeCell ref="BW156:BX157"/>
    <mergeCell ref="BY156:BZ157"/>
    <mergeCell ref="CA156:CB157"/>
    <mergeCell ref="BU158:BV159"/>
    <mergeCell ref="BW158:BX159"/>
    <mergeCell ref="BY158:BZ159"/>
    <mergeCell ref="CA158:CB159"/>
    <mergeCell ref="Z62:AA63"/>
    <mergeCell ref="AB62:AC63"/>
    <mergeCell ref="AD62:AE63"/>
    <mergeCell ref="AF62:AG63"/>
    <mergeCell ref="AH62:AI63"/>
    <mergeCell ref="AJ62:AK63"/>
    <mergeCell ref="AL62:AM63"/>
    <mergeCell ref="AN62:AO63"/>
    <mergeCell ref="AP62:AQ63"/>
    <mergeCell ref="Z64:AA65"/>
    <mergeCell ref="AB64:AC65"/>
    <mergeCell ref="AD64:AE65"/>
    <mergeCell ref="AF64:AG65"/>
    <mergeCell ref="AH64:AI65"/>
    <mergeCell ref="AJ64:AK65"/>
    <mergeCell ref="AL64:AM65"/>
    <mergeCell ref="BU122:BV123"/>
    <mergeCell ref="BW122:BX123"/>
    <mergeCell ref="BY122:BZ123"/>
    <mergeCell ref="CA122:CB123"/>
    <mergeCell ref="CC122:CD123"/>
    <mergeCell ref="CE122:CF123"/>
    <mergeCell ref="CG122:CH123"/>
    <mergeCell ref="CI122:CJ123"/>
    <mergeCell ref="CK122:CL123"/>
    <mergeCell ref="BU124:BV125"/>
    <mergeCell ref="BW124:BX125"/>
    <mergeCell ref="BY124:BZ125"/>
    <mergeCell ref="CA124:CB125"/>
    <mergeCell ref="CC124:CD125"/>
    <mergeCell ref="CE124:CF125"/>
    <mergeCell ref="CG124:CH125"/>
    <mergeCell ref="CI124:CJ125"/>
    <mergeCell ref="CK124:CL125"/>
    <mergeCell ref="BU118:BV119"/>
    <mergeCell ref="BW118:BX119"/>
    <mergeCell ref="BY118:BZ119"/>
    <mergeCell ref="CA118:CB119"/>
    <mergeCell ref="CC118:CD119"/>
    <mergeCell ref="CE118:CF119"/>
    <mergeCell ref="CG118:CH119"/>
    <mergeCell ref="CI118:CJ119"/>
    <mergeCell ref="CK118:CL119"/>
    <mergeCell ref="BU120:BV121"/>
    <mergeCell ref="BW120:BX121"/>
    <mergeCell ref="BY120:BZ121"/>
    <mergeCell ref="CA120:CB121"/>
    <mergeCell ref="CC120:CD121"/>
    <mergeCell ref="CE120:CF121"/>
    <mergeCell ref="CG120:CH121"/>
    <mergeCell ref="CI120:CJ121"/>
    <mergeCell ref="CK120:CL121"/>
    <mergeCell ref="BU114:BV115"/>
    <mergeCell ref="BW114:BX115"/>
    <mergeCell ref="BY114:BZ115"/>
    <mergeCell ref="CA114:CB115"/>
    <mergeCell ref="CC114:CD115"/>
    <mergeCell ref="CE114:CF115"/>
    <mergeCell ref="CG114:CH115"/>
    <mergeCell ref="CI114:CJ115"/>
    <mergeCell ref="CK114:CL115"/>
    <mergeCell ref="BU116:BV117"/>
    <mergeCell ref="BW116:BX117"/>
    <mergeCell ref="BY116:BZ117"/>
    <mergeCell ref="CA116:CB117"/>
    <mergeCell ref="CC116:CD117"/>
    <mergeCell ref="CE116:CF117"/>
    <mergeCell ref="CG116:CH117"/>
    <mergeCell ref="CI116:CJ117"/>
    <mergeCell ref="CK116:CL117"/>
    <mergeCell ref="BU110:BV111"/>
    <mergeCell ref="BW110:BX111"/>
    <mergeCell ref="BY110:BZ111"/>
    <mergeCell ref="CA110:CB111"/>
    <mergeCell ref="CC110:CD111"/>
    <mergeCell ref="CE110:CF111"/>
    <mergeCell ref="CG110:CH111"/>
    <mergeCell ref="CI110:CJ111"/>
    <mergeCell ref="CK110:CL111"/>
    <mergeCell ref="BU112:BV113"/>
    <mergeCell ref="BW112:BX113"/>
    <mergeCell ref="BY112:BZ113"/>
    <mergeCell ref="CA112:CB113"/>
    <mergeCell ref="CC112:CD113"/>
    <mergeCell ref="CE112:CF113"/>
    <mergeCell ref="CG112:CH113"/>
    <mergeCell ref="CI112:CJ113"/>
    <mergeCell ref="CK112:CL113"/>
    <mergeCell ref="BU102:BV103"/>
    <mergeCell ref="BW102:BX103"/>
    <mergeCell ref="BY102:BZ103"/>
    <mergeCell ref="CA102:CB103"/>
    <mergeCell ref="BU104:BV105"/>
    <mergeCell ref="BW104:BX105"/>
    <mergeCell ref="BY104:BZ105"/>
    <mergeCell ref="CA104:CB105"/>
    <mergeCell ref="BU108:BV109"/>
    <mergeCell ref="BW108:BX109"/>
    <mergeCell ref="BY108:BZ109"/>
    <mergeCell ref="CA108:CB109"/>
    <mergeCell ref="CC108:CD109"/>
    <mergeCell ref="CE108:CF109"/>
    <mergeCell ref="CG108:CH109"/>
    <mergeCell ref="CI108:CJ109"/>
    <mergeCell ref="CK108:CL109"/>
    <mergeCell ref="BU78:BV79"/>
    <mergeCell ref="BW78:BX79"/>
    <mergeCell ref="BY78:BZ79"/>
    <mergeCell ref="CA78:CB79"/>
    <mergeCell ref="CC78:CD79"/>
    <mergeCell ref="CE78:CF79"/>
    <mergeCell ref="CG78:CH79"/>
    <mergeCell ref="CI78:CJ79"/>
    <mergeCell ref="CK78:CL79"/>
    <mergeCell ref="BU98:BV99"/>
    <mergeCell ref="BW98:BX99"/>
    <mergeCell ref="BY98:BZ99"/>
    <mergeCell ref="CA98:CB99"/>
    <mergeCell ref="BU100:BV101"/>
    <mergeCell ref="BW100:BX101"/>
    <mergeCell ref="BY100:BZ101"/>
    <mergeCell ref="CA100:CB101"/>
    <mergeCell ref="BU74:BV75"/>
    <mergeCell ref="BW74:BX75"/>
    <mergeCell ref="BY74:BZ75"/>
    <mergeCell ref="CA74:CB75"/>
    <mergeCell ref="CC74:CD75"/>
    <mergeCell ref="CE74:CF75"/>
    <mergeCell ref="CG74:CH75"/>
    <mergeCell ref="CI74:CJ75"/>
    <mergeCell ref="CK74:CL75"/>
    <mergeCell ref="BU76:BV77"/>
    <mergeCell ref="BW76:BX77"/>
    <mergeCell ref="BY76:BZ77"/>
    <mergeCell ref="CA76:CB77"/>
    <mergeCell ref="CC76:CD77"/>
    <mergeCell ref="CE76:CF77"/>
    <mergeCell ref="CG76:CH77"/>
    <mergeCell ref="CI76:CJ77"/>
    <mergeCell ref="CK76:CL77"/>
    <mergeCell ref="BU70:BV71"/>
    <mergeCell ref="BW70:BX71"/>
    <mergeCell ref="BY70:BZ71"/>
    <mergeCell ref="CA70:CB71"/>
    <mergeCell ref="CC70:CD71"/>
    <mergeCell ref="CE70:CF71"/>
    <mergeCell ref="CG70:CH71"/>
    <mergeCell ref="CI70:CJ71"/>
    <mergeCell ref="CK70:CL71"/>
    <mergeCell ref="BU72:BV73"/>
    <mergeCell ref="BW72:BX73"/>
    <mergeCell ref="BY72:BZ73"/>
    <mergeCell ref="CA72:CB73"/>
    <mergeCell ref="CC72:CD73"/>
    <mergeCell ref="CE72:CF73"/>
    <mergeCell ref="CG72:CH73"/>
    <mergeCell ref="CI72:CJ73"/>
    <mergeCell ref="CK72:CL73"/>
    <mergeCell ref="CI64:CJ65"/>
    <mergeCell ref="CK64:CL65"/>
    <mergeCell ref="BU66:BV67"/>
    <mergeCell ref="BW66:BX67"/>
    <mergeCell ref="BY66:BZ67"/>
    <mergeCell ref="CA66:CB67"/>
    <mergeCell ref="CC66:CD67"/>
    <mergeCell ref="CE66:CF67"/>
    <mergeCell ref="CG66:CH67"/>
    <mergeCell ref="CI66:CJ67"/>
    <mergeCell ref="CK66:CL67"/>
    <mergeCell ref="BU68:BV69"/>
    <mergeCell ref="BW68:BX69"/>
    <mergeCell ref="BY68:BZ69"/>
    <mergeCell ref="CA68:CB69"/>
    <mergeCell ref="CC68:CD69"/>
    <mergeCell ref="CE68:CF69"/>
    <mergeCell ref="CG68:CH69"/>
    <mergeCell ref="CI68:CJ69"/>
    <mergeCell ref="CK68:CL69"/>
    <mergeCell ref="FK152:FL153"/>
    <mergeCell ref="FM152:FN153"/>
    <mergeCell ref="FO152:FP153"/>
    <mergeCell ref="FQ152:FR153"/>
    <mergeCell ref="FK154:FL155"/>
    <mergeCell ref="FM154:FN155"/>
    <mergeCell ref="FO154:FP155"/>
    <mergeCell ref="FQ154:FR155"/>
    <mergeCell ref="FK156:FL157"/>
    <mergeCell ref="FM156:FN157"/>
    <mergeCell ref="FO156:FP157"/>
    <mergeCell ref="FQ156:FR157"/>
    <mergeCell ref="FK158:FL159"/>
    <mergeCell ref="FM158:FN159"/>
    <mergeCell ref="FO158:FP159"/>
    <mergeCell ref="FQ158:FR159"/>
    <mergeCell ref="BU62:BV63"/>
    <mergeCell ref="BW62:BX63"/>
    <mergeCell ref="BY62:BZ63"/>
    <mergeCell ref="CA62:CB63"/>
    <mergeCell ref="CC62:CD63"/>
    <mergeCell ref="CE62:CF63"/>
    <mergeCell ref="CG62:CH63"/>
    <mergeCell ref="CI62:CJ63"/>
    <mergeCell ref="CK62:CL63"/>
    <mergeCell ref="BU64:BV65"/>
    <mergeCell ref="BW64:BX65"/>
    <mergeCell ref="BY64:BZ65"/>
    <mergeCell ref="CA64:CB65"/>
    <mergeCell ref="CC64:CD65"/>
    <mergeCell ref="CE64:CF65"/>
    <mergeCell ref="CG64:CH65"/>
    <mergeCell ref="A9:C9"/>
    <mergeCell ref="U9:W9"/>
    <mergeCell ref="A10:C10"/>
    <mergeCell ref="U10:W10"/>
    <mergeCell ref="A11:C11"/>
    <mergeCell ref="U11:W11"/>
    <mergeCell ref="D3:T3"/>
    <mergeCell ref="A5:B5"/>
    <mergeCell ref="A7:C7"/>
    <mergeCell ref="U7:W7"/>
    <mergeCell ref="A8:C8"/>
    <mergeCell ref="U8:W8"/>
    <mergeCell ref="A19:C19"/>
    <mergeCell ref="U19:W19"/>
    <mergeCell ref="A20:C20"/>
    <mergeCell ref="U20:W20"/>
    <mergeCell ref="A21:C21"/>
    <mergeCell ref="U21:W21"/>
    <mergeCell ref="A15:C15"/>
    <mergeCell ref="U15:W15"/>
    <mergeCell ref="A17:C17"/>
    <mergeCell ref="U17:W17"/>
    <mergeCell ref="A18:C18"/>
    <mergeCell ref="U18:W18"/>
    <mergeCell ref="A12:C12"/>
    <mergeCell ref="U12:W12"/>
    <mergeCell ref="A13:C13"/>
    <mergeCell ref="U13:W13"/>
    <mergeCell ref="A14:C14"/>
    <mergeCell ref="U14:W14"/>
    <mergeCell ref="A29:C29"/>
    <mergeCell ref="U29:W29"/>
    <mergeCell ref="A30:C30"/>
    <mergeCell ref="U30:W30"/>
    <mergeCell ref="A31:C31"/>
    <mergeCell ref="U31:W31"/>
    <mergeCell ref="A26:C26"/>
    <mergeCell ref="U26:W26"/>
    <mergeCell ref="A27:C27"/>
    <mergeCell ref="U27:W27"/>
    <mergeCell ref="A28:C28"/>
    <mergeCell ref="U28:W28"/>
    <mergeCell ref="A22:C22"/>
    <mergeCell ref="U22:W22"/>
    <mergeCell ref="A23:C23"/>
    <mergeCell ref="U23:W23"/>
    <mergeCell ref="A24:C24"/>
    <mergeCell ref="U24:W24"/>
    <mergeCell ref="A39:C39"/>
    <mergeCell ref="U39:W39"/>
    <mergeCell ref="A41:C41"/>
    <mergeCell ref="U41:W41"/>
    <mergeCell ref="A42:C42"/>
    <mergeCell ref="U42:W42"/>
    <mergeCell ref="A36:C36"/>
    <mergeCell ref="U36:W36"/>
    <mergeCell ref="A37:C37"/>
    <mergeCell ref="U37:W37"/>
    <mergeCell ref="A38:C38"/>
    <mergeCell ref="U38:W38"/>
    <mergeCell ref="A32:C32"/>
    <mergeCell ref="U32:W32"/>
    <mergeCell ref="A34:C34"/>
    <mergeCell ref="U34:W34"/>
    <mergeCell ref="A35:C35"/>
    <mergeCell ref="U35:W35"/>
    <mergeCell ref="A50:C50"/>
    <mergeCell ref="U50:W50"/>
    <mergeCell ref="A52:C52"/>
    <mergeCell ref="U52:W52"/>
    <mergeCell ref="A53:C53"/>
    <mergeCell ref="U53:W53"/>
    <mergeCell ref="A47:C47"/>
    <mergeCell ref="U47:W47"/>
    <mergeCell ref="A48:C48"/>
    <mergeCell ref="U48:W48"/>
    <mergeCell ref="A49:C49"/>
    <mergeCell ref="U49:W49"/>
    <mergeCell ref="A43:C43"/>
    <mergeCell ref="U43:W43"/>
    <mergeCell ref="A44:C44"/>
    <mergeCell ref="U44:W44"/>
    <mergeCell ref="A45:C45"/>
    <mergeCell ref="U45:W45"/>
    <mergeCell ref="A65:C65"/>
    <mergeCell ref="U65:W65"/>
    <mergeCell ref="A66:C66"/>
    <mergeCell ref="U66:W66"/>
    <mergeCell ref="A67:C67"/>
    <mergeCell ref="U67:W67"/>
    <mergeCell ref="A60:B60"/>
    <mergeCell ref="A62:C62"/>
    <mergeCell ref="U62:W62"/>
    <mergeCell ref="A63:C63"/>
    <mergeCell ref="U63:W63"/>
    <mergeCell ref="A64:C64"/>
    <mergeCell ref="U64:W64"/>
    <mergeCell ref="A54:C54"/>
    <mergeCell ref="U54:W54"/>
    <mergeCell ref="A56:C56"/>
    <mergeCell ref="U56:W56"/>
    <mergeCell ref="A57:C57"/>
    <mergeCell ref="U57:W57"/>
    <mergeCell ref="A75:C75"/>
    <mergeCell ref="U75:W75"/>
    <mergeCell ref="A77:C77"/>
    <mergeCell ref="U77:W77"/>
    <mergeCell ref="A78:C78"/>
    <mergeCell ref="U78:W78"/>
    <mergeCell ref="A72:C72"/>
    <mergeCell ref="U72:W72"/>
    <mergeCell ref="A73:C73"/>
    <mergeCell ref="U73:W73"/>
    <mergeCell ref="A74:C74"/>
    <mergeCell ref="U74:W74"/>
    <mergeCell ref="A68:C68"/>
    <mergeCell ref="U68:W68"/>
    <mergeCell ref="A70:C70"/>
    <mergeCell ref="U70:W70"/>
    <mergeCell ref="A71:C71"/>
    <mergeCell ref="U71:W71"/>
    <mergeCell ref="A86:C86"/>
    <mergeCell ref="U86:W86"/>
    <mergeCell ref="A88:C88"/>
    <mergeCell ref="U88:W88"/>
    <mergeCell ref="A89:C89"/>
    <mergeCell ref="U89:W89"/>
    <mergeCell ref="A83:C83"/>
    <mergeCell ref="U83:W83"/>
    <mergeCell ref="A84:C84"/>
    <mergeCell ref="U84:W84"/>
    <mergeCell ref="A85:C85"/>
    <mergeCell ref="U85:W85"/>
    <mergeCell ref="A79:C79"/>
    <mergeCell ref="U79:W79"/>
    <mergeCell ref="A80:C80"/>
    <mergeCell ref="U80:W80"/>
    <mergeCell ref="A81:C81"/>
    <mergeCell ref="U81:W81"/>
    <mergeCell ref="A102:C102"/>
    <mergeCell ref="U102:W102"/>
    <mergeCell ref="A103:C103"/>
    <mergeCell ref="U103:W103"/>
    <mergeCell ref="A108:C108"/>
    <mergeCell ref="U108:W108"/>
    <mergeCell ref="A96:C96"/>
    <mergeCell ref="A98:C98"/>
    <mergeCell ref="U98:W98"/>
    <mergeCell ref="A99:C99"/>
    <mergeCell ref="U99:W99"/>
    <mergeCell ref="A100:C100"/>
    <mergeCell ref="U100:W100"/>
    <mergeCell ref="A90:C90"/>
    <mergeCell ref="U90:W90"/>
    <mergeCell ref="A92:C92"/>
    <mergeCell ref="U92:W92"/>
    <mergeCell ref="A93:C93"/>
    <mergeCell ref="U93:W93"/>
    <mergeCell ref="A117:C117"/>
    <mergeCell ref="U117:W117"/>
    <mergeCell ref="A118:C118"/>
    <mergeCell ref="U118:W118"/>
    <mergeCell ref="A120:C120"/>
    <mergeCell ref="U120:W120"/>
    <mergeCell ref="A113:C113"/>
    <mergeCell ref="U113:W113"/>
    <mergeCell ref="A114:C114"/>
    <mergeCell ref="U114:W114"/>
    <mergeCell ref="A115:C115"/>
    <mergeCell ref="U115:W115"/>
    <mergeCell ref="A109:C109"/>
    <mergeCell ref="U109:W109"/>
    <mergeCell ref="A110:C110"/>
    <mergeCell ref="U110:W110"/>
    <mergeCell ref="A112:C112"/>
    <mergeCell ref="U112:W112"/>
    <mergeCell ref="A135:C135"/>
    <mergeCell ref="U135:W135"/>
    <mergeCell ref="A136:C136"/>
    <mergeCell ref="U136:W136"/>
    <mergeCell ref="A129:C129"/>
    <mergeCell ref="U129:W129"/>
    <mergeCell ref="A132:C132"/>
    <mergeCell ref="U132:W132"/>
    <mergeCell ref="A125:C125"/>
    <mergeCell ref="U125:W125"/>
    <mergeCell ref="U126:W126"/>
    <mergeCell ref="A121:C121"/>
    <mergeCell ref="U121:W121"/>
    <mergeCell ref="A122:C122"/>
    <mergeCell ref="U122:W122"/>
    <mergeCell ref="A123:C123"/>
    <mergeCell ref="U123:W123"/>
    <mergeCell ref="A157:C157"/>
    <mergeCell ref="U157:W157"/>
    <mergeCell ref="A111:C111"/>
    <mergeCell ref="U111:W111"/>
    <mergeCell ref="A119:C119"/>
    <mergeCell ref="U119:W119"/>
    <mergeCell ref="A128:C128"/>
    <mergeCell ref="A126:C126"/>
    <mergeCell ref="A130:C130"/>
    <mergeCell ref="U130:W130"/>
    <mergeCell ref="A153:C153"/>
    <mergeCell ref="U153:W153"/>
    <mergeCell ref="A154:C154"/>
    <mergeCell ref="U154:W154"/>
    <mergeCell ref="A156:C156"/>
    <mergeCell ref="U156:W156"/>
    <mergeCell ref="A143:C143"/>
    <mergeCell ref="U143:W143"/>
    <mergeCell ref="A145:C145"/>
    <mergeCell ref="U145:W145"/>
    <mergeCell ref="A152:C152"/>
    <mergeCell ref="U152:W152"/>
    <mergeCell ref="A144:C144"/>
    <mergeCell ref="U144:W144"/>
    <mergeCell ref="A147:C147"/>
    <mergeCell ref="U147:W147"/>
    <mergeCell ref="A138:C138"/>
    <mergeCell ref="U138:W138"/>
    <mergeCell ref="A140:C140"/>
    <mergeCell ref="U140:W140"/>
    <mergeCell ref="A141:C141"/>
    <mergeCell ref="U141:W141"/>
    <mergeCell ref="AH9:AI10"/>
    <mergeCell ref="AJ9:AK10"/>
    <mergeCell ref="AL9:AM10"/>
    <mergeCell ref="AN9:AO10"/>
    <mergeCell ref="AP9:AQ10"/>
    <mergeCell ref="AR9:AS10"/>
    <mergeCell ref="AH7:AI8"/>
    <mergeCell ref="AJ7:AK8"/>
    <mergeCell ref="AL7:AM8"/>
    <mergeCell ref="AN7:AO8"/>
    <mergeCell ref="AP7:AQ8"/>
    <mergeCell ref="AR7:AS8"/>
    <mergeCell ref="A148:C148"/>
    <mergeCell ref="U148:W148"/>
    <mergeCell ref="Z7:AA8"/>
    <mergeCell ref="AB7:AC8"/>
    <mergeCell ref="AD7:AE8"/>
    <mergeCell ref="AF7:AG8"/>
    <mergeCell ref="Z9:AA10"/>
    <mergeCell ref="AB9:AC10"/>
    <mergeCell ref="AD9:AE10"/>
    <mergeCell ref="AF9:AG10"/>
    <mergeCell ref="A127:C127"/>
    <mergeCell ref="U127:W127"/>
    <mergeCell ref="U128:W128"/>
    <mergeCell ref="A133:C133"/>
    <mergeCell ref="U133:W133"/>
    <mergeCell ref="A139:C139"/>
    <mergeCell ref="U139:W139"/>
    <mergeCell ref="A134:C134"/>
    <mergeCell ref="U134:W134"/>
    <mergeCell ref="Z17:AA18"/>
    <mergeCell ref="AB17:AC18"/>
    <mergeCell ref="AD17:AE18"/>
    <mergeCell ref="AF17:AG18"/>
    <mergeCell ref="AH17:AI18"/>
    <mergeCell ref="AJ17:AK18"/>
    <mergeCell ref="AL13:AM14"/>
    <mergeCell ref="AN13:AO14"/>
    <mergeCell ref="AP13:AQ14"/>
    <mergeCell ref="AR13:AS14"/>
    <mergeCell ref="Z15:AA16"/>
    <mergeCell ref="AB15:AC16"/>
    <mergeCell ref="AD15:AE16"/>
    <mergeCell ref="AF15:AG16"/>
    <mergeCell ref="AH15:AI16"/>
    <mergeCell ref="AJ15:AK16"/>
    <mergeCell ref="AL11:AM12"/>
    <mergeCell ref="AN11:AO12"/>
    <mergeCell ref="AP11:AQ12"/>
    <mergeCell ref="AR11:AS12"/>
    <mergeCell ref="Z13:AA14"/>
    <mergeCell ref="AB13:AC14"/>
    <mergeCell ref="AD13:AE14"/>
    <mergeCell ref="AF13:AG14"/>
    <mergeCell ref="AH13:AI14"/>
    <mergeCell ref="AJ13:AK14"/>
    <mergeCell ref="Z11:AA12"/>
    <mergeCell ref="AB11:AC12"/>
    <mergeCell ref="AD11:AE12"/>
    <mergeCell ref="AF11:AG12"/>
    <mergeCell ref="AH11:AI12"/>
    <mergeCell ref="AJ11:AK12"/>
    <mergeCell ref="Z25:AA26"/>
    <mergeCell ref="AB25:AC26"/>
    <mergeCell ref="AD25:AE26"/>
    <mergeCell ref="AF25:AG26"/>
    <mergeCell ref="AH25:AI26"/>
    <mergeCell ref="AJ25:AK26"/>
    <mergeCell ref="AL21:AM22"/>
    <mergeCell ref="AN21:AO22"/>
    <mergeCell ref="AP21:AQ22"/>
    <mergeCell ref="AR21:AS22"/>
    <mergeCell ref="Z23:AA24"/>
    <mergeCell ref="AB23:AC24"/>
    <mergeCell ref="AD23:AE24"/>
    <mergeCell ref="AF23:AG24"/>
    <mergeCell ref="AH23:AI24"/>
    <mergeCell ref="AJ23:AK24"/>
    <mergeCell ref="AL19:AM20"/>
    <mergeCell ref="AN19:AO20"/>
    <mergeCell ref="AP19:AQ20"/>
    <mergeCell ref="AR19:AS20"/>
    <mergeCell ref="Z21:AA22"/>
    <mergeCell ref="AB21:AC22"/>
    <mergeCell ref="AD21:AE22"/>
    <mergeCell ref="AF21:AG22"/>
    <mergeCell ref="AH21:AI22"/>
    <mergeCell ref="AJ21:AK22"/>
    <mergeCell ref="Z19:AA20"/>
    <mergeCell ref="AB19:AC20"/>
    <mergeCell ref="AD19:AE20"/>
    <mergeCell ref="AF19:AG20"/>
    <mergeCell ref="AH19:AI20"/>
    <mergeCell ref="AJ19:AK20"/>
    <mergeCell ref="BP9:BR9"/>
    <mergeCell ref="AV10:AX10"/>
    <mergeCell ref="BP10:BR10"/>
    <mergeCell ref="AV11:AX11"/>
    <mergeCell ref="BP11:BR11"/>
    <mergeCell ref="AV12:AX12"/>
    <mergeCell ref="BP12:BR12"/>
    <mergeCell ref="AV7:AX7"/>
    <mergeCell ref="BP7:BR7"/>
    <mergeCell ref="AV8:AX8"/>
    <mergeCell ref="BP8:BR8"/>
    <mergeCell ref="AL25:AM26"/>
    <mergeCell ref="AN25:AO26"/>
    <mergeCell ref="AP25:AQ26"/>
    <mergeCell ref="AR25:AS26"/>
    <mergeCell ref="AV9:AX9"/>
    <mergeCell ref="AV13:AX13"/>
    <mergeCell ref="AV18:AX18"/>
    <mergeCell ref="AV22:AX22"/>
    <mergeCell ref="AL23:AM24"/>
    <mergeCell ref="AN23:AO24"/>
    <mergeCell ref="AP23:AQ24"/>
    <mergeCell ref="AR23:AS24"/>
    <mergeCell ref="AL17:AM18"/>
    <mergeCell ref="AN17:AO18"/>
    <mergeCell ref="AP17:AQ18"/>
    <mergeCell ref="AR17:AS18"/>
    <mergeCell ref="AL15:AM16"/>
    <mergeCell ref="AN15:AO16"/>
    <mergeCell ref="AP15:AQ16"/>
    <mergeCell ref="AR15:AS16"/>
    <mergeCell ref="AV29:AX29"/>
    <mergeCell ref="BP29:BR29"/>
    <mergeCell ref="BP22:BR22"/>
    <mergeCell ref="AV24:AX24"/>
    <mergeCell ref="BP24:BR24"/>
    <mergeCell ref="AV26:AX26"/>
    <mergeCell ref="BP26:BR26"/>
    <mergeCell ref="BP18:BR18"/>
    <mergeCell ref="AV19:AX19"/>
    <mergeCell ref="BP19:BR19"/>
    <mergeCell ref="AV20:AX20"/>
    <mergeCell ref="BP20:BR20"/>
    <mergeCell ref="AV21:AX21"/>
    <mergeCell ref="BP21:BR21"/>
    <mergeCell ref="BP13:BR13"/>
    <mergeCell ref="AV15:AX15"/>
    <mergeCell ref="BP15:BR15"/>
    <mergeCell ref="AV17:AX17"/>
    <mergeCell ref="BP17:BR17"/>
    <mergeCell ref="AV48:AX48"/>
    <mergeCell ref="BP48:BR48"/>
    <mergeCell ref="AV50:AX50"/>
    <mergeCell ref="BP50:BR50"/>
    <mergeCell ref="AV49:AX49"/>
    <mergeCell ref="BP49:BR49"/>
    <mergeCell ref="AV45:AX45"/>
    <mergeCell ref="BP45:BR45"/>
    <mergeCell ref="AV47:AX47"/>
    <mergeCell ref="BP47:BR47"/>
    <mergeCell ref="AV41:AX41"/>
    <mergeCell ref="BP41:BR41"/>
    <mergeCell ref="AV42:AX42"/>
    <mergeCell ref="BP42:BR42"/>
    <mergeCell ref="AV43:AX43"/>
    <mergeCell ref="BP43:BR43"/>
    <mergeCell ref="AV37:AX37"/>
    <mergeCell ref="BP37:BR37"/>
    <mergeCell ref="AV39:AX39"/>
    <mergeCell ref="BP39:BR39"/>
    <mergeCell ref="AV66:AX66"/>
    <mergeCell ref="BP66:BR66"/>
    <mergeCell ref="AV68:AX68"/>
    <mergeCell ref="BP68:BR68"/>
    <mergeCell ref="AV63:AX63"/>
    <mergeCell ref="BP63:BR63"/>
    <mergeCell ref="AV64:AX64"/>
    <mergeCell ref="BP64:BR64"/>
    <mergeCell ref="AV65:AX65"/>
    <mergeCell ref="BP65:BR65"/>
    <mergeCell ref="AV62:AX62"/>
    <mergeCell ref="BP62:BR62"/>
    <mergeCell ref="AV52:AX52"/>
    <mergeCell ref="BP52:BR52"/>
    <mergeCell ref="AV54:AX54"/>
    <mergeCell ref="BP54:BR54"/>
    <mergeCell ref="AV53:AX53"/>
    <mergeCell ref="BP53:BR53"/>
    <mergeCell ref="BP83:BR83"/>
    <mergeCell ref="AV77:AX77"/>
    <mergeCell ref="BP77:BR77"/>
    <mergeCell ref="AV78:AX78"/>
    <mergeCell ref="BP78:BR78"/>
    <mergeCell ref="AV79:AX79"/>
    <mergeCell ref="BP79:BR79"/>
    <mergeCell ref="AV73:AX73"/>
    <mergeCell ref="BP73:BR73"/>
    <mergeCell ref="AV75:AX75"/>
    <mergeCell ref="BP75:BR75"/>
    <mergeCell ref="AV74:AX74"/>
    <mergeCell ref="BP74:BR74"/>
    <mergeCell ref="AV70:AX70"/>
    <mergeCell ref="BP70:BR70"/>
    <mergeCell ref="AV71:AX71"/>
    <mergeCell ref="BP71:BR71"/>
    <mergeCell ref="AV72:AX72"/>
    <mergeCell ref="BP72:BR72"/>
    <mergeCell ref="AV114:AX114"/>
    <mergeCell ref="BP114:BR114"/>
    <mergeCell ref="AV115:AX115"/>
    <mergeCell ref="BP115:BR115"/>
    <mergeCell ref="AV110:AX110"/>
    <mergeCell ref="BP110:BR110"/>
    <mergeCell ref="AV111:AX111"/>
    <mergeCell ref="BP111:BR111"/>
    <mergeCell ref="AV112:AX112"/>
    <mergeCell ref="BP112:BR112"/>
    <mergeCell ref="AV108:AX108"/>
    <mergeCell ref="BP108:BR108"/>
    <mergeCell ref="AV109:AX109"/>
    <mergeCell ref="BP109:BR109"/>
    <mergeCell ref="AV100:AX100"/>
    <mergeCell ref="BP100:BR100"/>
    <mergeCell ref="AV102:AX102"/>
    <mergeCell ref="BP102:BR102"/>
    <mergeCell ref="AV103:AX103"/>
    <mergeCell ref="BP103:BR103"/>
    <mergeCell ref="AV130:AX130"/>
    <mergeCell ref="BP130:BR130"/>
    <mergeCell ref="AV125:AX125"/>
    <mergeCell ref="BP125:BR125"/>
    <mergeCell ref="AV127:AX127"/>
    <mergeCell ref="BP127:BR127"/>
    <mergeCell ref="AV121:AX121"/>
    <mergeCell ref="BP121:BR121"/>
    <mergeCell ref="AV122:AX122"/>
    <mergeCell ref="BP122:BR122"/>
    <mergeCell ref="AV123:AX123"/>
    <mergeCell ref="BP123:BR123"/>
    <mergeCell ref="AV117:AX117"/>
    <mergeCell ref="BP117:BR117"/>
    <mergeCell ref="AV118:AX118"/>
    <mergeCell ref="BP118:BR118"/>
    <mergeCell ref="AV119:AX119"/>
    <mergeCell ref="BP119:BR119"/>
    <mergeCell ref="AV147:AX147"/>
    <mergeCell ref="BP147:BR147"/>
    <mergeCell ref="AY3:BO3"/>
    <mergeCell ref="AV5:AW5"/>
    <mergeCell ref="BU7:BV8"/>
    <mergeCell ref="BW7:BX8"/>
    <mergeCell ref="BU25:BV26"/>
    <mergeCell ref="BW25:BX26"/>
    <mergeCell ref="AV44:AX44"/>
    <mergeCell ref="BP44:BR44"/>
    <mergeCell ref="AV143:AX143"/>
    <mergeCell ref="BP143:BR143"/>
    <mergeCell ref="AV144:AX144"/>
    <mergeCell ref="BP144:BR144"/>
    <mergeCell ref="AV145:AX145"/>
    <mergeCell ref="BP145:BR145"/>
    <mergeCell ref="AV136:AX136"/>
    <mergeCell ref="BP136:BR136"/>
    <mergeCell ref="AV140:AX140"/>
    <mergeCell ref="BP140:BR140"/>
    <mergeCell ref="AV141:AX141"/>
    <mergeCell ref="BP141:BR141"/>
    <mergeCell ref="AV132:AX132"/>
    <mergeCell ref="BP132:BR132"/>
    <mergeCell ref="AV133:AX133"/>
    <mergeCell ref="BP133:BR133"/>
    <mergeCell ref="AV134:AX134"/>
    <mergeCell ref="BP134:BR134"/>
    <mergeCell ref="AV128:AX128"/>
    <mergeCell ref="BP128:BR128"/>
    <mergeCell ref="AV129:AX129"/>
    <mergeCell ref="BP129:BR129"/>
    <mergeCell ref="CK9:CL10"/>
    <mergeCell ref="CM9:CN10"/>
    <mergeCell ref="BU11:BV12"/>
    <mergeCell ref="BW11:BX12"/>
    <mergeCell ref="BY11:BZ12"/>
    <mergeCell ref="CA11:CB12"/>
    <mergeCell ref="CC11:CD12"/>
    <mergeCell ref="CE11:CF12"/>
    <mergeCell ref="CG11:CH12"/>
    <mergeCell ref="CI11:CJ12"/>
    <mergeCell ref="CK7:CL8"/>
    <mergeCell ref="CM7:CN8"/>
    <mergeCell ref="BU9:BV10"/>
    <mergeCell ref="BW9:BX10"/>
    <mergeCell ref="BY9:BZ10"/>
    <mergeCell ref="CA9:CB10"/>
    <mergeCell ref="CC9:CD10"/>
    <mergeCell ref="CE9:CF10"/>
    <mergeCell ref="CG9:CH10"/>
    <mergeCell ref="CI9:CJ10"/>
    <mergeCell ref="BY7:BZ8"/>
    <mergeCell ref="CA7:CB8"/>
    <mergeCell ref="CC7:CD8"/>
    <mergeCell ref="CE7:CF8"/>
    <mergeCell ref="CG7:CH8"/>
    <mergeCell ref="CI7:CJ8"/>
    <mergeCell ref="CK13:CL14"/>
    <mergeCell ref="CM13:CN14"/>
    <mergeCell ref="AV14:AX14"/>
    <mergeCell ref="BP14:BR14"/>
    <mergeCell ref="BU15:BV16"/>
    <mergeCell ref="BW15:BX16"/>
    <mergeCell ref="BY15:BZ16"/>
    <mergeCell ref="CA15:CB16"/>
    <mergeCell ref="CC15:CD16"/>
    <mergeCell ref="CE15:CF16"/>
    <mergeCell ref="CK11:CL12"/>
    <mergeCell ref="CM11:CN12"/>
    <mergeCell ref="BU13:BV14"/>
    <mergeCell ref="BW13:BX14"/>
    <mergeCell ref="BY13:BZ14"/>
    <mergeCell ref="CA13:CB14"/>
    <mergeCell ref="CC13:CD14"/>
    <mergeCell ref="CE13:CF14"/>
    <mergeCell ref="CG13:CH14"/>
    <mergeCell ref="CI13:CJ14"/>
    <mergeCell ref="CG17:CH18"/>
    <mergeCell ref="CI17:CJ18"/>
    <mergeCell ref="CK17:CL18"/>
    <mergeCell ref="CM17:CN18"/>
    <mergeCell ref="BU19:BV20"/>
    <mergeCell ref="BW19:BX20"/>
    <mergeCell ref="BY19:BZ20"/>
    <mergeCell ref="CA19:CB20"/>
    <mergeCell ref="CC19:CD20"/>
    <mergeCell ref="CE19:CF20"/>
    <mergeCell ref="CG15:CH16"/>
    <mergeCell ref="CI15:CJ16"/>
    <mergeCell ref="CK15:CL16"/>
    <mergeCell ref="CM15:CN16"/>
    <mergeCell ref="BU17:BV18"/>
    <mergeCell ref="BW17:BX18"/>
    <mergeCell ref="BY17:BZ18"/>
    <mergeCell ref="CA17:CB18"/>
    <mergeCell ref="CC17:CD18"/>
    <mergeCell ref="CE17:CF18"/>
    <mergeCell ref="CG21:CH22"/>
    <mergeCell ref="CI21:CJ22"/>
    <mergeCell ref="CK21:CL22"/>
    <mergeCell ref="CM21:CN22"/>
    <mergeCell ref="AV23:AX23"/>
    <mergeCell ref="BP23:BR23"/>
    <mergeCell ref="BU23:BV24"/>
    <mergeCell ref="BW23:BX24"/>
    <mergeCell ref="BY23:BZ24"/>
    <mergeCell ref="CA23:CB24"/>
    <mergeCell ref="CG19:CH20"/>
    <mergeCell ref="CI19:CJ20"/>
    <mergeCell ref="CK19:CL20"/>
    <mergeCell ref="CM19:CN20"/>
    <mergeCell ref="BU21:BV22"/>
    <mergeCell ref="BW21:BX22"/>
    <mergeCell ref="BY21:BZ22"/>
    <mergeCell ref="CA21:CB22"/>
    <mergeCell ref="CC21:CD22"/>
    <mergeCell ref="CE21:CF22"/>
    <mergeCell ref="CK25:CL26"/>
    <mergeCell ref="CM25:CN26"/>
    <mergeCell ref="AV31:AX31"/>
    <mergeCell ref="BP31:BR31"/>
    <mergeCell ref="AV38:AX38"/>
    <mergeCell ref="BP38:BR38"/>
    <mergeCell ref="BY25:BZ26"/>
    <mergeCell ref="CA25:CB26"/>
    <mergeCell ref="CC25:CD26"/>
    <mergeCell ref="CE25:CF26"/>
    <mergeCell ref="CG25:CH26"/>
    <mergeCell ref="CI25:CJ26"/>
    <mergeCell ref="CC23:CD24"/>
    <mergeCell ref="CE23:CF24"/>
    <mergeCell ref="CG23:CH24"/>
    <mergeCell ref="CI23:CJ24"/>
    <mergeCell ref="CK23:CL24"/>
    <mergeCell ref="CM23:CN24"/>
    <mergeCell ref="AV34:AX34"/>
    <mergeCell ref="BP34:BR34"/>
    <mergeCell ref="AV35:AX35"/>
    <mergeCell ref="BP35:BR35"/>
    <mergeCell ref="AV36:AX36"/>
    <mergeCell ref="BP36:BR36"/>
    <mergeCell ref="AV30:AX30"/>
    <mergeCell ref="BP30:BR30"/>
    <mergeCell ref="AV32:AX32"/>
    <mergeCell ref="BP32:BR32"/>
    <mergeCell ref="AV27:AX27"/>
    <mergeCell ref="BP27:BR27"/>
    <mergeCell ref="AV28:AX28"/>
    <mergeCell ref="BP28:BR28"/>
    <mergeCell ref="BP92:BR92"/>
    <mergeCell ref="AV93:AX93"/>
    <mergeCell ref="BP93:BR93"/>
    <mergeCell ref="AV99:AX99"/>
    <mergeCell ref="BP99:BR99"/>
    <mergeCell ref="AV80:AX80"/>
    <mergeCell ref="BP80:BR80"/>
    <mergeCell ref="AV85:AX85"/>
    <mergeCell ref="BP85:BR85"/>
    <mergeCell ref="AV89:AX89"/>
    <mergeCell ref="BP89:BR89"/>
    <mergeCell ref="AV56:AX56"/>
    <mergeCell ref="BP56:BR56"/>
    <mergeCell ref="AV57:AX57"/>
    <mergeCell ref="BP57:BR57"/>
    <mergeCell ref="AV60:AW60"/>
    <mergeCell ref="AV67:AX67"/>
    <mergeCell ref="BP67:BR67"/>
    <mergeCell ref="AV96:AX96"/>
    <mergeCell ref="AV98:AX98"/>
    <mergeCell ref="BP98:BR98"/>
    <mergeCell ref="AV88:AX88"/>
    <mergeCell ref="BP88:BR88"/>
    <mergeCell ref="AV90:AX90"/>
    <mergeCell ref="BP90:BR90"/>
    <mergeCell ref="AV84:AX84"/>
    <mergeCell ref="BP84:BR84"/>
    <mergeCell ref="AV86:AX86"/>
    <mergeCell ref="BP86:BR86"/>
    <mergeCell ref="AV81:AX81"/>
    <mergeCell ref="BP81:BR81"/>
    <mergeCell ref="AV83:AX83"/>
    <mergeCell ref="CT3:DJ3"/>
    <mergeCell ref="CQ5:CR5"/>
    <mergeCell ref="CQ7:CS7"/>
    <mergeCell ref="DK7:DM7"/>
    <mergeCell ref="DP7:DQ8"/>
    <mergeCell ref="DR7:DS8"/>
    <mergeCell ref="AV154:AX154"/>
    <mergeCell ref="BP154:BR154"/>
    <mergeCell ref="AV156:AX156"/>
    <mergeCell ref="BP156:BR156"/>
    <mergeCell ref="AV157:AX157"/>
    <mergeCell ref="BP157:BR157"/>
    <mergeCell ref="AV148:AX148"/>
    <mergeCell ref="BP148:BR148"/>
    <mergeCell ref="AV152:AX152"/>
    <mergeCell ref="BP152:BR152"/>
    <mergeCell ref="AV153:AX153"/>
    <mergeCell ref="BP153:BR153"/>
    <mergeCell ref="AV135:AX135"/>
    <mergeCell ref="BP135:BR135"/>
    <mergeCell ref="AV138:AX138"/>
    <mergeCell ref="BP138:BR138"/>
    <mergeCell ref="AV139:AX139"/>
    <mergeCell ref="BP139:BR139"/>
    <mergeCell ref="AV113:AX113"/>
    <mergeCell ref="BP113:BR113"/>
    <mergeCell ref="AV120:AX120"/>
    <mergeCell ref="BP120:BR120"/>
    <mergeCell ref="AV126:AX126"/>
    <mergeCell ref="BP126:BR126"/>
    <mergeCell ref="AV92:AX92"/>
    <mergeCell ref="CQ10:CS10"/>
    <mergeCell ref="DK10:DM10"/>
    <mergeCell ref="CQ11:CS11"/>
    <mergeCell ref="DK11:DM11"/>
    <mergeCell ref="DP11:DQ12"/>
    <mergeCell ref="DR11:DS12"/>
    <mergeCell ref="DX9:DY10"/>
    <mergeCell ref="DZ9:EA10"/>
    <mergeCell ref="EB9:EC10"/>
    <mergeCell ref="ED9:EE10"/>
    <mergeCell ref="EF9:EG10"/>
    <mergeCell ref="EH9:EI10"/>
    <mergeCell ref="EF7:EG8"/>
    <mergeCell ref="EH7:EI8"/>
    <mergeCell ref="CQ8:CS8"/>
    <mergeCell ref="DK8:DM8"/>
    <mergeCell ref="CQ9:CS9"/>
    <mergeCell ref="DK9:DM9"/>
    <mergeCell ref="DP9:DQ10"/>
    <mergeCell ref="DR9:DS10"/>
    <mergeCell ref="DT9:DU10"/>
    <mergeCell ref="DV9:DW10"/>
    <mergeCell ref="DT7:DU8"/>
    <mergeCell ref="DV7:DW8"/>
    <mergeCell ref="DX7:DY8"/>
    <mergeCell ref="DZ7:EA8"/>
    <mergeCell ref="EB7:EC8"/>
    <mergeCell ref="ED7:EE8"/>
    <mergeCell ref="CQ14:CS14"/>
    <mergeCell ref="DK14:DM14"/>
    <mergeCell ref="CQ15:CS15"/>
    <mergeCell ref="DK15:DM15"/>
    <mergeCell ref="DP15:DQ16"/>
    <mergeCell ref="DR15:DS16"/>
    <mergeCell ref="DX13:DY14"/>
    <mergeCell ref="DZ13:EA14"/>
    <mergeCell ref="EB13:EC14"/>
    <mergeCell ref="ED13:EE14"/>
    <mergeCell ref="EF13:EG14"/>
    <mergeCell ref="EH13:EI14"/>
    <mergeCell ref="EF11:EG12"/>
    <mergeCell ref="EH11:EI12"/>
    <mergeCell ref="CQ12:CS12"/>
    <mergeCell ref="DK12:DM12"/>
    <mergeCell ref="CQ13:CS13"/>
    <mergeCell ref="DK13:DM13"/>
    <mergeCell ref="DP13:DQ14"/>
    <mergeCell ref="DR13:DS14"/>
    <mergeCell ref="DT13:DU14"/>
    <mergeCell ref="DV13:DW14"/>
    <mergeCell ref="DT11:DU12"/>
    <mergeCell ref="DV11:DW12"/>
    <mergeCell ref="DX11:DY12"/>
    <mergeCell ref="DZ11:EA12"/>
    <mergeCell ref="EB11:EC12"/>
    <mergeCell ref="ED11:EE12"/>
    <mergeCell ref="EB17:EC18"/>
    <mergeCell ref="ED17:EE18"/>
    <mergeCell ref="EF17:EG18"/>
    <mergeCell ref="EH17:EI18"/>
    <mergeCell ref="CQ18:CS18"/>
    <mergeCell ref="DK18:DM18"/>
    <mergeCell ref="EF15:EG16"/>
    <mergeCell ref="EH15:EI16"/>
    <mergeCell ref="CQ17:CS17"/>
    <mergeCell ref="DK17:DM17"/>
    <mergeCell ref="DP17:DQ18"/>
    <mergeCell ref="DR17:DS18"/>
    <mergeCell ref="DT17:DU18"/>
    <mergeCell ref="DV17:DW18"/>
    <mergeCell ref="DX17:DY18"/>
    <mergeCell ref="DZ17:EA18"/>
    <mergeCell ref="DT15:DU16"/>
    <mergeCell ref="DV15:DW16"/>
    <mergeCell ref="DX15:DY16"/>
    <mergeCell ref="DZ15:EA16"/>
    <mergeCell ref="EB15:EC16"/>
    <mergeCell ref="ED15:EE16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EB25:EC26"/>
    <mergeCell ref="ED25:EE26"/>
    <mergeCell ref="EF25:EG26"/>
    <mergeCell ref="EH25:EI26"/>
    <mergeCell ref="CQ26:CS26"/>
    <mergeCell ref="DK26:DM26"/>
    <mergeCell ref="DP25:DQ26"/>
    <mergeCell ref="DR25:DS26"/>
    <mergeCell ref="DT25:DU26"/>
    <mergeCell ref="DV25:DW26"/>
    <mergeCell ref="DX25:DY26"/>
    <mergeCell ref="DZ25:EA26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Q24:CS24"/>
    <mergeCell ref="DK24:DM24"/>
    <mergeCell ref="CQ34:CS34"/>
    <mergeCell ref="DK34:DM34"/>
    <mergeCell ref="CQ35:CS35"/>
    <mergeCell ref="DK35:DM35"/>
    <mergeCell ref="CQ36:CS36"/>
    <mergeCell ref="DK36:DM36"/>
    <mergeCell ref="CQ30:CS30"/>
    <mergeCell ref="DK30:DM30"/>
    <mergeCell ref="CQ31:CS31"/>
    <mergeCell ref="DK31:DM31"/>
    <mergeCell ref="CQ32:CS32"/>
    <mergeCell ref="DK32:DM32"/>
    <mergeCell ref="CQ27:CS27"/>
    <mergeCell ref="DK27:DM27"/>
    <mergeCell ref="CQ28:CS28"/>
    <mergeCell ref="DK28:DM28"/>
    <mergeCell ref="CQ29:CS29"/>
    <mergeCell ref="DK29:DM29"/>
    <mergeCell ref="CQ44:CS44"/>
    <mergeCell ref="DK44:DM44"/>
    <mergeCell ref="CQ45:CS45"/>
    <mergeCell ref="DK45:DM45"/>
    <mergeCell ref="CQ47:CS47"/>
    <mergeCell ref="DK47:DM47"/>
    <mergeCell ref="CQ41:CS41"/>
    <mergeCell ref="DK41:DM41"/>
    <mergeCell ref="CQ42:CS42"/>
    <mergeCell ref="DK42:DM42"/>
    <mergeCell ref="CQ43:CS43"/>
    <mergeCell ref="DK43:DM43"/>
    <mergeCell ref="CQ37:CS37"/>
    <mergeCell ref="DK37:DM37"/>
    <mergeCell ref="CQ38:CS38"/>
    <mergeCell ref="DK38:DM38"/>
    <mergeCell ref="CQ39:CS39"/>
    <mergeCell ref="DK39:DM39"/>
    <mergeCell ref="CQ56:CS56"/>
    <mergeCell ref="DK56:DM56"/>
    <mergeCell ref="CQ57:CS57"/>
    <mergeCell ref="DK57:DM57"/>
    <mergeCell ref="CQ60:CR60"/>
    <mergeCell ref="CQ62:CS62"/>
    <mergeCell ref="DK62:DM62"/>
    <mergeCell ref="CQ52:CS52"/>
    <mergeCell ref="DK52:DM52"/>
    <mergeCell ref="CQ53:CS53"/>
    <mergeCell ref="DK53:DM53"/>
    <mergeCell ref="CQ54:CS54"/>
    <mergeCell ref="DK54:DM54"/>
    <mergeCell ref="CQ48:CS48"/>
    <mergeCell ref="DK48:DM48"/>
    <mergeCell ref="CQ49:CS49"/>
    <mergeCell ref="DK49:DM49"/>
    <mergeCell ref="CQ50:CS50"/>
    <mergeCell ref="DK50:DM50"/>
    <mergeCell ref="CQ70:CS70"/>
    <mergeCell ref="DK70:DM70"/>
    <mergeCell ref="CQ71:CS71"/>
    <mergeCell ref="DK71:DM71"/>
    <mergeCell ref="CQ72:CS72"/>
    <mergeCell ref="DK72:DM72"/>
    <mergeCell ref="CQ66:CS66"/>
    <mergeCell ref="DK66:DM66"/>
    <mergeCell ref="CQ67:CS67"/>
    <mergeCell ref="DK67:DM67"/>
    <mergeCell ref="CQ68:CS68"/>
    <mergeCell ref="DK68:DM68"/>
    <mergeCell ref="CQ63:CS63"/>
    <mergeCell ref="DK63:DM63"/>
    <mergeCell ref="CQ64:CS64"/>
    <mergeCell ref="DK64:DM64"/>
    <mergeCell ref="CQ65:CS65"/>
    <mergeCell ref="DK65:DM65"/>
    <mergeCell ref="CQ80:CS80"/>
    <mergeCell ref="DK80:DM80"/>
    <mergeCell ref="CQ81:CS81"/>
    <mergeCell ref="DK81:DM81"/>
    <mergeCell ref="CQ83:CS83"/>
    <mergeCell ref="DK83:DM83"/>
    <mergeCell ref="CQ77:CS77"/>
    <mergeCell ref="DK77:DM77"/>
    <mergeCell ref="CQ78:CS78"/>
    <mergeCell ref="DK78:DM78"/>
    <mergeCell ref="CQ79:CS79"/>
    <mergeCell ref="DK79:DM79"/>
    <mergeCell ref="CQ73:CS73"/>
    <mergeCell ref="DK73:DM73"/>
    <mergeCell ref="CQ74:CS74"/>
    <mergeCell ref="DK74:DM74"/>
    <mergeCell ref="CQ75:CS75"/>
    <mergeCell ref="DK75:DM75"/>
    <mergeCell ref="CQ92:CS92"/>
    <mergeCell ref="DK92:DM92"/>
    <mergeCell ref="CQ93:CS93"/>
    <mergeCell ref="DK93:DM93"/>
    <mergeCell ref="CQ96:CS96"/>
    <mergeCell ref="CQ98:CS98"/>
    <mergeCell ref="DK98:DM98"/>
    <mergeCell ref="CQ88:CS88"/>
    <mergeCell ref="DK88:DM88"/>
    <mergeCell ref="CQ89:CS89"/>
    <mergeCell ref="DK89:DM89"/>
    <mergeCell ref="CQ90:CS90"/>
    <mergeCell ref="DK90:DM90"/>
    <mergeCell ref="CQ84:CS84"/>
    <mergeCell ref="DK84:DM84"/>
    <mergeCell ref="CQ85:CS85"/>
    <mergeCell ref="DK85:DM85"/>
    <mergeCell ref="CQ86:CS86"/>
    <mergeCell ref="DK86:DM86"/>
    <mergeCell ref="CQ110:CS110"/>
    <mergeCell ref="DK110:DM110"/>
    <mergeCell ref="CQ111:CS111"/>
    <mergeCell ref="DK111:DM111"/>
    <mergeCell ref="CQ112:CS112"/>
    <mergeCell ref="DK112:DM112"/>
    <mergeCell ref="CQ103:CS103"/>
    <mergeCell ref="DK103:DM103"/>
    <mergeCell ref="CQ108:CS108"/>
    <mergeCell ref="DK108:DM108"/>
    <mergeCell ref="CQ109:CS109"/>
    <mergeCell ref="DK109:DM109"/>
    <mergeCell ref="CQ99:CS99"/>
    <mergeCell ref="DK99:DM99"/>
    <mergeCell ref="CQ100:CS100"/>
    <mergeCell ref="DK100:DM100"/>
    <mergeCell ref="CQ102:CS102"/>
    <mergeCell ref="DK102:DM102"/>
    <mergeCell ref="CQ120:CS120"/>
    <mergeCell ref="DK120:DM120"/>
    <mergeCell ref="CQ121:CS121"/>
    <mergeCell ref="DK121:DM121"/>
    <mergeCell ref="CQ122:CS122"/>
    <mergeCell ref="DK122:DM122"/>
    <mergeCell ref="CQ117:CS117"/>
    <mergeCell ref="DK117:DM117"/>
    <mergeCell ref="CQ118:CS118"/>
    <mergeCell ref="DK118:DM118"/>
    <mergeCell ref="CQ119:CS119"/>
    <mergeCell ref="DK119:DM119"/>
    <mergeCell ref="CQ113:CS113"/>
    <mergeCell ref="DK113:DM113"/>
    <mergeCell ref="CQ114:CS114"/>
    <mergeCell ref="DK114:DM114"/>
    <mergeCell ref="CQ115:CS115"/>
    <mergeCell ref="DK115:DM115"/>
    <mergeCell ref="CQ130:CS130"/>
    <mergeCell ref="DK130:DM130"/>
    <mergeCell ref="CQ132:CS132"/>
    <mergeCell ref="DK132:DM132"/>
    <mergeCell ref="CQ133:CS133"/>
    <mergeCell ref="DK133:DM133"/>
    <mergeCell ref="CQ127:CS127"/>
    <mergeCell ref="DK127:DM127"/>
    <mergeCell ref="CQ128:CS128"/>
    <mergeCell ref="DK128:DM128"/>
    <mergeCell ref="CQ129:CS129"/>
    <mergeCell ref="DK129:DM129"/>
    <mergeCell ref="CQ123:CS123"/>
    <mergeCell ref="DK123:DM123"/>
    <mergeCell ref="CQ125:CS125"/>
    <mergeCell ref="DK125:DM125"/>
    <mergeCell ref="CQ126:CS126"/>
    <mergeCell ref="DK126:DM126"/>
    <mergeCell ref="CQ148:CS148"/>
    <mergeCell ref="DK148:DM148"/>
    <mergeCell ref="CQ141:CS141"/>
    <mergeCell ref="DK141:DM141"/>
    <mergeCell ref="CQ143:CS143"/>
    <mergeCell ref="DK143:DM143"/>
    <mergeCell ref="CQ144:CS144"/>
    <mergeCell ref="DK144:DM144"/>
    <mergeCell ref="CQ138:CS138"/>
    <mergeCell ref="DK138:DM138"/>
    <mergeCell ref="CQ139:CS139"/>
    <mergeCell ref="DK139:DM139"/>
    <mergeCell ref="CQ140:CS140"/>
    <mergeCell ref="DK140:DM140"/>
    <mergeCell ref="CQ134:CS134"/>
    <mergeCell ref="DK134:DM134"/>
    <mergeCell ref="CQ135:CS135"/>
    <mergeCell ref="DK135:DM135"/>
    <mergeCell ref="CQ136:CS136"/>
    <mergeCell ref="DK136:DM136"/>
    <mergeCell ref="FU7:FV8"/>
    <mergeCell ref="FW7:FX8"/>
    <mergeCell ref="FY7:FZ8"/>
    <mergeCell ref="GA7:GB8"/>
    <mergeCell ref="EL8:EN8"/>
    <mergeCell ref="FF8:FH8"/>
    <mergeCell ref="FF7:FH7"/>
    <mergeCell ref="FK7:FL8"/>
    <mergeCell ref="FM7:FN8"/>
    <mergeCell ref="FO7:FP8"/>
    <mergeCell ref="FQ7:FR8"/>
    <mergeCell ref="FS7:FT8"/>
    <mergeCell ref="CQ156:CS156"/>
    <mergeCell ref="DK156:DM156"/>
    <mergeCell ref="CQ157:CS157"/>
    <mergeCell ref="DK157:DM157"/>
    <mergeCell ref="EO3:FE3"/>
    <mergeCell ref="EL5:EM5"/>
    <mergeCell ref="EL7:EN7"/>
    <mergeCell ref="EL9:EN9"/>
    <mergeCell ref="EL11:EN11"/>
    <mergeCell ref="EL13:EN13"/>
    <mergeCell ref="CQ152:CS152"/>
    <mergeCell ref="DK152:DM152"/>
    <mergeCell ref="CQ153:CS153"/>
    <mergeCell ref="DK153:DM153"/>
    <mergeCell ref="CQ154:CS154"/>
    <mergeCell ref="DK154:DM154"/>
    <mergeCell ref="CQ145:CS145"/>
    <mergeCell ref="DK145:DM145"/>
    <mergeCell ref="CQ147:CS147"/>
    <mergeCell ref="DK147:DM147"/>
    <mergeCell ref="FU11:FV12"/>
    <mergeCell ref="FW11:FX12"/>
    <mergeCell ref="FY11:FZ12"/>
    <mergeCell ref="GA11:GB12"/>
    <mergeCell ref="EL12:EN12"/>
    <mergeCell ref="FF12:FH12"/>
    <mergeCell ref="FF11:FH11"/>
    <mergeCell ref="FK11:FL12"/>
    <mergeCell ref="FM11:FN12"/>
    <mergeCell ref="FO11:FP12"/>
    <mergeCell ref="FQ11:FR12"/>
    <mergeCell ref="FS11:FT12"/>
    <mergeCell ref="FU9:FV10"/>
    <mergeCell ref="FW9:FX10"/>
    <mergeCell ref="FY9:FZ10"/>
    <mergeCell ref="GA9:GB10"/>
    <mergeCell ref="EL10:EN10"/>
    <mergeCell ref="FF10:FH10"/>
    <mergeCell ref="FF9:FH9"/>
    <mergeCell ref="FK9:FL10"/>
    <mergeCell ref="FM9:FN10"/>
    <mergeCell ref="FO9:FP10"/>
    <mergeCell ref="FQ9:FR10"/>
    <mergeCell ref="FS9:FT10"/>
    <mergeCell ref="FS15:FT16"/>
    <mergeCell ref="FU15:FV16"/>
    <mergeCell ref="FW15:FX16"/>
    <mergeCell ref="FY15:FZ16"/>
    <mergeCell ref="GA15:GB16"/>
    <mergeCell ref="EL15:EN15"/>
    <mergeCell ref="FF15:FH15"/>
    <mergeCell ref="FK15:FL16"/>
    <mergeCell ref="FM15:FN16"/>
    <mergeCell ref="FO15:FP16"/>
    <mergeCell ref="FQ15:FR16"/>
    <mergeCell ref="FU13:FV14"/>
    <mergeCell ref="FW13:FX14"/>
    <mergeCell ref="FY13:FZ14"/>
    <mergeCell ref="GA13:GB14"/>
    <mergeCell ref="EL14:EN14"/>
    <mergeCell ref="FF14:FH14"/>
    <mergeCell ref="FF13:FH13"/>
    <mergeCell ref="FK13:FL14"/>
    <mergeCell ref="FM13:FN14"/>
    <mergeCell ref="FO13:FP14"/>
    <mergeCell ref="FQ13:FR14"/>
    <mergeCell ref="FS13:FT14"/>
    <mergeCell ref="FS19:FT20"/>
    <mergeCell ref="FU19:FV20"/>
    <mergeCell ref="FW19:FX20"/>
    <mergeCell ref="FY19:FZ20"/>
    <mergeCell ref="GA19:GB20"/>
    <mergeCell ref="EL19:EN19"/>
    <mergeCell ref="FF19:FH19"/>
    <mergeCell ref="FK19:FL20"/>
    <mergeCell ref="FM19:FN20"/>
    <mergeCell ref="FO19:FP20"/>
    <mergeCell ref="FQ19:FR20"/>
    <mergeCell ref="EL20:EN20"/>
    <mergeCell ref="FF20:FH20"/>
    <mergeCell ref="FS17:FT18"/>
    <mergeCell ref="FU17:FV18"/>
    <mergeCell ref="FW17:FX18"/>
    <mergeCell ref="FY17:FZ18"/>
    <mergeCell ref="GA17:GB18"/>
    <mergeCell ref="EL17:EN17"/>
    <mergeCell ref="FF17:FH17"/>
    <mergeCell ref="FK17:FL18"/>
    <mergeCell ref="FM17:FN18"/>
    <mergeCell ref="FO17:FP18"/>
    <mergeCell ref="FQ17:FR18"/>
    <mergeCell ref="EL18:EN18"/>
    <mergeCell ref="FF18:FH18"/>
    <mergeCell ref="FS23:FT24"/>
    <mergeCell ref="FU23:FV24"/>
    <mergeCell ref="FW23:FX24"/>
    <mergeCell ref="FY23:FZ24"/>
    <mergeCell ref="GA23:GB24"/>
    <mergeCell ref="EL23:EN23"/>
    <mergeCell ref="FF23:FH23"/>
    <mergeCell ref="FK23:FL24"/>
    <mergeCell ref="FM23:FN24"/>
    <mergeCell ref="FO23:FP24"/>
    <mergeCell ref="FQ23:FR24"/>
    <mergeCell ref="EL24:EN24"/>
    <mergeCell ref="FF24:FH24"/>
    <mergeCell ref="FS21:FT22"/>
    <mergeCell ref="FU21:FV22"/>
    <mergeCell ref="FW21:FX22"/>
    <mergeCell ref="FY21:FZ22"/>
    <mergeCell ref="GA21:GB22"/>
    <mergeCell ref="EL21:EN21"/>
    <mergeCell ref="FF21:FH21"/>
    <mergeCell ref="FK21:FL22"/>
    <mergeCell ref="FM21:FN22"/>
    <mergeCell ref="FO21:FP22"/>
    <mergeCell ref="FQ21:FR22"/>
    <mergeCell ref="EL22:EN22"/>
    <mergeCell ref="FF22:FH22"/>
    <mergeCell ref="EL27:EN27"/>
    <mergeCell ref="FF27:FH27"/>
    <mergeCell ref="EL28:EN28"/>
    <mergeCell ref="FF28:FH28"/>
    <mergeCell ref="EL29:EN29"/>
    <mergeCell ref="FF29:FH29"/>
    <mergeCell ref="FW25:FX26"/>
    <mergeCell ref="FY25:FZ26"/>
    <mergeCell ref="GA25:GB26"/>
    <mergeCell ref="EL26:EN26"/>
    <mergeCell ref="FF26:FH26"/>
    <mergeCell ref="FK25:FL26"/>
    <mergeCell ref="FM25:FN26"/>
    <mergeCell ref="FO25:FP26"/>
    <mergeCell ref="FQ25:FR26"/>
    <mergeCell ref="FS25:FT26"/>
    <mergeCell ref="FU25:FV26"/>
    <mergeCell ref="EL37:EN37"/>
    <mergeCell ref="FF37:FH37"/>
    <mergeCell ref="EL38:EN38"/>
    <mergeCell ref="FF38:FH38"/>
    <mergeCell ref="EL39:EN39"/>
    <mergeCell ref="FF39:FH39"/>
    <mergeCell ref="EL34:EN34"/>
    <mergeCell ref="FF34:FH34"/>
    <mergeCell ref="EL35:EN35"/>
    <mergeCell ref="FF35:FH35"/>
    <mergeCell ref="EL36:EN36"/>
    <mergeCell ref="FF36:FH36"/>
    <mergeCell ref="EL30:EN30"/>
    <mergeCell ref="FF30:FH30"/>
    <mergeCell ref="EL31:EN31"/>
    <mergeCell ref="FF31:FH31"/>
    <mergeCell ref="EL32:EN32"/>
    <mergeCell ref="FF32:FH32"/>
    <mergeCell ref="EL48:EN48"/>
    <mergeCell ref="FF48:FH48"/>
    <mergeCell ref="EL49:EN49"/>
    <mergeCell ref="FF49:FH49"/>
    <mergeCell ref="EL50:EN50"/>
    <mergeCell ref="FF50:FH50"/>
    <mergeCell ref="EL44:EN44"/>
    <mergeCell ref="FF44:FH44"/>
    <mergeCell ref="EL45:EN45"/>
    <mergeCell ref="FF45:FH45"/>
    <mergeCell ref="EL47:EN47"/>
    <mergeCell ref="FF47:FH47"/>
    <mergeCell ref="EL41:EN41"/>
    <mergeCell ref="FF41:FH41"/>
    <mergeCell ref="EL42:EN42"/>
    <mergeCell ref="FF42:FH42"/>
    <mergeCell ref="EL43:EN43"/>
    <mergeCell ref="FF43:FH43"/>
    <mergeCell ref="EL63:EN63"/>
    <mergeCell ref="FF63:FH63"/>
    <mergeCell ref="EL64:EN64"/>
    <mergeCell ref="FF64:FH64"/>
    <mergeCell ref="EL65:EN65"/>
    <mergeCell ref="FF65:FH65"/>
    <mergeCell ref="EL56:EN56"/>
    <mergeCell ref="FF56:FH56"/>
    <mergeCell ref="EL57:EN57"/>
    <mergeCell ref="FF57:FH57"/>
    <mergeCell ref="EL60:EM60"/>
    <mergeCell ref="EL62:EN62"/>
    <mergeCell ref="FF62:FH62"/>
    <mergeCell ref="EL52:EN52"/>
    <mergeCell ref="FF52:FH52"/>
    <mergeCell ref="EL53:EN53"/>
    <mergeCell ref="FF53:FH53"/>
    <mergeCell ref="EL54:EN54"/>
    <mergeCell ref="FF54:FH54"/>
    <mergeCell ref="EL73:EN73"/>
    <mergeCell ref="FF73:FH73"/>
    <mergeCell ref="EL74:EN74"/>
    <mergeCell ref="FF74:FH74"/>
    <mergeCell ref="EL75:EN75"/>
    <mergeCell ref="FF75:FH75"/>
    <mergeCell ref="EL70:EN70"/>
    <mergeCell ref="FF70:FH70"/>
    <mergeCell ref="EL71:EN71"/>
    <mergeCell ref="FF71:FH71"/>
    <mergeCell ref="EL72:EN72"/>
    <mergeCell ref="FF72:FH72"/>
    <mergeCell ref="EL66:EN66"/>
    <mergeCell ref="FF66:FH66"/>
    <mergeCell ref="EL67:EN67"/>
    <mergeCell ref="FF67:FH67"/>
    <mergeCell ref="EL68:EN68"/>
    <mergeCell ref="FF68:FH68"/>
    <mergeCell ref="EL84:EN84"/>
    <mergeCell ref="FF84:FH84"/>
    <mergeCell ref="EL85:EN85"/>
    <mergeCell ref="FF85:FH85"/>
    <mergeCell ref="EL86:EN86"/>
    <mergeCell ref="FF86:FH86"/>
    <mergeCell ref="EL80:EN80"/>
    <mergeCell ref="FF80:FH80"/>
    <mergeCell ref="EL81:EN81"/>
    <mergeCell ref="FF81:FH81"/>
    <mergeCell ref="EL83:EN83"/>
    <mergeCell ref="FF83:FH83"/>
    <mergeCell ref="EL77:EN77"/>
    <mergeCell ref="FF77:FH77"/>
    <mergeCell ref="EL78:EN78"/>
    <mergeCell ref="FF78:FH78"/>
    <mergeCell ref="EL79:EN79"/>
    <mergeCell ref="FF79:FH79"/>
    <mergeCell ref="EL99:EN99"/>
    <mergeCell ref="FF99:FH99"/>
    <mergeCell ref="EL100:EN100"/>
    <mergeCell ref="FF100:FH100"/>
    <mergeCell ref="EL102:EN102"/>
    <mergeCell ref="FF102:FH102"/>
    <mergeCell ref="EL92:EN92"/>
    <mergeCell ref="FF92:FH92"/>
    <mergeCell ref="EL93:EN93"/>
    <mergeCell ref="FF93:FH93"/>
    <mergeCell ref="EL96:EN96"/>
    <mergeCell ref="EL98:EN98"/>
    <mergeCell ref="FF98:FH98"/>
    <mergeCell ref="EL88:EN88"/>
    <mergeCell ref="FF88:FH88"/>
    <mergeCell ref="EL89:EN89"/>
    <mergeCell ref="FF89:FH89"/>
    <mergeCell ref="EL90:EN90"/>
    <mergeCell ref="FF90:FH90"/>
    <mergeCell ref="EL113:EN113"/>
    <mergeCell ref="FF113:FH113"/>
    <mergeCell ref="EL114:EN114"/>
    <mergeCell ref="FF114:FH114"/>
    <mergeCell ref="EL115:EN115"/>
    <mergeCell ref="FF115:FH115"/>
    <mergeCell ref="EL110:EN110"/>
    <mergeCell ref="FF110:FH110"/>
    <mergeCell ref="EL111:EN111"/>
    <mergeCell ref="FF111:FH111"/>
    <mergeCell ref="EL112:EN112"/>
    <mergeCell ref="FF112:FH112"/>
    <mergeCell ref="EL103:EN103"/>
    <mergeCell ref="FF103:FH103"/>
    <mergeCell ref="EL108:EN108"/>
    <mergeCell ref="FF108:FH108"/>
    <mergeCell ref="EL109:EN109"/>
    <mergeCell ref="FF109:FH109"/>
    <mergeCell ref="EL123:EN123"/>
    <mergeCell ref="FF123:FH123"/>
    <mergeCell ref="EL125:EN125"/>
    <mergeCell ref="FF125:FH125"/>
    <mergeCell ref="EL126:EN126"/>
    <mergeCell ref="FF126:FH126"/>
    <mergeCell ref="EL120:EN120"/>
    <mergeCell ref="FF120:FH120"/>
    <mergeCell ref="EL121:EN121"/>
    <mergeCell ref="FF121:FH121"/>
    <mergeCell ref="EL122:EN122"/>
    <mergeCell ref="FF122:FH122"/>
    <mergeCell ref="EL117:EN117"/>
    <mergeCell ref="FF117:FH117"/>
    <mergeCell ref="EL118:EN118"/>
    <mergeCell ref="FF118:FH118"/>
    <mergeCell ref="EL119:EN119"/>
    <mergeCell ref="FF119:FH119"/>
    <mergeCell ref="FF139:FH139"/>
    <mergeCell ref="EL140:EN140"/>
    <mergeCell ref="FF140:FH140"/>
    <mergeCell ref="EL134:EN134"/>
    <mergeCell ref="FF134:FH134"/>
    <mergeCell ref="EL135:EN135"/>
    <mergeCell ref="FF135:FH135"/>
    <mergeCell ref="EL136:EN136"/>
    <mergeCell ref="FF136:FH136"/>
    <mergeCell ref="EL130:EN130"/>
    <mergeCell ref="FF130:FH130"/>
    <mergeCell ref="EL132:EN132"/>
    <mergeCell ref="FF132:FH132"/>
    <mergeCell ref="EL133:EN133"/>
    <mergeCell ref="FF133:FH133"/>
    <mergeCell ref="EL127:EN127"/>
    <mergeCell ref="FF127:FH127"/>
    <mergeCell ref="EL128:EN128"/>
    <mergeCell ref="FF128:FH128"/>
    <mergeCell ref="EL129:EN129"/>
    <mergeCell ref="FF129:FH129"/>
    <mergeCell ref="DR66:DS67"/>
    <mergeCell ref="DT66:DU67"/>
    <mergeCell ref="DV66:DW67"/>
    <mergeCell ref="DX66:DY67"/>
    <mergeCell ref="DZ66:EA67"/>
    <mergeCell ref="EB66:EC67"/>
    <mergeCell ref="ED66:EE67"/>
    <mergeCell ref="EL156:EN156"/>
    <mergeCell ref="FF156:FH156"/>
    <mergeCell ref="EL157:EN157"/>
    <mergeCell ref="FF157:FH157"/>
    <mergeCell ref="EL152:EN152"/>
    <mergeCell ref="FF152:FH152"/>
    <mergeCell ref="EL153:EN153"/>
    <mergeCell ref="FF153:FH153"/>
    <mergeCell ref="EL154:EN154"/>
    <mergeCell ref="FF154:FH154"/>
    <mergeCell ref="EL145:EN145"/>
    <mergeCell ref="FF145:FH145"/>
    <mergeCell ref="EL147:EN147"/>
    <mergeCell ref="FF147:FH147"/>
    <mergeCell ref="EL148:EN148"/>
    <mergeCell ref="FF148:FH148"/>
    <mergeCell ref="EL141:EN141"/>
    <mergeCell ref="FF141:FH141"/>
    <mergeCell ref="EL143:EN143"/>
    <mergeCell ref="FF143:FH143"/>
    <mergeCell ref="EL144:EN144"/>
    <mergeCell ref="FF144:FH144"/>
    <mergeCell ref="EL138:EN138"/>
    <mergeCell ref="FF138:FH138"/>
    <mergeCell ref="EL139:EN139"/>
    <mergeCell ref="DR70:DS71"/>
    <mergeCell ref="DT70:DU71"/>
    <mergeCell ref="DV70:DW71"/>
    <mergeCell ref="DX70:DY71"/>
    <mergeCell ref="DZ70:EA71"/>
    <mergeCell ref="EB70:EC71"/>
    <mergeCell ref="ED70:EE71"/>
    <mergeCell ref="DP72:DQ73"/>
    <mergeCell ref="DR72:DS73"/>
    <mergeCell ref="DT72:DU73"/>
    <mergeCell ref="DV72:DW73"/>
    <mergeCell ref="DX72:DY73"/>
    <mergeCell ref="DZ72:EA73"/>
    <mergeCell ref="EB72:EC73"/>
    <mergeCell ref="ED72:EE73"/>
    <mergeCell ref="DP62:DQ63"/>
    <mergeCell ref="DR62:DS63"/>
    <mergeCell ref="DT62:DU63"/>
    <mergeCell ref="DV62:DW63"/>
    <mergeCell ref="DX62:DY63"/>
    <mergeCell ref="DZ62:EA63"/>
    <mergeCell ref="EB62:EC63"/>
    <mergeCell ref="ED62:EE63"/>
    <mergeCell ref="DP64:DQ65"/>
    <mergeCell ref="DR64:DS65"/>
    <mergeCell ref="DT64:DU65"/>
    <mergeCell ref="DV64:DW65"/>
    <mergeCell ref="DX64:DY65"/>
    <mergeCell ref="DZ64:EA65"/>
    <mergeCell ref="EB64:EC65"/>
    <mergeCell ref="ED64:EE65"/>
    <mergeCell ref="DP66:DQ67"/>
    <mergeCell ref="DP74:DQ75"/>
    <mergeCell ref="DR74:DS75"/>
    <mergeCell ref="DT74:DU75"/>
    <mergeCell ref="DV74:DW75"/>
    <mergeCell ref="DX74:DY75"/>
    <mergeCell ref="DZ74:EA75"/>
    <mergeCell ref="EB74:EC75"/>
    <mergeCell ref="ED74:EE75"/>
    <mergeCell ref="DP76:DQ77"/>
    <mergeCell ref="DR76:DS77"/>
    <mergeCell ref="DT76:DU77"/>
    <mergeCell ref="DV76:DW77"/>
    <mergeCell ref="DX76:DY77"/>
    <mergeCell ref="DZ76:EA77"/>
    <mergeCell ref="EB76:EC77"/>
    <mergeCell ref="ED76:EE77"/>
    <mergeCell ref="EF62:EG63"/>
    <mergeCell ref="EF64:EG65"/>
    <mergeCell ref="EF66:EG67"/>
    <mergeCell ref="EF68:EG69"/>
    <mergeCell ref="EF70:EG71"/>
    <mergeCell ref="EF72:EG73"/>
    <mergeCell ref="EF74:EG75"/>
    <mergeCell ref="DP68:DQ69"/>
    <mergeCell ref="DR68:DS69"/>
    <mergeCell ref="DT68:DU69"/>
    <mergeCell ref="DV68:DW69"/>
    <mergeCell ref="DX68:DY69"/>
    <mergeCell ref="DZ68:EA69"/>
    <mergeCell ref="EB68:EC69"/>
    <mergeCell ref="ED68:EE69"/>
    <mergeCell ref="DP70:DQ71"/>
    <mergeCell ref="DR78:DS79"/>
    <mergeCell ref="DT78:DU79"/>
    <mergeCell ref="DV78:DW79"/>
    <mergeCell ref="DX78:DY79"/>
    <mergeCell ref="DZ78:EA79"/>
    <mergeCell ref="EB78:EC79"/>
    <mergeCell ref="DP78:DQ79"/>
    <mergeCell ref="EF78:EG79"/>
    <mergeCell ref="EF76:EG77"/>
    <mergeCell ref="ED78:EE79"/>
    <mergeCell ref="DP98:DQ99"/>
    <mergeCell ref="DR98:DS99"/>
    <mergeCell ref="DT98:DU99"/>
    <mergeCell ref="DV98:DW99"/>
    <mergeCell ref="DP100:DQ101"/>
    <mergeCell ref="DR100:DS101"/>
    <mergeCell ref="DT100:DU101"/>
    <mergeCell ref="DV100:DW101"/>
    <mergeCell ref="DP102:DQ103"/>
    <mergeCell ref="DR102:DS103"/>
    <mergeCell ref="DT102:DU103"/>
    <mergeCell ref="DV102:DW103"/>
    <mergeCell ref="DP104:DQ105"/>
    <mergeCell ref="DR104:DS105"/>
    <mergeCell ref="DT104:DU105"/>
    <mergeCell ref="DV104:DW105"/>
    <mergeCell ref="DP108:DQ109"/>
    <mergeCell ref="DR108:DS109"/>
    <mergeCell ref="DT108:DU109"/>
    <mergeCell ref="DV108:DW109"/>
    <mergeCell ref="DX108:DY109"/>
    <mergeCell ref="DZ108:EA109"/>
    <mergeCell ref="EB108:EC109"/>
    <mergeCell ref="ED108:EE109"/>
    <mergeCell ref="DP110:DQ111"/>
    <mergeCell ref="DR110:DS111"/>
    <mergeCell ref="DT110:DU111"/>
    <mergeCell ref="DV110:DW111"/>
    <mergeCell ref="DX110:DY111"/>
    <mergeCell ref="DZ110:EA111"/>
    <mergeCell ref="EB110:EC111"/>
    <mergeCell ref="ED110:EE111"/>
    <mergeCell ref="DP112:DQ113"/>
    <mergeCell ref="DR112:DS113"/>
    <mergeCell ref="DT112:DU113"/>
    <mergeCell ref="DV112:DW113"/>
    <mergeCell ref="DX112:DY113"/>
    <mergeCell ref="DZ112:EA113"/>
    <mergeCell ref="EB112:EC113"/>
    <mergeCell ref="ED112:EE113"/>
    <mergeCell ref="DP114:DQ115"/>
    <mergeCell ref="DR114:DS115"/>
    <mergeCell ref="DT114:DU115"/>
    <mergeCell ref="DV114:DW115"/>
    <mergeCell ref="DX114:DY115"/>
    <mergeCell ref="DZ114:EA115"/>
    <mergeCell ref="EB114:EC115"/>
    <mergeCell ref="ED114:EE115"/>
    <mergeCell ref="DP116:DQ117"/>
    <mergeCell ref="DR116:DS117"/>
    <mergeCell ref="DT116:DU117"/>
    <mergeCell ref="DV116:DW117"/>
    <mergeCell ref="DX116:DY117"/>
    <mergeCell ref="DZ116:EA117"/>
    <mergeCell ref="EB116:EC117"/>
    <mergeCell ref="ED116:EE117"/>
    <mergeCell ref="DT124:DU125"/>
    <mergeCell ref="DV124:DW125"/>
    <mergeCell ref="DX124:DY125"/>
    <mergeCell ref="DZ124:EA125"/>
    <mergeCell ref="EB124:EC125"/>
    <mergeCell ref="DP124:DQ125"/>
    <mergeCell ref="ED124:EE125"/>
    <mergeCell ref="DP118:DQ119"/>
    <mergeCell ref="DR118:DS119"/>
    <mergeCell ref="DT118:DU119"/>
    <mergeCell ref="DV118:DW119"/>
    <mergeCell ref="DX118:DY119"/>
    <mergeCell ref="DZ118:EA119"/>
    <mergeCell ref="EB118:EC119"/>
    <mergeCell ref="ED118:EE119"/>
    <mergeCell ref="DP120:DQ121"/>
    <mergeCell ref="DR120:DS121"/>
    <mergeCell ref="DT120:DU121"/>
    <mergeCell ref="DV120:DW121"/>
    <mergeCell ref="DX120:DY121"/>
    <mergeCell ref="DZ120:EA121"/>
    <mergeCell ref="EB120:EC121"/>
    <mergeCell ref="ED120:EE121"/>
    <mergeCell ref="DP122:DQ123"/>
    <mergeCell ref="DR122:DS123"/>
    <mergeCell ref="DT122:DU123"/>
    <mergeCell ref="DV122:DW123"/>
    <mergeCell ref="DX122:DY123"/>
    <mergeCell ref="DZ122:EA123"/>
    <mergeCell ref="EB122:EC123"/>
    <mergeCell ref="ED122:EE123"/>
    <mergeCell ref="DP152:DQ153"/>
    <mergeCell ref="DR152:DS153"/>
    <mergeCell ref="DT152:DU153"/>
    <mergeCell ref="DV152:DW153"/>
    <mergeCell ref="DP154:DQ155"/>
    <mergeCell ref="DR154:DS155"/>
    <mergeCell ref="DT154:DU155"/>
    <mergeCell ref="DV154:DW155"/>
    <mergeCell ref="DP156:DQ157"/>
    <mergeCell ref="DR156:DS157"/>
    <mergeCell ref="DT156:DU157"/>
    <mergeCell ref="DV156:DW157"/>
    <mergeCell ref="DP158:DQ159"/>
    <mergeCell ref="DR158:DS159"/>
    <mergeCell ref="DT158:DU159"/>
    <mergeCell ref="DV158:DW159"/>
    <mergeCell ref="FK62:FL63"/>
    <mergeCell ref="FK68:FL69"/>
    <mergeCell ref="FK74:FL75"/>
    <mergeCell ref="FK98:FL99"/>
    <mergeCell ref="FK114:FL115"/>
    <mergeCell ref="FK120:FL121"/>
    <mergeCell ref="EF108:EG109"/>
    <mergeCell ref="EF110:EG111"/>
    <mergeCell ref="EF112:EG113"/>
    <mergeCell ref="EF114:EG115"/>
    <mergeCell ref="EF116:EG117"/>
    <mergeCell ref="EF118:EG119"/>
    <mergeCell ref="EF120:EG121"/>
    <mergeCell ref="EF122:EG123"/>
    <mergeCell ref="EF124:EG125"/>
    <mergeCell ref="DR124:DS125"/>
    <mergeCell ref="FM62:FN63"/>
    <mergeCell ref="FO62:FP63"/>
    <mergeCell ref="FQ62:FR63"/>
    <mergeCell ref="FS62:FT63"/>
    <mergeCell ref="FU62:FV63"/>
    <mergeCell ref="FW62:FX63"/>
    <mergeCell ref="FY62:FZ63"/>
    <mergeCell ref="FK64:FL65"/>
    <mergeCell ref="FM64:FN65"/>
    <mergeCell ref="FO64:FP65"/>
    <mergeCell ref="FQ64:FR65"/>
    <mergeCell ref="FS64:FT65"/>
    <mergeCell ref="FU64:FV65"/>
    <mergeCell ref="FW64:FX65"/>
    <mergeCell ref="FY64:FZ65"/>
    <mergeCell ref="FK66:FL67"/>
    <mergeCell ref="FM66:FN67"/>
    <mergeCell ref="FO66:FP67"/>
    <mergeCell ref="FQ66:FR67"/>
    <mergeCell ref="FS66:FT67"/>
    <mergeCell ref="FU66:FV67"/>
    <mergeCell ref="FW66:FX67"/>
    <mergeCell ref="FY66:FZ67"/>
    <mergeCell ref="FM68:FN69"/>
    <mergeCell ref="FO68:FP69"/>
    <mergeCell ref="FQ68:FR69"/>
    <mergeCell ref="FS68:FT69"/>
    <mergeCell ref="FU68:FV69"/>
    <mergeCell ref="FW68:FX69"/>
    <mergeCell ref="FY68:FZ69"/>
    <mergeCell ref="FK70:FL71"/>
    <mergeCell ref="FM70:FN71"/>
    <mergeCell ref="FO70:FP71"/>
    <mergeCell ref="FQ70:FR71"/>
    <mergeCell ref="FS70:FT71"/>
    <mergeCell ref="FU70:FV71"/>
    <mergeCell ref="FW70:FX71"/>
    <mergeCell ref="FY70:FZ71"/>
    <mergeCell ref="FK72:FL73"/>
    <mergeCell ref="FM72:FN73"/>
    <mergeCell ref="FO72:FP73"/>
    <mergeCell ref="FQ72:FR73"/>
    <mergeCell ref="FS72:FT73"/>
    <mergeCell ref="FU72:FV73"/>
    <mergeCell ref="FW72:FX73"/>
    <mergeCell ref="FY72:FZ73"/>
    <mergeCell ref="FO74:FP75"/>
    <mergeCell ref="FQ74:FR75"/>
    <mergeCell ref="FS74:FT75"/>
    <mergeCell ref="FU74:FV75"/>
    <mergeCell ref="FW74:FX75"/>
    <mergeCell ref="FY74:FZ75"/>
    <mergeCell ref="FK76:FL77"/>
    <mergeCell ref="FM76:FN77"/>
    <mergeCell ref="FO76:FP77"/>
    <mergeCell ref="FQ76:FR77"/>
    <mergeCell ref="FS76:FT77"/>
    <mergeCell ref="FU76:FV77"/>
    <mergeCell ref="FW76:FX77"/>
    <mergeCell ref="FY76:FZ77"/>
    <mergeCell ref="FK78:FL79"/>
    <mergeCell ref="FM78:FN79"/>
    <mergeCell ref="FO78:FP79"/>
    <mergeCell ref="FQ78:FR79"/>
    <mergeCell ref="FS78:FT79"/>
    <mergeCell ref="FU78:FV79"/>
    <mergeCell ref="FW78:FX79"/>
    <mergeCell ref="FY78:FZ79"/>
    <mergeCell ref="FK110:FL111"/>
    <mergeCell ref="FM110:FN111"/>
    <mergeCell ref="FO110:FP111"/>
    <mergeCell ref="FQ110:FR111"/>
    <mergeCell ref="FS110:FT111"/>
    <mergeCell ref="FU110:FV111"/>
    <mergeCell ref="FW110:FX111"/>
    <mergeCell ref="FY110:FZ111"/>
    <mergeCell ref="FK112:FL113"/>
    <mergeCell ref="FM112:FN113"/>
    <mergeCell ref="FO112:FP113"/>
    <mergeCell ref="FQ112:FR113"/>
    <mergeCell ref="FS112:FT113"/>
    <mergeCell ref="FU112:FV113"/>
    <mergeCell ref="FW112:FX113"/>
    <mergeCell ref="FY112:FZ113"/>
    <mergeCell ref="FM98:FN99"/>
    <mergeCell ref="FO98:FP99"/>
    <mergeCell ref="FQ98:FR99"/>
    <mergeCell ref="FK100:FL101"/>
    <mergeCell ref="FM100:FN101"/>
    <mergeCell ref="FO100:FP101"/>
    <mergeCell ref="FQ100:FR101"/>
    <mergeCell ref="FK102:FL103"/>
    <mergeCell ref="FM102:FN103"/>
    <mergeCell ref="FO102:FP103"/>
    <mergeCell ref="FQ102:FR103"/>
    <mergeCell ref="FK104:FL105"/>
    <mergeCell ref="FM104:FN105"/>
    <mergeCell ref="FO104:FP105"/>
    <mergeCell ref="FQ104:FR105"/>
    <mergeCell ref="FK108:FL109"/>
    <mergeCell ref="FK122:FL123"/>
    <mergeCell ref="FM122:FN123"/>
    <mergeCell ref="FO122:FP123"/>
    <mergeCell ref="FQ122:FR123"/>
    <mergeCell ref="FS122:FT123"/>
    <mergeCell ref="FU122:FV123"/>
    <mergeCell ref="FW122:FX123"/>
    <mergeCell ref="FY122:FZ123"/>
    <mergeCell ref="FK124:FL125"/>
    <mergeCell ref="FM124:FN125"/>
    <mergeCell ref="FO124:FP125"/>
    <mergeCell ref="FQ124:FR125"/>
    <mergeCell ref="FS124:FT125"/>
    <mergeCell ref="FU124:FV125"/>
    <mergeCell ref="FW124:FX125"/>
    <mergeCell ref="FY124:FZ125"/>
    <mergeCell ref="FM114:FN115"/>
    <mergeCell ref="FO114:FP115"/>
    <mergeCell ref="FQ114:FR115"/>
    <mergeCell ref="FS114:FT115"/>
    <mergeCell ref="FU114:FV115"/>
    <mergeCell ref="FW114:FX115"/>
    <mergeCell ref="FY114:FZ115"/>
    <mergeCell ref="FK116:FL117"/>
    <mergeCell ref="FM116:FN117"/>
    <mergeCell ref="FO116:FP117"/>
    <mergeCell ref="FQ116:FR117"/>
    <mergeCell ref="FS116:FT117"/>
    <mergeCell ref="FU116:FV117"/>
    <mergeCell ref="FW116:FX117"/>
    <mergeCell ref="FY116:FZ117"/>
    <mergeCell ref="FK118:FL119"/>
    <mergeCell ref="GC7:GD8"/>
    <mergeCell ref="GC9:GD10"/>
    <mergeCell ref="GC11:GD12"/>
    <mergeCell ref="GC13:GD14"/>
    <mergeCell ref="GC15:GD16"/>
    <mergeCell ref="GC17:GD18"/>
    <mergeCell ref="GC19:GD20"/>
    <mergeCell ref="GC21:GD22"/>
    <mergeCell ref="GC23:GD24"/>
    <mergeCell ref="GC25:GD26"/>
    <mergeCell ref="FM120:FN121"/>
    <mergeCell ref="FO120:FP121"/>
    <mergeCell ref="FQ120:FR121"/>
    <mergeCell ref="FS120:FT121"/>
    <mergeCell ref="FU120:FV121"/>
    <mergeCell ref="FW120:FX121"/>
    <mergeCell ref="FY120:FZ121"/>
    <mergeCell ref="FM118:FN119"/>
    <mergeCell ref="FO118:FP119"/>
    <mergeCell ref="FQ118:FR119"/>
    <mergeCell ref="FS118:FT119"/>
    <mergeCell ref="FU118:FV119"/>
    <mergeCell ref="FW118:FX119"/>
    <mergeCell ref="FY118:FZ119"/>
    <mergeCell ref="FS108:FT109"/>
    <mergeCell ref="FU108:FV109"/>
    <mergeCell ref="FW108:FX109"/>
    <mergeCell ref="FY108:FZ109"/>
    <mergeCell ref="FM108:FN109"/>
    <mergeCell ref="FO108:FP109"/>
    <mergeCell ref="FQ108:FR109"/>
    <mergeCell ref="FM74:FN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9477-9E09-4CF7-8F7A-ED7FA337AB8A}">
  <dimension ref="B2:CO158"/>
  <sheetViews>
    <sheetView topLeftCell="A93" zoomScale="27" zoomScaleNormal="95" workbookViewId="0">
      <selection activeCell="A2" sqref="A2:AT158"/>
    </sheetView>
  </sheetViews>
  <sheetFormatPr defaultRowHeight="14.5" x14ac:dyDescent="0.35"/>
  <cols>
    <col min="5" max="21" width="2" bestFit="1" customWidth="1"/>
    <col min="52" max="68" width="2.453125" customWidth="1"/>
  </cols>
  <sheetData>
    <row r="2" spans="2:93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AZ2" s="86" t="s">
        <v>34</v>
      </c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</row>
    <row r="4" spans="2:93" x14ac:dyDescent="0.35">
      <c r="B4" s="85" t="s">
        <v>1</v>
      </c>
      <c r="C4" s="85"/>
      <c r="AW4" s="85" t="s">
        <v>1</v>
      </c>
      <c r="AX4" s="85"/>
    </row>
    <row r="6" spans="2:93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85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80</v>
      </c>
      <c r="AR6" s="60"/>
      <c r="AS6" s="60" t="s">
        <v>33</v>
      </c>
      <c r="AT6" s="60"/>
      <c r="AW6" s="79" t="s">
        <v>2</v>
      </c>
      <c r="AX6" s="79"/>
      <c r="AY6" s="79"/>
      <c r="AZ6" s="2">
        <v>9</v>
      </c>
      <c r="BA6" s="2">
        <v>8</v>
      </c>
      <c r="BB6" s="2">
        <v>7</v>
      </c>
      <c r="BC6" s="2">
        <v>6</v>
      </c>
      <c r="BD6" s="2">
        <v>5</v>
      </c>
      <c r="BE6" s="2">
        <v>4</v>
      </c>
      <c r="BF6" s="2">
        <v>3</v>
      </c>
      <c r="BG6" s="2">
        <v>2</v>
      </c>
      <c r="BH6" s="2">
        <v>1</v>
      </c>
      <c r="BI6" s="2">
        <v>2</v>
      </c>
      <c r="BJ6" s="2">
        <v>3</v>
      </c>
      <c r="BK6" s="2">
        <v>4</v>
      </c>
      <c r="BL6" s="2">
        <v>5</v>
      </c>
      <c r="BM6" s="2">
        <v>6</v>
      </c>
      <c r="BN6" s="2">
        <v>7</v>
      </c>
      <c r="BO6" s="2">
        <v>8</v>
      </c>
      <c r="BP6" s="2">
        <v>9</v>
      </c>
      <c r="BQ6" s="79" t="s">
        <v>3</v>
      </c>
      <c r="BR6" s="79"/>
      <c r="BS6" s="79"/>
      <c r="BV6" s="60"/>
      <c r="BW6" s="60"/>
      <c r="BX6" s="60" t="s">
        <v>78</v>
      </c>
      <c r="BY6" s="60"/>
      <c r="BZ6" s="60" t="s">
        <v>85</v>
      </c>
      <c r="CA6" s="60"/>
      <c r="CB6" s="60" t="s">
        <v>4</v>
      </c>
      <c r="CC6" s="60"/>
      <c r="CD6" s="60" t="s">
        <v>5</v>
      </c>
      <c r="CE6" s="60"/>
      <c r="CF6" s="60" t="s">
        <v>32</v>
      </c>
      <c r="CG6" s="60"/>
      <c r="CH6" s="60" t="s">
        <v>7</v>
      </c>
      <c r="CI6" s="60"/>
      <c r="CJ6" s="60" t="s">
        <v>8</v>
      </c>
      <c r="CK6" s="60"/>
      <c r="CL6" s="60" t="s">
        <v>80</v>
      </c>
      <c r="CM6" s="60"/>
      <c r="CN6" s="60" t="s">
        <v>33</v>
      </c>
      <c r="CO6" s="60"/>
    </row>
    <row r="7" spans="2:93" x14ac:dyDescent="0.35">
      <c r="B7" s="80" t="s">
        <v>78</v>
      </c>
      <c r="C7" s="80"/>
      <c r="D7" s="8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2"/>
      <c r="S7" s="2"/>
      <c r="T7" s="2"/>
      <c r="U7" s="2"/>
      <c r="V7" s="80" t="s">
        <v>85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W7" s="80" t="s">
        <v>78</v>
      </c>
      <c r="AX7" s="80"/>
      <c r="AY7" s="80"/>
      <c r="AZ7" s="2"/>
      <c r="BA7" s="2"/>
      <c r="BB7" s="3"/>
      <c r="BC7" s="2"/>
      <c r="BD7" s="2"/>
      <c r="BE7" s="2"/>
      <c r="BF7" s="2"/>
      <c r="BG7" s="2"/>
      <c r="BH7" s="2"/>
      <c r="BI7" s="2"/>
      <c r="BJ7" s="2"/>
      <c r="BK7" s="2"/>
      <c r="BL7" s="5"/>
      <c r="BM7" s="2"/>
      <c r="BN7" s="2"/>
      <c r="BO7" s="2"/>
      <c r="BP7" s="2"/>
      <c r="BQ7" s="80" t="s">
        <v>85</v>
      </c>
      <c r="BR7" s="80"/>
      <c r="BS7" s="8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</row>
    <row r="8" spans="2:93" x14ac:dyDescent="0.35">
      <c r="B8" s="80" t="s">
        <v>78</v>
      </c>
      <c r="C8" s="80"/>
      <c r="D8" s="8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v>5</v>
      </c>
      <c r="AF8" s="60"/>
      <c r="AG8" s="63">
        <v>7</v>
      </c>
      <c r="AH8" s="64"/>
      <c r="AI8" s="60">
        <v>7</v>
      </c>
      <c r="AJ8" s="60"/>
      <c r="AK8" s="60">
        <f>1/5</f>
        <v>0.2</v>
      </c>
      <c r="AL8" s="60"/>
      <c r="AM8" s="60">
        <f>1/3</f>
        <v>0.33333333333333331</v>
      </c>
      <c r="AN8" s="60"/>
      <c r="AO8" s="60">
        <v>7</v>
      </c>
      <c r="AP8" s="60"/>
      <c r="AQ8" s="60">
        <v>3</v>
      </c>
      <c r="AR8" s="60"/>
      <c r="AS8" s="60">
        <f>1/4</f>
        <v>0.25</v>
      </c>
      <c r="AT8" s="60"/>
      <c r="AW8" s="80" t="s">
        <v>78</v>
      </c>
      <c r="AX8" s="80"/>
      <c r="AY8" s="80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5"/>
      <c r="BO8" s="2"/>
      <c r="BP8" s="3"/>
      <c r="BQ8" s="80" t="s">
        <v>4</v>
      </c>
      <c r="BR8" s="80"/>
      <c r="BS8" s="80"/>
      <c r="BV8" s="60" t="s">
        <v>78</v>
      </c>
      <c r="BW8" s="60"/>
      <c r="BX8" s="62">
        <v>1</v>
      </c>
      <c r="BY8" s="62"/>
      <c r="BZ8" s="60">
        <f>1/7</f>
        <v>0.14285714285714285</v>
      </c>
      <c r="CA8" s="60"/>
      <c r="CB8" s="63">
        <v>9</v>
      </c>
      <c r="CC8" s="64"/>
      <c r="CD8" s="60">
        <v>5</v>
      </c>
      <c r="CE8" s="60"/>
      <c r="CF8" s="60">
        <f>1/5</f>
        <v>0.2</v>
      </c>
      <c r="CG8" s="60"/>
      <c r="CH8" s="60">
        <f>1/3</f>
        <v>0.33333333333333331</v>
      </c>
      <c r="CI8" s="60"/>
      <c r="CJ8" s="60">
        <v>7</v>
      </c>
      <c r="CK8" s="60"/>
      <c r="CL8" s="60">
        <f>1/3</f>
        <v>0.33333333333333331</v>
      </c>
      <c r="CM8" s="60"/>
      <c r="CN8" s="60">
        <f>1/5</f>
        <v>0.2</v>
      </c>
      <c r="CO8" s="60"/>
    </row>
    <row r="9" spans="2:93" x14ac:dyDescent="0.35">
      <c r="B9" s="80" t="s">
        <v>78</v>
      </c>
      <c r="C9" s="80"/>
      <c r="D9" s="8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W9" s="80" t="s">
        <v>78</v>
      </c>
      <c r="AX9" s="80"/>
      <c r="AY9" s="80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3"/>
      <c r="BM9" s="2"/>
      <c r="BN9" s="5"/>
      <c r="BO9" s="2"/>
      <c r="BP9" s="2"/>
      <c r="BQ9" s="80" t="s">
        <v>5</v>
      </c>
      <c r="BR9" s="80"/>
      <c r="BS9" s="80"/>
      <c r="BV9" s="60"/>
      <c r="BW9" s="60"/>
      <c r="BX9" s="62"/>
      <c r="BY9" s="62"/>
      <c r="BZ9" s="60"/>
      <c r="CA9" s="60"/>
      <c r="CB9" s="65"/>
      <c r="CC9" s="66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</row>
    <row r="10" spans="2:93" x14ac:dyDescent="0.35">
      <c r="B10" s="80" t="s">
        <v>78</v>
      </c>
      <c r="C10" s="80"/>
      <c r="D10" s="80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0" t="s">
        <v>6</v>
      </c>
      <c r="W10" s="80"/>
      <c r="X10" s="80"/>
      <c r="AA10" s="60" t="s">
        <v>85</v>
      </c>
      <c r="AB10" s="60"/>
      <c r="AC10" s="60">
        <f>1/5</f>
        <v>0.2</v>
      </c>
      <c r="AD10" s="60"/>
      <c r="AE10" s="62">
        <v>1</v>
      </c>
      <c r="AF10" s="62"/>
      <c r="AG10" s="60">
        <f>1/2</f>
        <v>0.5</v>
      </c>
      <c r="AH10" s="60"/>
      <c r="AI10" s="60">
        <f>1/2</f>
        <v>0.5</v>
      </c>
      <c r="AJ10" s="60"/>
      <c r="AK10" s="60">
        <f>1/5</f>
        <v>0.2</v>
      </c>
      <c r="AL10" s="60"/>
      <c r="AM10" s="60">
        <v>3</v>
      </c>
      <c r="AN10" s="60"/>
      <c r="AO10" s="60">
        <v>7</v>
      </c>
      <c r="AP10" s="60"/>
      <c r="AQ10" s="60">
        <f>1/5</f>
        <v>0.2</v>
      </c>
      <c r="AR10" s="60"/>
      <c r="AS10" s="60">
        <v>6</v>
      </c>
      <c r="AT10" s="60"/>
      <c r="AW10" s="80" t="s">
        <v>78</v>
      </c>
      <c r="AX10" s="80"/>
      <c r="AY10" s="80"/>
      <c r="AZ10" s="2"/>
      <c r="BA10" s="2"/>
      <c r="BB10" s="2"/>
      <c r="BC10" s="2"/>
      <c r="BD10" s="3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80" t="s">
        <v>6</v>
      </c>
      <c r="BR10" s="80"/>
      <c r="BS10" s="80"/>
      <c r="BV10" s="60" t="s">
        <v>85</v>
      </c>
      <c r="BW10" s="60"/>
      <c r="BX10" s="60">
        <v>7</v>
      </c>
      <c r="BY10" s="60"/>
      <c r="BZ10" s="62">
        <v>1</v>
      </c>
      <c r="CA10" s="62"/>
      <c r="CB10" s="60">
        <f>1/5</f>
        <v>0.2</v>
      </c>
      <c r="CC10" s="60"/>
      <c r="CD10" s="60">
        <v>3</v>
      </c>
      <c r="CE10" s="60"/>
      <c r="CF10" s="60">
        <f>1/5</f>
        <v>0.2</v>
      </c>
      <c r="CG10" s="60"/>
      <c r="CH10" s="60">
        <v>3</v>
      </c>
      <c r="CI10" s="60"/>
      <c r="CJ10" s="60">
        <v>5</v>
      </c>
      <c r="CK10" s="60"/>
      <c r="CL10" s="60">
        <f>1/5</f>
        <v>0.2</v>
      </c>
      <c r="CM10" s="60"/>
      <c r="CN10" s="60">
        <v>3</v>
      </c>
      <c r="CO10" s="60"/>
    </row>
    <row r="11" spans="2:93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W11" s="80" t="s">
        <v>78</v>
      </c>
      <c r="AX11" s="80"/>
      <c r="AY11" s="80"/>
      <c r="AZ11" s="2"/>
      <c r="BA11" s="2"/>
      <c r="BB11" s="2"/>
      <c r="BC11" s="2"/>
      <c r="BD11" s="2"/>
      <c r="BE11" s="2"/>
      <c r="BF11" s="3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80" t="s">
        <v>7</v>
      </c>
      <c r="BR11" s="80"/>
      <c r="BS11" s="80"/>
      <c r="BV11" s="60"/>
      <c r="BW11" s="60"/>
      <c r="BX11" s="60"/>
      <c r="BY11" s="60"/>
      <c r="BZ11" s="62"/>
      <c r="CA11" s="62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</row>
    <row r="12" spans="2:93" x14ac:dyDescent="0.35">
      <c r="B12" s="80" t="s">
        <v>78</v>
      </c>
      <c r="C12" s="80"/>
      <c r="D12" s="8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f>1/7</f>
        <v>0.14285714285714285</v>
      </c>
      <c r="AD12" s="60"/>
      <c r="AE12" s="60">
        <v>2</v>
      </c>
      <c r="AF12" s="60"/>
      <c r="AG12" s="62">
        <v>1</v>
      </c>
      <c r="AH12" s="62"/>
      <c r="AI12" s="60">
        <f>1/7</f>
        <v>0.14285714285714285</v>
      </c>
      <c r="AJ12" s="60"/>
      <c r="AK12" s="60">
        <f>1/7</f>
        <v>0.14285714285714285</v>
      </c>
      <c r="AL12" s="60"/>
      <c r="AM12" s="60">
        <v>5</v>
      </c>
      <c r="AN12" s="60"/>
      <c r="AO12" s="60">
        <v>3</v>
      </c>
      <c r="AP12" s="60"/>
      <c r="AQ12" s="60">
        <v>7</v>
      </c>
      <c r="AR12" s="60"/>
      <c r="AS12" s="60">
        <f>1/5</f>
        <v>0.2</v>
      </c>
      <c r="AT12" s="60"/>
      <c r="AW12" s="80" t="s">
        <v>78</v>
      </c>
      <c r="AX12" s="80"/>
      <c r="AY12" s="80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3"/>
      <c r="BO12" s="2"/>
      <c r="BP12" s="2"/>
      <c r="BQ12" s="80" t="s">
        <v>8</v>
      </c>
      <c r="BR12" s="80"/>
      <c r="BS12" s="80"/>
      <c r="BV12" s="60" t="s">
        <v>4</v>
      </c>
      <c r="BW12" s="60"/>
      <c r="BX12" s="60">
        <f>1/9</f>
        <v>0.1111111111111111</v>
      </c>
      <c r="BY12" s="60"/>
      <c r="BZ12" s="60">
        <v>5</v>
      </c>
      <c r="CA12" s="60"/>
      <c r="CB12" s="62">
        <v>1</v>
      </c>
      <c r="CC12" s="62"/>
      <c r="CD12" s="60">
        <v>5</v>
      </c>
      <c r="CE12" s="60"/>
      <c r="CF12" s="60">
        <f>1/9</f>
        <v>0.1111111111111111</v>
      </c>
      <c r="CG12" s="60"/>
      <c r="CH12" s="60">
        <v>9</v>
      </c>
      <c r="CI12" s="60"/>
      <c r="CJ12" s="60">
        <v>3</v>
      </c>
      <c r="CK12" s="60"/>
      <c r="CL12" s="60">
        <f>1/5</f>
        <v>0.2</v>
      </c>
      <c r="CM12" s="60"/>
      <c r="CN12" s="60">
        <f>1/7</f>
        <v>0.14285714285714285</v>
      </c>
      <c r="CO12" s="60"/>
    </row>
    <row r="13" spans="2:93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80" t="s">
        <v>80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W13" s="80" t="s">
        <v>78</v>
      </c>
      <c r="AX13" s="80"/>
      <c r="AY13" s="80"/>
      <c r="AZ13" s="2"/>
      <c r="BA13" s="2"/>
      <c r="BB13" s="2"/>
      <c r="BC13" s="2"/>
      <c r="BD13" s="2"/>
      <c r="BE13" s="2"/>
      <c r="BF13" s="3"/>
      <c r="BG13" s="2"/>
      <c r="BH13" s="2"/>
      <c r="BI13" s="2"/>
      <c r="BJ13" s="5"/>
      <c r="BK13" s="2"/>
      <c r="BL13" s="2"/>
      <c r="BM13" s="2"/>
      <c r="BN13" s="2"/>
      <c r="BO13" s="2"/>
      <c r="BP13" s="2"/>
      <c r="BQ13" s="80" t="s">
        <v>80</v>
      </c>
      <c r="BR13" s="80"/>
      <c r="BS13" s="80"/>
      <c r="BV13" s="60"/>
      <c r="BW13" s="60"/>
      <c r="BX13" s="60"/>
      <c r="BY13" s="60"/>
      <c r="BZ13" s="60"/>
      <c r="CA13" s="60"/>
      <c r="CB13" s="62"/>
      <c r="CC13" s="62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</row>
    <row r="14" spans="2:93" x14ac:dyDescent="0.35">
      <c r="B14" s="80" t="s">
        <v>78</v>
      </c>
      <c r="C14" s="80"/>
      <c r="D14" s="80"/>
      <c r="E14" s="38"/>
      <c r="F14" s="38"/>
      <c r="G14" s="38"/>
      <c r="H14" s="38"/>
      <c r="I14" s="38"/>
      <c r="J14" s="3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80" t="s">
        <v>9</v>
      </c>
      <c r="W14" s="80"/>
      <c r="X14" s="80"/>
      <c r="AA14" s="60" t="s">
        <v>5</v>
      </c>
      <c r="AB14" s="60"/>
      <c r="AC14" s="60">
        <f>1/7</f>
        <v>0.14285714285714285</v>
      </c>
      <c r="AD14" s="60"/>
      <c r="AE14" s="60">
        <v>2</v>
      </c>
      <c r="AF14" s="60"/>
      <c r="AG14" s="60">
        <v>7</v>
      </c>
      <c r="AH14" s="60"/>
      <c r="AI14" s="62">
        <v>1</v>
      </c>
      <c r="AJ14" s="62"/>
      <c r="AK14" s="60">
        <f>1/3</f>
        <v>0.33333333333333331</v>
      </c>
      <c r="AL14" s="60"/>
      <c r="AM14" s="60">
        <f>1/3</f>
        <v>0.33333333333333331</v>
      </c>
      <c r="AN14" s="60"/>
      <c r="AO14" s="60">
        <f>1/9</f>
        <v>0.1111111111111111</v>
      </c>
      <c r="AP14" s="60"/>
      <c r="AQ14" s="60">
        <v>5</v>
      </c>
      <c r="AR14" s="60"/>
      <c r="AS14" s="60">
        <v>3</v>
      </c>
      <c r="AT14" s="60"/>
      <c r="AW14" s="80" t="s">
        <v>78</v>
      </c>
      <c r="AX14" s="80"/>
      <c r="AY14" s="80"/>
      <c r="AZ14" s="2"/>
      <c r="BA14" s="2"/>
      <c r="BB14" s="2"/>
      <c r="BC14" s="2"/>
      <c r="BD14" s="3"/>
      <c r="BE14" s="2"/>
      <c r="BF14" s="2"/>
      <c r="BG14" s="2"/>
      <c r="BH14" s="2"/>
      <c r="BI14" s="2"/>
      <c r="BJ14" s="2"/>
      <c r="BK14" s="2"/>
      <c r="BL14" s="2"/>
      <c r="BM14" s="2"/>
      <c r="BN14" s="5"/>
      <c r="BO14" s="2"/>
      <c r="BP14" s="2"/>
      <c r="BQ14" s="80" t="s">
        <v>9</v>
      </c>
      <c r="BR14" s="80"/>
      <c r="BS14" s="80"/>
      <c r="BV14" s="60" t="s">
        <v>5</v>
      </c>
      <c r="BW14" s="60"/>
      <c r="BX14" s="60">
        <f>1/5</f>
        <v>0.2</v>
      </c>
      <c r="BY14" s="60"/>
      <c r="BZ14" s="60">
        <f>1/3</f>
        <v>0.33333333333333331</v>
      </c>
      <c r="CA14" s="60"/>
      <c r="CB14" s="60">
        <f>1/5</f>
        <v>0.2</v>
      </c>
      <c r="CC14" s="60"/>
      <c r="CD14" s="62">
        <v>1</v>
      </c>
      <c r="CE14" s="62"/>
      <c r="CF14" s="60">
        <f>1/9</f>
        <v>0.1111111111111111</v>
      </c>
      <c r="CG14" s="60"/>
      <c r="CH14" s="60">
        <v>5</v>
      </c>
      <c r="CI14" s="60"/>
      <c r="CJ14" s="60">
        <v>3</v>
      </c>
      <c r="CK14" s="60"/>
      <c r="CL14" s="60">
        <f>1/5</f>
        <v>0.2</v>
      </c>
      <c r="CM14" s="60"/>
      <c r="CN14" s="60">
        <f>1/3</f>
        <v>0.33333333333333331</v>
      </c>
      <c r="CO14" s="60"/>
    </row>
    <row r="15" spans="2:93" x14ac:dyDescent="0.35">
      <c r="B15" s="6"/>
      <c r="C15" s="6"/>
      <c r="D15" s="6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V15" s="60"/>
      <c r="BW15" s="60"/>
      <c r="BX15" s="60"/>
      <c r="BY15" s="60"/>
      <c r="BZ15" s="60"/>
      <c r="CA15" s="60"/>
      <c r="CB15" s="60"/>
      <c r="CC15" s="60"/>
      <c r="CD15" s="62"/>
      <c r="CE15" s="62"/>
      <c r="CF15" s="60"/>
      <c r="CG15" s="60"/>
      <c r="CH15" s="60"/>
      <c r="CI15" s="60"/>
      <c r="CJ15" s="60"/>
      <c r="CK15" s="60"/>
      <c r="CL15" s="60"/>
      <c r="CM15" s="60"/>
      <c r="CN15" s="60"/>
      <c r="CO15" s="60"/>
    </row>
    <row r="16" spans="2:93" x14ac:dyDescent="0.35">
      <c r="B16" s="79" t="s">
        <v>2</v>
      </c>
      <c r="C16" s="79"/>
      <c r="D16" s="79"/>
      <c r="E16" s="36">
        <v>9</v>
      </c>
      <c r="F16" s="36">
        <v>8</v>
      </c>
      <c r="G16" s="36">
        <v>7</v>
      </c>
      <c r="H16" s="36">
        <v>6</v>
      </c>
      <c r="I16" s="36">
        <v>5</v>
      </c>
      <c r="J16" s="36">
        <v>4</v>
      </c>
      <c r="K16" s="36">
        <v>3</v>
      </c>
      <c r="L16" s="36">
        <v>2</v>
      </c>
      <c r="M16" s="36">
        <v>1</v>
      </c>
      <c r="N16" s="36">
        <v>2</v>
      </c>
      <c r="O16" s="36">
        <v>3</v>
      </c>
      <c r="P16" s="36">
        <v>4</v>
      </c>
      <c r="Q16" s="36">
        <v>5</v>
      </c>
      <c r="R16" s="36">
        <v>6</v>
      </c>
      <c r="S16" s="36">
        <v>7</v>
      </c>
      <c r="T16" s="36">
        <v>8</v>
      </c>
      <c r="U16" s="36">
        <v>9</v>
      </c>
      <c r="V16" s="79" t="s">
        <v>3</v>
      </c>
      <c r="W16" s="79"/>
      <c r="X16" s="79"/>
      <c r="AA16" s="60" t="s">
        <v>32</v>
      </c>
      <c r="AB16" s="60"/>
      <c r="AC16" s="60">
        <v>5</v>
      </c>
      <c r="AD16" s="60"/>
      <c r="AE16" s="60">
        <v>5</v>
      </c>
      <c r="AF16" s="60"/>
      <c r="AG16" s="60">
        <v>7</v>
      </c>
      <c r="AH16" s="60"/>
      <c r="AI16" s="60">
        <v>3</v>
      </c>
      <c r="AJ16" s="60"/>
      <c r="AK16" s="62">
        <v>1</v>
      </c>
      <c r="AL16" s="62"/>
      <c r="AM16" s="60">
        <f>1/5</f>
        <v>0.2</v>
      </c>
      <c r="AN16" s="60"/>
      <c r="AO16" s="60">
        <v>3</v>
      </c>
      <c r="AP16" s="60"/>
      <c r="AQ16" s="60">
        <v>5</v>
      </c>
      <c r="AR16" s="60"/>
      <c r="AS16" s="60">
        <f>1/7</f>
        <v>0.14285714285714285</v>
      </c>
      <c r="AT16" s="60"/>
      <c r="AW16" s="79" t="s">
        <v>2</v>
      </c>
      <c r="AX16" s="79"/>
      <c r="AY16" s="79"/>
      <c r="AZ16" s="2">
        <v>9</v>
      </c>
      <c r="BA16" s="2">
        <v>8</v>
      </c>
      <c r="BB16" s="2">
        <v>7</v>
      </c>
      <c r="BC16" s="2">
        <v>6</v>
      </c>
      <c r="BD16" s="2">
        <v>5</v>
      </c>
      <c r="BE16" s="2">
        <v>4</v>
      </c>
      <c r="BF16" s="2">
        <v>3</v>
      </c>
      <c r="BG16" s="2">
        <v>2</v>
      </c>
      <c r="BH16" s="2">
        <v>1</v>
      </c>
      <c r="BI16" s="2">
        <v>2</v>
      </c>
      <c r="BJ16" s="2">
        <v>3</v>
      </c>
      <c r="BK16" s="2">
        <v>4</v>
      </c>
      <c r="BL16" s="2">
        <v>5</v>
      </c>
      <c r="BM16" s="2">
        <v>6</v>
      </c>
      <c r="BN16" s="2">
        <v>7</v>
      </c>
      <c r="BO16" s="2">
        <v>8</v>
      </c>
      <c r="BP16" s="2">
        <v>9</v>
      </c>
      <c r="BQ16" s="79" t="s">
        <v>3</v>
      </c>
      <c r="BR16" s="79"/>
      <c r="BS16" s="79"/>
      <c r="BV16" s="60" t="s">
        <v>32</v>
      </c>
      <c r="BW16" s="60"/>
      <c r="BX16" s="60">
        <v>5</v>
      </c>
      <c r="BY16" s="60"/>
      <c r="BZ16" s="60">
        <v>5</v>
      </c>
      <c r="CA16" s="60"/>
      <c r="CB16" s="60">
        <v>9</v>
      </c>
      <c r="CC16" s="60"/>
      <c r="CD16" s="60">
        <v>9</v>
      </c>
      <c r="CE16" s="60"/>
      <c r="CF16" s="62">
        <v>1</v>
      </c>
      <c r="CG16" s="62"/>
      <c r="CH16" s="60">
        <v>9</v>
      </c>
      <c r="CI16" s="60"/>
      <c r="CJ16" s="60">
        <f>1/9</f>
        <v>0.1111111111111111</v>
      </c>
      <c r="CK16" s="60"/>
      <c r="CL16" s="60">
        <v>7</v>
      </c>
      <c r="CM16" s="60"/>
      <c r="CN16" s="60">
        <v>9</v>
      </c>
      <c r="CO16" s="60"/>
    </row>
    <row r="17" spans="2:93" x14ac:dyDescent="0.35">
      <c r="B17" s="80" t="s">
        <v>85</v>
      </c>
      <c r="C17" s="80"/>
      <c r="D17" s="80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  <c r="AW17" s="80" t="s">
        <v>85</v>
      </c>
      <c r="AX17" s="80"/>
      <c r="AY17" s="80"/>
      <c r="AZ17" s="2"/>
      <c r="BA17" s="2"/>
      <c r="BB17" s="2"/>
      <c r="BC17" s="2"/>
      <c r="BD17" s="3"/>
      <c r="BE17" s="2"/>
      <c r="BF17" s="2"/>
      <c r="BG17" s="5"/>
      <c r="BH17" s="2"/>
      <c r="BI17" s="2"/>
      <c r="BJ17" s="2"/>
      <c r="BK17" s="2"/>
      <c r="BL17" s="2"/>
      <c r="BM17" s="2"/>
      <c r="BN17" s="2"/>
      <c r="BO17" s="2"/>
      <c r="BP17" s="2"/>
      <c r="BQ17" s="80" t="s">
        <v>4</v>
      </c>
      <c r="BR17" s="80"/>
      <c r="BS17" s="8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2"/>
      <c r="CG17" s="62"/>
      <c r="CH17" s="60"/>
      <c r="CI17" s="60"/>
      <c r="CJ17" s="60"/>
      <c r="CK17" s="60"/>
      <c r="CL17" s="60"/>
      <c r="CM17" s="60"/>
      <c r="CN17" s="60"/>
      <c r="CO17" s="60"/>
    </row>
    <row r="18" spans="2:93" x14ac:dyDescent="0.35">
      <c r="B18" s="80" t="s">
        <v>85</v>
      </c>
      <c r="C18" s="80"/>
      <c r="D18" s="80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v>3</v>
      </c>
      <c r="AD18" s="60"/>
      <c r="AE18" s="60">
        <f>1/3</f>
        <v>0.33333333333333331</v>
      </c>
      <c r="AF18" s="60"/>
      <c r="AG18" s="60">
        <f>1/5</f>
        <v>0.2</v>
      </c>
      <c r="AH18" s="60"/>
      <c r="AI18" s="60">
        <v>3</v>
      </c>
      <c r="AJ18" s="60"/>
      <c r="AK18" s="60">
        <v>5</v>
      </c>
      <c r="AL18" s="60"/>
      <c r="AM18" s="62">
        <v>1</v>
      </c>
      <c r="AN18" s="62"/>
      <c r="AO18" s="60">
        <f>1/5</f>
        <v>0.2</v>
      </c>
      <c r="AP18" s="60"/>
      <c r="AQ18" s="60">
        <v>3</v>
      </c>
      <c r="AR18" s="60"/>
      <c r="AS18" s="60">
        <f>1/3</f>
        <v>0.33333333333333331</v>
      </c>
      <c r="AT18" s="60"/>
      <c r="AW18" s="80" t="s">
        <v>85</v>
      </c>
      <c r="AX18" s="80"/>
      <c r="AY18" s="80"/>
      <c r="AZ18" s="2"/>
      <c r="BA18" s="2"/>
      <c r="BB18" s="2"/>
      <c r="BC18" s="2"/>
      <c r="BD18" s="2"/>
      <c r="BE18" s="2"/>
      <c r="BF18" s="2"/>
      <c r="BG18" s="5"/>
      <c r="BH18" s="2"/>
      <c r="BI18" s="2"/>
      <c r="BJ18" s="3"/>
      <c r="BK18" s="2"/>
      <c r="BL18" s="2"/>
      <c r="BM18" s="2"/>
      <c r="BN18" s="2"/>
      <c r="BO18" s="2"/>
      <c r="BP18" s="2"/>
      <c r="BQ18" s="80" t="s">
        <v>5</v>
      </c>
      <c r="BR18" s="80"/>
      <c r="BS18" s="80"/>
      <c r="BV18" s="60" t="s">
        <v>7</v>
      </c>
      <c r="BW18" s="60"/>
      <c r="BX18" s="60">
        <v>3</v>
      </c>
      <c r="BY18" s="60"/>
      <c r="BZ18" s="60">
        <f>1/3</f>
        <v>0.33333333333333331</v>
      </c>
      <c r="CA18" s="60"/>
      <c r="CB18" s="60">
        <f>1/9</f>
        <v>0.1111111111111111</v>
      </c>
      <c r="CC18" s="60"/>
      <c r="CD18" s="60">
        <f>1/5</f>
        <v>0.2</v>
      </c>
      <c r="CE18" s="60"/>
      <c r="CF18" s="60">
        <f>1/9</f>
        <v>0.1111111111111111</v>
      </c>
      <c r="CG18" s="60"/>
      <c r="CH18" s="62">
        <v>1</v>
      </c>
      <c r="CI18" s="62"/>
      <c r="CJ18" s="60">
        <f>1/7</f>
        <v>0.14285714285714285</v>
      </c>
      <c r="CK18" s="60"/>
      <c r="CL18" s="60">
        <v>3</v>
      </c>
      <c r="CM18" s="60"/>
      <c r="CN18" s="60">
        <v>5</v>
      </c>
      <c r="CO18" s="60"/>
    </row>
    <row r="19" spans="2:93" x14ac:dyDescent="0.35">
      <c r="B19" s="80" t="s">
        <v>85</v>
      </c>
      <c r="C19" s="80"/>
      <c r="D19" s="80"/>
      <c r="E19" s="2"/>
      <c r="F19" s="2"/>
      <c r="G19" s="2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  <c r="AW19" s="80" t="s">
        <v>85</v>
      </c>
      <c r="AX19" s="80"/>
      <c r="AY19" s="80"/>
      <c r="AZ19" s="2"/>
      <c r="BA19" s="2"/>
      <c r="BB19" s="2"/>
      <c r="BC19" s="2"/>
      <c r="BD19" s="3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80" t="s">
        <v>6</v>
      </c>
      <c r="BR19" s="80"/>
      <c r="BS19" s="8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2"/>
      <c r="CI19" s="62"/>
      <c r="CJ19" s="60"/>
      <c r="CK19" s="60"/>
      <c r="CL19" s="60"/>
      <c r="CM19" s="60"/>
      <c r="CN19" s="60"/>
      <c r="CO19" s="60"/>
    </row>
    <row r="20" spans="2:93" x14ac:dyDescent="0.35">
      <c r="B20" s="80" t="s">
        <v>85</v>
      </c>
      <c r="C20" s="80"/>
      <c r="D20" s="80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f>1/7</f>
        <v>0.14285714285714285</v>
      </c>
      <c r="AD20" s="60"/>
      <c r="AE20" s="60">
        <f>1/7</f>
        <v>0.14285714285714285</v>
      </c>
      <c r="AF20" s="60"/>
      <c r="AG20" s="60">
        <f>1/3</f>
        <v>0.33333333333333331</v>
      </c>
      <c r="AH20" s="60"/>
      <c r="AI20" s="60">
        <v>9</v>
      </c>
      <c r="AJ20" s="60"/>
      <c r="AK20" s="60">
        <f>1/3</f>
        <v>0.33333333333333331</v>
      </c>
      <c r="AL20" s="60"/>
      <c r="AM20" s="60">
        <v>5</v>
      </c>
      <c r="AN20" s="60"/>
      <c r="AO20" s="62">
        <v>1</v>
      </c>
      <c r="AP20" s="62"/>
      <c r="AQ20" s="60">
        <v>3</v>
      </c>
      <c r="AR20" s="60"/>
      <c r="AS20" s="60">
        <f>1/3</f>
        <v>0.33333333333333331</v>
      </c>
      <c r="AT20" s="60"/>
      <c r="AW20" s="80" t="s">
        <v>85</v>
      </c>
      <c r="AX20" s="80"/>
      <c r="AY20" s="80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3"/>
      <c r="BK20" s="2"/>
      <c r="BL20" s="2"/>
      <c r="BM20" s="2"/>
      <c r="BN20" s="2"/>
      <c r="BO20" s="2"/>
      <c r="BP20" s="2"/>
      <c r="BQ20" s="80" t="s">
        <v>7</v>
      </c>
      <c r="BR20" s="80"/>
      <c r="BS20" s="80"/>
      <c r="BV20" s="60" t="s">
        <v>8</v>
      </c>
      <c r="BW20" s="60"/>
      <c r="BX20" s="60">
        <f>1/7</f>
        <v>0.14285714285714285</v>
      </c>
      <c r="BY20" s="60"/>
      <c r="BZ20" s="60">
        <f>1/5</f>
        <v>0.2</v>
      </c>
      <c r="CA20" s="60"/>
      <c r="CB20" s="60">
        <f>1/3</f>
        <v>0.33333333333333331</v>
      </c>
      <c r="CC20" s="60"/>
      <c r="CD20" s="60">
        <f>1/3</f>
        <v>0.33333333333333331</v>
      </c>
      <c r="CE20" s="60"/>
      <c r="CF20" s="60">
        <v>9</v>
      </c>
      <c r="CG20" s="60"/>
      <c r="CH20" s="60">
        <v>7</v>
      </c>
      <c r="CI20" s="60"/>
      <c r="CJ20" s="62">
        <v>1</v>
      </c>
      <c r="CK20" s="62"/>
      <c r="CL20" s="60">
        <v>9</v>
      </c>
      <c r="CM20" s="60"/>
      <c r="CN20" s="60">
        <f>1/3</f>
        <v>0.33333333333333331</v>
      </c>
      <c r="CO20" s="60"/>
    </row>
    <row r="21" spans="2:93" x14ac:dyDescent="0.35">
      <c r="B21" s="80" t="s">
        <v>85</v>
      </c>
      <c r="C21" s="80"/>
      <c r="D21" s="8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2"/>
      <c r="U21" s="2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0"/>
      <c r="AT21" s="60"/>
      <c r="AW21" s="80" t="s">
        <v>85</v>
      </c>
      <c r="AX21" s="80"/>
      <c r="AY21" s="80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3"/>
      <c r="BM21" s="2"/>
      <c r="BN21" s="5"/>
      <c r="BO21" s="2"/>
      <c r="BP21" s="2"/>
      <c r="BQ21" s="80" t="s">
        <v>8</v>
      </c>
      <c r="BR21" s="80"/>
      <c r="BS21" s="8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2"/>
      <c r="CK21" s="62"/>
      <c r="CL21" s="60"/>
      <c r="CM21" s="60"/>
      <c r="CN21" s="60"/>
      <c r="CO21" s="60"/>
    </row>
    <row r="22" spans="2:93" x14ac:dyDescent="0.35">
      <c r="B22" s="80" t="s">
        <v>85</v>
      </c>
      <c r="C22" s="80"/>
      <c r="D22" s="81"/>
      <c r="E22" s="2"/>
      <c r="F22" s="2"/>
      <c r="G22" s="2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83" t="s">
        <v>80</v>
      </c>
      <c r="W22" s="80"/>
      <c r="X22" s="80"/>
      <c r="AA22" s="60" t="s">
        <v>80</v>
      </c>
      <c r="AB22" s="60"/>
      <c r="AC22" s="60">
        <f>1/3</f>
        <v>0.33333333333333331</v>
      </c>
      <c r="AD22" s="60"/>
      <c r="AE22" s="60">
        <v>5</v>
      </c>
      <c r="AF22" s="60"/>
      <c r="AG22" s="60">
        <f>1/7</f>
        <v>0.14285714285714285</v>
      </c>
      <c r="AH22" s="60"/>
      <c r="AI22" s="60">
        <f>1/5</f>
        <v>0.2</v>
      </c>
      <c r="AJ22" s="60"/>
      <c r="AK22" s="60">
        <f>1/5</f>
        <v>0.2</v>
      </c>
      <c r="AL22" s="60"/>
      <c r="AM22" s="60">
        <f>1/3</f>
        <v>0.33333333333333331</v>
      </c>
      <c r="AN22" s="60"/>
      <c r="AO22" s="60">
        <f>1/3</f>
        <v>0.33333333333333331</v>
      </c>
      <c r="AP22" s="60"/>
      <c r="AQ22" s="62">
        <v>1</v>
      </c>
      <c r="AR22" s="62"/>
      <c r="AS22" s="60">
        <f>1/5</f>
        <v>0.2</v>
      </c>
      <c r="AT22" s="60"/>
      <c r="AW22" s="80" t="s">
        <v>85</v>
      </c>
      <c r="AX22" s="80"/>
      <c r="AY22" s="80"/>
      <c r="AZ22" s="2"/>
      <c r="BA22" s="2"/>
      <c r="BB22" s="2"/>
      <c r="BC22" s="2"/>
      <c r="BD22" s="3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80" t="s">
        <v>80</v>
      </c>
      <c r="BR22" s="80"/>
      <c r="BS22" s="80"/>
      <c r="BV22" s="60" t="s">
        <v>80</v>
      </c>
      <c r="BW22" s="60"/>
      <c r="BX22" s="60">
        <v>3</v>
      </c>
      <c r="BY22" s="60"/>
      <c r="BZ22" s="60">
        <v>5</v>
      </c>
      <c r="CA22" s="60"/>
      <c r="CB22" s="60">
        <v>5</v>
      </c>
      <c r="CC22" s="60"/>
      <c r="CD22" s="60">
        <v>5</v>
      </c>
      <c r="CE22" s="60"/>
      <c r="CF22" s="60">
        <f>1/7</f>
        <v>0.14285714285714285</v>
      </c>
      <c r="CG22" s="60"/>
      <c r="CH22" s="60">
        <f>1/3</f>
        <v>0.33333333333333331</v>
      </c>
      <c r="CI22" s="60"/>
      <c r="CJ22" s="60">
        <f>1/9</f>
        <v>0.1111111111111111</v>
      </c>
      <c r="CK22" s="60"/>
      <c r="CL22" s="62">
        <v>1</v>
      </c>
      <c r="CM22" s="62"/>
      <c r="CN22" s="60">
        <f>1/5</f>
        <v>0.2</v>
      </c>
      <c r="CO22" s="60"/>
    </row>
    <row r="23" spans="2:93" x14ac:dyDescent="0.35">
      <c r="B23" s="80" t="s">
        <v>85</v>
      </c>
      <c r="C23" s="80"/>
      <c r="D23" s="8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2"/>
      <c r="T23" s="2"/>
      <c r="U23" s="2"/>
      <c r="V23" s="83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  <c r="AW23" s="80" t="s">
        <v>85</v>
      </c>
      <c r="AX23" s="80"/>
      <c r="AY23" s="80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3"/>
      <c r="BK23" s="2"/>
      <c r="BL23" s="2"/>
      <c r="BM23" s="2"/>
      <c r="BN23" s="2"/>
      <c r="BO23" s="2"/>
      <c r="BP23" s="2"/>
      <c r="BQ23" s="80" t="s">
        <v>9</v>
      </c>
      <c r="BR23" s="80"/>
      <c r="BS23" s="8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2"/>
      <c r="CM23" s="62"/>
      <c r="CN23" s="60"/>
      <c r="CO23" s="60"/>
    </row>
    <row r="24" spans="2:93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v>4</v>
      </c>
      <c r="AD24" s="60"/>
      <c r="AE24" s="60">
        <f>1/6</f>
        <v>0.16666666666666666</v>
      </c>
      <c r="AF24" s="60"/>
      <c r="AG24" s="60">
        <v>5</v>
      </c>
      <c r="AH24" s="60"/>
      <c r="AI24" s="60">
        <f>1/3</f>
        <v>0.33333333333333331</v>
      </c>
      <c r="AJ24" s="60"/>
      <c r="AK24" s="60">
        <v>7</v>
      </c>
      <c r="AL24" s="60"/>
      <c r="AM24" s="60">
        <v>3</v>
      </c>
      <c r="AN24" s="60"/>
      <c r="AO24" s="60">
        <v>3</v>
      </c>
      <c r="AP24" s="60"/>
      <c r="AQ24" s="60">
        <v>5</v>
      </c>
      <c r="AR24" s="60"/>
      <c r="AS24" s="62">
        <v>1</v>
      </c>
      <c r="AT24" s="62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V24" s="60" t="s">
        <v>33</v>
      </c>
      <c r="BW24" s="60"/>
      <c r="BX24" s="60">
        <v>5</v>
      </c>
      <c r="BY24" s="60"/>
      <c r="BZ24" s="60">
        <f>1/3</f>
        <v>0.33333333333333331</v>
      </c>
      <c r="CA24" s="60"/>
      <c r="CB24" s="60">
        <v>7</v>
      </c>
      <c r="CC24" s="60"/>
      <c r="CD24" s="60">
        <v>3</v>
      </c>
      <c r="CE24" s="60"/>
      <c r="CF24" s="60">
        <f>1/9</f>
        <v>0.1111111111111111</v>
      </c>
      <c r="CG24" s="60"/>
      <c r="CH24" s="60">
        <f>1/5</f>
        <v>0.2</v>
      </c>
      <c r="CI24" s="60"/>
      <c r="CJ24" s="60">
        <v>3</v>
      </c>
      <c r="CK24" s="60"/>
      <c r="CL24" s="60">
        <v>5</v>
      </c>
      <c r="CM24" s="60"/>
      <c r="CN24" s="62">
        <v>1</v>
      </c>
      <c r="CO24" s="62"/>
    </row>
    <row r="25" spans="2:93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  <c r="AW25" s="79" t="s">
        <v>2</v>
      </c>
      <c r="AX25" s="79"/>
      <c r="AY25" s="79"/>
      <c r="AZ25" s="2">
        <v>9</v>
      </c>
      <c r="BA25" s="2">
        <v>8</v>
      </c>
      <c r="BB25" s="2">
        <v>7</v>
      </c>
      <c r="BC25" s="2">
        <v>6</v>
      </c>
      <c r="BD25" s="2">
        <v>5</v>
      </c>
      <c r="BE25" s="2">
        <v>4</v>
      </c>
      <c r="BF25" s="2">
        <v>3</v>
      </c>
      <c r="BG25" s="2">
        <v>2</v>
      </c>
      <c r="BH25" s="2">
        <v>1</v>
      </c>
      <c r="BI25" s="2">
        <v>2</v>
      </c>
      <c r="BJ25" s="2">
        <v>3</v>
      </c>
      <c r="BK25" s="2">
        <v>4</v>
      </c>
      <c r="BL25" s="2">
        <v>5</v>
      </c>
      <c r="BM25" s="2">
        <v>6</v>
      </c>
      <c r="BN25" s="2">
        <v>7</v>
      </c>
      <c r="BO25" s="2">
        <v>8</v>
      </c>
      <c r="BP25" s="2">
        <v>9</v>
      </c>
      <c r="BQ25" s="79" t="s">
        <v>3</v>
      </c>
      <c r="BR25" s="79"/>
      <c r="BS25" s="79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2"/>
      <c r="CO25" s="62"/>
    </row>
    <row r="26" spans="2:93" x14ac:dyDescent="0.35">
      <c r="B26" s="80" t="s">
        <v>4</v>
      </c>
      <c r="C26" s="80"/>
      <c r="D26" s="80"/>
      <c r="E26" s="2"/>
      <c r="F26" s="2"/>
      <c r="G26" s="3"/>
      <c r="H26" s="2"/>
      <c r="I26" s="2"/>
      <c r="J26" s="2"/>
      <c r="K26" s="2"/>
      <c r="L26" s="5"/>
      <c r="M26" s="2"/>
      <c r="N26" s="2"/>
      <c r="O26" s="2"/>
      <c r="P26" s="2"/>
      <c r="Q26" s="2"/>
      <c r="R26" s="2"/>
      <c r="S26" s="2"/>
      <c r="T26" s="2"/>
      <c r="U26" s="2"/>
      <c r="V26" s="80" t="s">
        <v>5</v>
      </c>
      <c r="W26" s="80"/>
      <c r="X26" s="80"/>
      <c r="AW26" s="80" t="s">
        <v>4</v>
      </c>
      <c r="AX26" s="80"/>
      <c r="AY26" s="80"/>
      <c r="AZ26" s="2"/>
      <c r="BA26" s="2"/>
      <c r="BB26" s="2"/>
      <c r="BC26" s="2"/>
      <c r="BD26" s="2"/>
      <c r="BE26" s="2"/>
      <c r="BF26" s="5"/>
      <c r="BG26" s="2"/>
      <c r="BH26" s="2"/>
      <c r="BI26" s="2"/>
      <c r="BJ26" s="2"/>
      <c r="BK26" s="2"/>
      <c r="BL26" s="3"/>
      <c r="BM26" s="2"/>
      <c r="BN26" s="2"/>
      <c r="BO26" s="2"/>
      <c r="BP26" s="2"/>
      <c r="BQ26" s="80" t="s">
        <v>5</v>
      </c>
      <c r="BR26" s="80"/>
      <c r="BS26" s="80"/>
    </row>
    <row r="27" spans="2:93" x14ac:dyDescent="0.35">
      <c r="B27" s="80" t="s">
        <v>4</v>
      </c>
      <c r="C27" s="80"/>
      <c r="D27" s="80"/>
      <c r="E27" s="2"/>
      <c r="F27" s="2"/>
      <c r="G27" s="3"/>
      <c r="H27" s="2"/>
      <c r="I27" s="2"/>
      <c r="J27" s="2"/>
      <c r="K27" s="2"/>
      <c r="L27" s="5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  <c r="AW27" s="80" t="s">
        <v>4</v>
      </c>
      <c r="AX27" s="80"/>
      <c r="AY27" s="80"/>
      <c r="AZ27" s="3"/>
      <c r="BA27" s="2"/>
      <c r="BB27" s="2"/>
      <c r="BC27" s="2"/>
      <c r="BD27" s="5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80" t="s">
        <v>6</v>
      </c>
      <c r="BR27" s="80"/>
      <c r="BS27" s="80"/>
    </row>
    <row r="28" spans="2:93" x14ac:dyDescent="0.35">
      <c r="B28" s="80" t="s">
        <v>4</v>
      </c>
      <c r="C28" s="80"/>
      <c r="D28" s="80"/>
      <c r="E28" s="2"/>
      <c r="F28" s="2"/>
      <c r="G28" s="2"/>
      <c r="H28" s="2"/>
      <c r="I28" s="5"/>
      <c r="J28" s="2"/>
      <c r="K28" s="2"/>
      <c r="L28" s="2"/>
      <c r="M28" s="2"/>
      <c r="N28" s="2"/>
      <c r="O28" s="2"/>
      <c r="P28" s="2"/>
      <c r="Q28" s="3"/>
      <c r="R28" s="2"/>
      <c r="S28" s="2"/>
      <c r="T28" s="2"/>
      <c r="U28" s="2"/>
      <c r="V28" s="80" t="s">
        <v>7</v>
      </c>
      <c r="W28" s="80"/>
      <c r="X28" s="80"/>
      <c r="AW28" s="80" t="s">
        <v>4</v>
      </c>
      <c r="AX28" s="80"/>
      <c r="AY28" s="80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5"/>
      <c r="BO28" s="2"/>
      <c r="BP28" s="3"/>
      <c r="BQ28" s="80" t="s">
        <v>7</v>
      </c>
      <c r="BR28" s="80"/>
      <c r="BS28" s="80"/>
    </row>
    <row r="29" spans="2:93" x14ac:dyDescent="0.35">
      <c r="B29" s="80" t="s">
        <v>4</v>
      </c>
      <c r="C29" s="80"/>
      <c r="D29" s="80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S29" s="2"/>
      <c r="T29" s="2"/>
      <c r="U29" s="2"/>
      <c r="V29" s="80" t="s">
        <v>8</v>
      </c>
      <c r="W29" s="80"/>
      <c r="X29" s="80"/>
      <c r="AW29" s="80" t="s">
        <v>4</v>
      </c>
      <c r="AX29" s="80"/>
      <c r="AY29" s="80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3"/>
      <c r="BK29" s="2"/>
      <c r="BL29" s="2"/>
      <c r="BM29" s="2"/>
      <c r="BN29" s="2"/>
      <c r="BO29" s="2"/>
      <c r="BP29" s="2"/>
      <c r="BQ29" s="80" t="s">
        <v>8</v>
      </c>
      <c r="BR29" s="80"/>
      <c r="BS29" s="80"/>
    </row>
    <row r="30" spans="2:93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2"/>
      <c r="U30" s="2"/>
      <c r="V30" s="80" t="s">
        <v>80</v>
      </c>
      <c r="W30" s="80"/>
      <c r="X30" s="80"/>
      <c r="AW30" s="80" t="s">
        <v>4</v>
      </c>
      <c r="AX30" s="80"/>
      <c r="AY30" s="80"/>
      <c r="AZ30" s="2"/>
      <c r="BA30" s="2"/>
      <c r="BB30" s="2"/>
      <c r="BC30" s="2"/>
      <c r="BD30" s="3"/>
      <c r="BE30" s="2"/>
      <c r="BF30" s="5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80" t="s">
        <v>80</v>
      </c>
      <c r="BR30" s="80"/>
      <c r="BS30" s="80"/>
    </row>
    <row r="31" spans="2:93" x14ac:dyDescent="0.35">
      <c r="B31" s="80" t="s">
        <v>4</v>
      </c>
      <c r="C31" s="80"/>
      <c r="D31" s="80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0" t="s">
        <v>9</v>
      </c>
      <c r="W31" s="80"/>
      <c r="X31" s="80"/>
      <c r="AW31" s="80" t="s">
        <v>4</v>
      </c>
      <c r="AX31" s="80"/>
      <c r="AY31" s="80"/>
      <c r="AZ31" s="2"/>
      <c r="BA31" s="2"/>
      <c r="BB31" s="3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80" t="s">
        <v>9</v>
      </c>
      <c r="BR31" s="80"/>
      <c r="BS31" s="80"/>
    </row>
    <row r="32" spans="2:93" x14ac:dyDescent="0.35">
      <c r="B32" s="6"/>
      <c r="C32" s="6"/>
      <c r="D32" s="6"/>
      <c r="V32" s="6"/>
      <c r="W32" s="6"/>
      <c r="X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</row>
    <row r="33" spans="2:71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  <c r="AW33" s="79" t="s">
        <v>2</v>
      </c>
      <c r="AX33" s="79"/>
      <c r="AY33" s="79"/>
      <c r="AZ33" s="2">
        <v>9</v>
      </c>
      <c r="BA33" s="2">
        <v>8</v>
      </c>
      <c r="BB33" s="2">
        <v>7</v>
      </c>
      <c r="BC33" s="2">
        <v>6</v>
      </c>
      <c r="BD33" s="2">
        <v>5</v>
      </c>
      <c r="BE33" s="2">
        <v>4</v>
      </c>
      <c r="BF33" s="2">
        <v>3</v>
      </c>
      <c r="BG33" s="2">
        <v>2</v>
      </c>
      <c r="BH33" s="2">
        <v>1</v>
      </c>
      <c r="BI33" s="2">
        <v>2</v>
      </c>
      <c r="BJ33" s="2">
        <v>3</v>
      </c>
      <c r="BK33" s="2">
        <v>4</v>
      </c>
      <c r="BL33" s="2">
        <v>5</v>
      </c>
      <c r="BM33" s="2">
        <v>6</v>
      </c>
      <c r="BN33" s="2">
        <v>7</v>
      </c>
      <c r="BO33" s="2">
        <v>8</v>
      </c>
      <c r="BP33" s="2">
        <v>9</v>
      </c>
      <c r="BQ33" s="79" t="s">
        <v>3</v>
      </c>
      <c r="BR33" s="79"/>
      <c r="BS33" s="79"/>
    </row>
    <row r="34" spans="2:71" x14ac:dyDescent="0.35">
      <c r="B34" s="80" t="s">
        <v>5</v>
      </c>
      <c r="C34" s="80"/>
      <c r="D34" s="80"/>
      <c r="E34" s="2"/>
      <c r="F34" s="2"/>
      <c r="G34" s="2"/>
      <c r="H34" s="2"/>
      <c r="I34" s="2"/>
      <c r="J34" s="2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  <c r="AW34" s="80" t="s">
        <v>5</v>
      </c>
      <c r="AX34" s="80"/>
      <c r="AY34" s="80"/>
      <c r="AZ34" s="3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80" t="s">
        <v>6</v>
      </c>
      <c r="BR34" s="80"/>
      <c r="BS34" s="80"/>
    </row>
    <row r="35" spans="2:71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80" t="s">
        <v>7</v>
      </c>
      <c r="W35" s="80"/>
      <c r="X35" s="80"/>
      <c r="AW35" s="80" t="s">
        <v>5</v>
      </c>
      <c r="AX35" s="80"/>
      <c r="AY35" s="80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5"/>
      <c r="BK35" s="2"/>
      <c r="BL35" s="3"/>
      <c r="BM35" s="2"/>
      <c r="BN35" s="2"/>
      <c r="BO35" s="2"/>
      <c r="BP35" s="5"/>
      <c r="BQ35" s="80" t="s">
        <v>7</v>
      </c>
      <c r="BR35" s="80"/>
      <c r="BS35" s="80"/>
    </row>
    <row r="36" spans="2:71" x14ac:dyDescent="0.35">
      <c r="B36" s="80" t="s">
        <v>5</v>
      </c>
      <c r="C36" s="80"/>
      <c r="D36" s="80"/>
      <c r="E36" s="3"/>
      <c r="F36" s="2"/>
      <c r="G36" s="2"/>
      <c r="H36" s="2"/>
      <c r="I36" s="2"/>
      <c r="J36" s="2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80" t="s">
        <v>8</v>
      </c>
      <c r="W36" s="80"/>
      <c r="X36" s="80"/>
      <c r="AW36" s="80" t="s">
        <v>5</v>
      </c>
      <c r="AX36" s="80"/>
      <c r="AY36" s="80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3"/>
      <c r="BK36" s="2"/>
      <c r="BL36" s="2"/>
      <c r="BM36" s="2"/>
      <c r="BN36" s="2"/>
      <c r="BO36" s="2"/>
      <c r="BP36" s="2"/>
      <c r="BQ36" s="80" t="s">
        <v>8</v>
      </c>
      <c r="BR36" s="80"/>
      <c r="BS36" s="80"/>
    </row>
    <row r="37" spans="2:71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  <c r="R37" s="2"/>
      <c r="S37" s="2"/>
      <c r="T37" s="2"/>
      <c r="U37" s="2"/>
      <c r="V37" s="80" t="s">
        <v>80</v>
      </c>
      <c r="W37" s="80"/>
      <c r="X37" s="80"/>
      <c r="AW37" s="80" t="s">
        <v>5</v>
      </c>
      <c r="AX37" s="80"/>
      <c r="AY37" s="80"/>
      <c r="AZ37" s="2"/>
      <c r="BA37" s="2"/>
      <c r="BB37" s="2"/>
      <c r="BC37" s="2"/>
      <c r="BD37" s="3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80" t="s">
        <v>80</v>
      </c>
      <c r="BR37" s="80"/>
      <c r="BS37" s="80"/>
    </row>
    <row r="38" spans="2:71" x14ac:dyDescent="0.35">
      <c r="B38" s="80" t="s">
        <v>5</v>
      </c>
      <c r="C38" s="80"/>
      <c r="D38" s="80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80" t="s">
        <v>9</v>
      </c>
      <c r="W38" s="80"/>
      <c r="X38" s="80"/>
      <c r="AW38" s="80" t="s">
        <v>5</v>
      </c>
      <c r="AX38" s="80"/>
      <c r="AY38" s="80"/>
      <c r="AZ38" s="2"/>
      <c r="BA38" s="2"/>
      <c r="BB38" s="2"/>
      <c r="BC38" s="2"/>
      <c r="BD38" s="2"/>
      <c r="BE38" s="2"/>
      <c r="BF38" s="3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80" t="s">
        <v>9</v>
      </c>
      <c r="BR38" s="80"/>
      <c r="BS38" s="80"/>
    </row>
    <row r="39" spans="2:71" x14ac:dyDescent="0.35">
      <c r="B39" s="6"/>
      <c r="C39" s="6"/>
      <c r="D39" s="6"/>
      <c r="V39" s="6"/>
      <c r="W39" s="6"/>
      <c r="X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</row>
    <row r="40" spans="2:71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  <c r="AW40" s="79" t="s">
        <v>2</v>
      </c>
      <c r="AX40" s="79"/>
      <c r="AY40" s="79"/>
      <c r="AZ40" s="2">
        <v>9</v>
      </c>
      <c r="BA40" s="2">
        <v>8</v>
      </c>
      <c r="BB40" s="2">
        <v>7</v>
      </c>
      <c r="BC40" s="2">
        <v>6</v>
      </c>
      <c r="BD40" s="2">
        <v>5</v>
      </c>
      <c r="BE40" s="2">
        <v>4</v>
      </c>
      <c r="BF40" s="2">
        <v>3</v>
      </c>
      <c r="BG40" s="2">
        <v>2</v>
      </c>
      <c r="BH40" s="2">
        <v>1</v>
      </c>
      <c r="BI40" s="2">
        <v>2</v>
      </c>
      <c r="BJ40" s="2">
        <v>3</v>
      </c>
      <c r="BK40" s="2">
        <v>4</v>
      </c>
      <c r="BL40" s="2">
        <v>5</v>
      </c>
      <c r="BM40" s="2">
        <v>6</v>
      </c>
      <c r="BN40" s="2">
        <v>7</v>
      </c>
      <c r="BO40" s="2">
        <v>8</v>
      </c>
      <c r="BP40" s="2">
        <v>9</v>
      </c>
      <c r="BQ40" s="79" t="s">
        <v>3</v>
      </c>
      <c r="BR40" s="79"/>
      <c r="BS40" s="79"/>
    </row>
    <row r="41" spans="2:71" x14ac:dyDescent="0.35">
      <c r="B41" s="80" t="s">
        <v>6</v>
      </c>
      <c r="C41" s="80"/>
      <c r="D41" s="80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80" t="s">
        <v>7</v>
      </c>
      <c r="W41" s="80"/>
      <c r="X41" s="80"/>
      <c r="AW41" s="80" t="s">
        <v>6</v>
      </c>
      <c r="AX41" s="80"/>
      <c r="AY41" s="80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5"/>
      <c r="BK41" s="2"/>
      <c r="BL41" s="2"/>
      <c r="BM41" s="2"/>
      <c r="BN41" s="2"/>
      <c r="BO41" s="2"/>
      <c r="BP41" s="3"/>
      <c r="BQ41" s="80" t="s">
        <v>7</v>
      </c>
      <c r="BR41" s="80"/>
      <c r="BS41" s="80"/>
    </row>
    <row r="42" spans="2:71" x14ac:dyDescent="0.35">
      <c r="B42" s="80" t="s">
        <v>6</v>
      </c>
      <c r="C42" s="80"/>
      <c r="D42" s="80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80" t="s">
        <v>8</v>
      </c>
      <c r="W42" s="80"/>
      <c r="X42" s="80"/>
      <c r="AW42" s="80" t="s">
        <v>6</v>
      </c>
      <c r="AX42" s="80"/>
      <c r="AY42" s="80"/>
      <c r="AZ42" s="3"/>
      <c r="BA42" s="2"/>
      <c r="BB42" s="2"/>
      <c r="BC42" s="2"/>
      <c r="BD42" s="5"/>
      <c r="BE42" s="2"/>
      <c r="BF42" s="2"/>
      <c r="BG42" s="2"/>
      <c r="BH42" s="2"/>
      <c r="BI42" s="2"/>
      <c r="BJ42" s="2"/>
      <c r="BK42" s="5"/>
      <c r="BL42" s="5"/>
      <c r="BM42" s="2"/>
      <c r="BN42" s="2"/>
      <c r="BO42" s="2"/>
      <c r="BP42" s="2"/>
      <c r="BQ42" s="80" t="s">
        <v>8</v>
      </c>
      <c r="BR42" s="80"/>
      <c r="BS42" s="80"/>
    </row>
    <row r="43" spans="2:71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2"/>
      <c r="S43" s="2"/>
      <c r="T43" s="2"/>
      <c r="U43" s="2"/>
      <c r="V43" s="80" t="s">
        <v>80</v>
      </c>
      <c r="W43" s="80"/>
      <c r="X43" s="80"/>
      <c r="AW43" s="80" t="s">
        <v>6</v>
      </c>
      <c r="AX43" s="80"/>
      <c r="AY43" s="80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5"/>
      <c r="BK43" s="2"/>
      <c r="BL43" s="2"/>
      <c r="BM43" s="2"/>
      <c r="BN43" s="3"/>
      <c r="BO43" s="2"/>
      <c r="BP43" s="2"/>
      <c r="BQ43" s="80" t="s">
        <v>80</v>
      </c>
      <c r="BR43" s="80"/>
      <c r="BS43" s="80"/>
    </row>
    <row r="44" spans="2:71" x14ac:dyDescent="0.35">
      <c r="B44" s="80" t="s">
        <v>6</v>
      </c>
      <c r="C44" s="80"/>
      <c r="D44" s="80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80" t="s">
        <v>9</v>
      </c>
      <c r="W44" s="80"/>
      <c r="X44" s="80"/>
      <c r="AW44" s="80" t="s">
        <v>6</v>
      </c>
      <c r="AX44" s="80"/>
      <c r="AY44" s="80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5"/>
      <c r="BK44" s="2"/>
      <c r="BL44" s="2"/>
      <c r="BM44" s="2"/>
      <c r="BN44" s="2"/>
      <c r="BO44" s="2"/>
      <c r="BP44" s="3"/>
      <c r="BQ44" s="80" t="s">
        <v>9</v>
      </c>
      <c r="BR44" s="80"/>
      <c r="BS44" s="80"/>
    </row>
    <row r="45" spans="2:71" x14ac:dyDescent="0.35">
      <c r="B45" s="6"/>
      <c r="C45" s="6"/>
      <c r="D45" s="6"/>
      <c r="V45" s="6"/>
      <c r="W45" s="6"/>
      <c r="X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</row>
    <row r="46" spans="2:71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  <c r="AW46" s="79" t="s">
        <v>2</v>
      </c>
      <c r="AX46" s="79"/>
      <c r="AY46" s="79"/>
      <c r="AZ46" s="2">
        <v>9</v>
      </c>
      <c r="BA46" s="2">
        <v>8</v>
      </c>
      <c r="BB46" s="2">
        <v>7</v>
      </c>
      <c r="BC46" s="2">
        <v>6</v>
      </c>
      <c r="BD46" s="2">
        <v>5</v>
      </c>
      <c r="BE46" s="2">
        <v>4</v>
      </c>
      <c r="BF46" s="2">
        <v>3</v>
      </c>
      <c r="BG46" s="2">
        <v>2</v>
      </c>
      <c r="BH46" s="2">
        <v>1</v>
      </c>
      <c r="BI46" s="2">
        <v>2</v>
      </c>
      <c r="BJ46" s="2">
        <v>3</v>
      </c>
      <c r="BK46" s="2">
        <v>4</v>
      </c>
      <c r="BL46" s="2">
        <v>5</v>
      </c>
      <c r="BM46" s="2">
        <v>6</v>
      </c>
      <c r="BN46" s="2">
        <v>7</v>
      </c>
      <c r="BO46" s="2">
        <v>8</v>
      </c>
      <c r="BP46" s="2">
        <v>9</v>
      </c>
      <c r="BQ46" s="79" t="s">
        <v>3</v>
      </c>
      <c r="BR46" s="79"/>
      <c r="BS46" s="79"/>
    </row>
    <row r="47" spans="2:71" x14ac:dyDescent="0.35">
      <c r="B47" s="80" t="s">
        <v>7</v>
      </c>
      <c r="C47" s="80"/>
      <c r="D47" s="80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  <c r="AW47" s="80" t="s">
        <v>7</v>
      </c>
      <c r="AX47" s="80"/>
      <c r="AY47" s="80"/>
      <c r="AZ47" s="2"/>
      <c r="BA47" s="2"/>
      <c r="BB47" s="3"/>
      <c r="BC47" s="2"/>
      <c r="BD47" s="2"/>
      <c r="BE47" s="2"/>
      <c r="BF47" s="5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80" t="s">
        <v>8</v>
      </c>
      <c r="BR47" s="80"/>
      <c r="BS47" s="80"/>
    </row>
    <row r="48" spans="2:71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80" t="s">
        <v>80</v>
      </c>
      <c r="W48" s="80"/>
      <c r="X48" s="80"/>
      <c r="AW48" s="80" t="s">
        <v>7</v>
      </c>
      <c r="AX48" s="80"/>
      <c r="AY48" s="80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3"/>
      <c r="BK48" s="2"/>
      <c r="BL48" s="5"/>
      <c r="BM48" s="2"/>
      <c r="BN48" s="2"/>
      <c r="BO48" s="2"/>
      <c r="BP48" s="2"/>
      <c r="BQ48" s="80" t="s">
        <v>80</v>
      </c>
      <c r="BR48" s="80"/>
      <c r="BS48" s="80"/>
    </row>
    <row r="49" spans="2:89" x14ac:dyDescent="0.35">
      <c r="B49" s="80" t="s">
        <v>7</v>
      </c>
      <c r="C49" s="80"/>
      <c r="D49" s="80"/>
      <c r="E49" s="5"/>
      <c r="F49" s="2"/>
      <c r="G49" s="2"/>
      <c r="H49" s="2"/>
      <c r="I49" s="2"/>
      <c r="J49" s="2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80" t="s">
        <v>9</v>
      </c>
      <c r="W49" s="80"/>
      <c r="X49" s="80"/>
      <c r="AW49" s="80" t="s">
        <v>7</v>
      </c>
      <c r="AX49" s="80"/>
      <c r="AY49" s="80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5"/>
      <c r="BK49" s="2"/>
      <c r="BL49" s="3"/>
      <c r="BM49" s="2"/>
      <c r="BN49" s="2"/>
      <c r="BO49" s="2"/>
      <c r="BP49" s="2"/>
      <c r="BQ49" s="80" t="s">
        <v>9</v>
      </c>
      <c r="BR49" s="80"/>
      <c r="BS49" s="80"/>
    </row>
    <row r="50" spans="2:89" x14ac:dyDescent="0.35">
      <c r="B50" s="6"/>
      <c r="C50" s="6"/>
      <c r="D50" s="6"/>
      <c r="V50" s="6"/>
      <c r="W50" s="6"/>
      <c r="X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</row>
    <row r="51" spans="2:89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  <c r="AW51" s="79" t="s">
        <v>2</v>
      </c>
      <c r="AX51" s="79"/>
      <c r="AY51" s="79"/>
      <c r="AZ51" s="2">
        <v>9</v>
      </c>
      <c r="BA51" s="2">
        <v>8</v>
      </c>
      <c r="BB51" s="2">
        <v>7</v>
      </c>
      <c r="BC51" s="2">
        <v>6</v>
      </c>
      <c r="BD51" s="2">
        <v>5</v>
      </c>
      <c r="BE51" s="2">
        <v>4</v>
      </c>
      <c r="BF51" s="2">
        <v>3</v>
      </c>
      <c r="BG51" s="2">
        <v>2</v>
      </c>
      <c r="BH51" s="2">
        <v>1</v>
      </c>
      <c r="BI51" s="2">
        <v>2</v>
      </c>
      <c r="BJ51" s="2">
        <v>3</v>
      </c>
      <c r="BK51" s="2">
        <v>4</v>
      </c>
      <c r="BL51" s="2">
        <v>5</v>
      </c>
      <c r="BM51" s="2">
        <v>6</v>
      </c>
      <c r="BN51" s="2">
        <v>7</v>
      </c>
      <c r="BO51" s="2">
        <v>8</v>
      </c>
      <c r="BP51" s="2">
        <v>9</v>
      </c>
      <c r="BQ51" s="79" t="s">
        <v>3</v>
      </c>
      <c r="BR51" s="79"/>
      <c r="BS51" s="79"/>
    </row>
    <row r="52" spans="2:89" x14ac:dyDescent="0.35">
      <c r="B52" s="80" t="s">
        <v>8</v>
      </c>
      <c r="C52" s="80"/>
      <c r="D52" s="80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80" t="s">
        <v>80</v>
      </c>
      <c r="W52" s="80"/>
      <c r="X52" s="80"/>
      <c r="AW52" s="80" t="s">
        <v>8</v>
      </c>
      <c r="AX52" s="80"/>
      <c r="AY52" s="80"/>
      <c r="AZ52" s="2"/>
      <c r="BA52" s="2"/>
      <c r="BB52" s="2"/>
      <c r="BC52" s="2"/>
      <c r="BD52" s="2"/>
      <c r="BE52" s="2"/>
      <c r="BF52" s="5"/>
      <c r="BG52" s="2"/>
      <c r="BH52" s="2"/>
      <c r="BI52" s="2"/>
      <c r="BJ52" s="2"/>
      <c r="BK52" s="2"/>
      <c r="BL52" s="2"/>
      <c r="BM52" s="2"/>
      <c r="BN52" s="2"/>
      <c r="BO52" s="2"/>
      <c r="BP52" s="3"/>
      <c r="BQ52" s="80" t="s">
        <v>80</v>
      </c>
      <c r="BR52" s="80"/>
      <c r="BS52" s="80"/>
    </row>
    <row r="53" spans="2:89" x14ac:dyDescent="0.35">
      <c r="B53" s="80" t="s">
        <v>8</v>
      </c>
      <c r="C53" s="80"/>
      <c r="D53" s="80"/>
      <c r="E53" s="5"/>
      <c r="F53" s="2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80" t="s">
        <v>9</v>
      </c>
      <c r="W53" s="80"/>
      <c r="X53" s="80"/>
      <c r="AW53" s="80" t="s">
        <v>8</v>
      </c>
      <c r="AX53" s="80"/>
      <c r="AY53" s="80"/>
      <c r="AZ53" s="2"/>
      <c r="BA53" s="2"/>
      <c r="BB53" s="2"/>
      <c r="BC53" s="2"/>
      <c r="BD53" s="2"/>
      <c r="BE53" s="2"/>
      <c r="BF53" s="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80" t="s">
        <v>9</v>
      </c>
      <c r="BR53" s="80"/>
      <c r="BS53" s="80"/>
    </row>
    <row r="54" spans="2:89" x14ac:dyDescent="0.35">
      <c r="B54" s="6"/>
      <c r="C54" s="6"/>
      <c r="D54" s="6"/>
      <c r="V54" s="6"/>
      <c r="W54" s="6"/>
      <c r="X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</row>
    <row r="55" spans="2:89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  <c r="AW55" s="79" t="s">
        <v>2</v>
      </c>
      <c r="AX55" s="79"/>
      <c r="AY55" s="79"/>
      <c r="AZ55" s="2">
        <v>9</v>
      </c>
      <c r="BA55" s="2">
        <v>8</v>
      </c>
      <c r="BB55" s="2">
        <v>7</v>
      </c>
      <c r="BC55" s="2">
        <v>6</v>
      </c>
      <c r="BD55" s="2">
        <v>5</v>
      </c>
      <c r="BE55" s="2">
        <v>4</v>
      </c>
      <c r="BF55" s="2">
        <v>3</v>
      </c>
      <c r="BG55" s="2">
        <v>2</v>
      </c>
      <c r="BH55" s="2">
        <v>1</v>
      </c>
      <c r="BI55" s="2">
        <v>2</v>
      </c>
      <c r="BJ55" s="2">
        <v>3</v>
      </c>
      <c r="BK55" s="2">
        <v>4</v>
      </c>
      <c r="BL55" s="2">
        <v>5</v>
      </c>
      <c r="BM55" s="2">
        <v>6</v>
      </c>
      <c r="BN55" s="2">
        <v>7</v>
      </c>
      <c r="BO55" s="2">
        <v>8</v>
      </c>
      <c r="BP55" s="2">
        <v>9</v>
      </c>
      <c r="BQ55" s="79" t="s">
        <v>3</v>
      </c>
      <c r="BR55" s="79"/>
      <c r="BS55" s="79"/>
    </row>
    <row r="56" spans="2:89" x14ac:dyDescent="0.35">
      <c r="B56" s="80" t="s">
        <v>80</v>
      </c>
      <c r="C56" s="80"/>
      <c r="D56" s="80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80" t="s">
        <v>9</v>
      </c>
      <c r="W56" s="80"/>
      <c r="X56" s="80"/>
      <c r="AW56" s="80" t="s">
        <v>80</v>
      </c>
      <c r="AX56" s="80"/>
      <c r="AY56" s="80"/>
      <c r="AZ56" s="2"/>
      <c r="BA56" s="2"/>
      <c r="BB56" s="2"/>
      <c r="BC56" s="2"/>
      <c r="BD56" s="3"/>
      <c r="BE56" s="2"/>
      <c r="BF56" s="2"/>
      <c r="BG56" s="5"/>
      <c r="BH56" s="2"/>
      <c r="BI56" s="2"/>
      <c r="BJ56" s="2"/>
      <c r="BK56" s="2"/>
      <c r="BL56" s="2"/>
      <c r="BM56" s="2"/>
      <c r="BN56" s="2"/>
      <c r="BO56" s="2"/>
      <c r="BP56" s="2"/>
      <c r="BQ56" s="80" t="s">
        <v>9</v>
      </c>
      <c r="BR56" s="80"/>
      <c r="BS56" s="80"/>
    </row>
    <row r="59" spans="2:89" x14ac:dyDescent="0.35">
      <c r="B59" s="85" t="s">
        <v>10</v>
      </c>
      <c r="C59" s="85"/>
      <c r="AW59" s="85" t="s">
        <v>10</v>
      </c>
      <c r="AX59" s="85"/>
    </row>
    <row r="61" spans="2:89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60"/>
      <c r="AW61" s="79" t="s">
        <v>2</v>
      </c>
      <c r="AX61" s="79"/>
      <c r="AY61" s="79"/>
      <c r="AZ61" s="2">
        <v>9</v>
      </c>
      <c r="BA61" s="2">
        <v>8</v>
      </c>
      <c r="BB61" s="2">
        <v>7</v>
      </c>
      <c r="BC61" s="2">
        <v>6</v>
      </c>
      <c r="BD61" s="2">
        <v>5</v>
      </c>
      <c r="BE61" s="2">
        <v>4</v>
      </c>
      <c r="BF61" s="2">
        <v>3</v>
      </c>
      <c r="BG61" s="2">
        <v>2</v>
      </c>
      <c r="BH61" s="2">
        <v>1</v>
      </c>
      <c r="BI61" s="2">
        <v>2</v>
      </c>
      <c r="BJ61" s="2">
        <v>3</v>
      </c>
      <c r="BK61" s="2">
        <v>4</v>
      </c>
      <c r="BL61" s="2">
        <v>5</v>
      </c>
      <c r="BM61" s="2">
        <v>6</v>
      </c>
      <c r="BN61" s="2">
        <v>7</v>
      </c>
      <c r="BO61" s="2">
        <v>8</v>
      </c>
      <c r="BP61" s="2">
        <v>9</v>
      </c>
      <c r="BQ61" s="79" t="s">
        <v>3</v>
      </c>
      <c r="BR61" s="79"/>
      <c r="BS61" s="79"/>
      <c r="BV61" s="60"/>
      <c r="BW61" s="60"/>
      <c r="BX61" s="60" t="s">
        <v>11</v>
      </c>
      <c r="BY61" s="60"/>
      <c r="BZ61" s="60" t="s">
        <v>81</v>
      </c>
      <c r="CA61" s="60"/>
      <c r="CB61" s="60" t="s">
        <v>27</v>
      </c>
      <c r="CC61" s="60"/>
      <c r="CD61" s="60" t="s">
        <v>87</v>
      </c>
      <c r="CE61" s="60"/>
      <c r="CF61" s="60" t="s">
        <v>90</v>
      </c>
      <c r="CG61" s="60"/>
      <c r="CH61" s="60" t="s">
        <v>89</v>
      </c>
      <c r="CI61" s="60"/>
      <c r="CJ61" s="60" t="s">
        <v>91</v>
      </c>
      <c r="CK61" s="60"/>
    </row>
    <row r="62" spans="2:89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W62" s="80" t="s">
        <v>11</v>
      </c>
      <c r="AX62" s="80"/>
      <c r="AY62" s="80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5"/>
      <c r="BK62" s="2"/>
      <c r="BL62" s="2"/>
      <c r="BM62" s="2"/>
      <c r="BN62" s="2"/>
      <c r="BO62" s="2"/>
      <c r="BP62" s="3"/>
      <c r="BQ62" s="81" t="s">
        <v>81</v>
      </c>
      <c r="BR62" s="82"/>
      <c r="BS62" s="83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</row>
    <row r="63" spans="2:89" x14ac:dyDescent="0.35">
      <c r="B63" s="80" t="s">
        <v>11</v>
      </c>
      <c r="C63" s="80"/>
      <c r="D63" s="8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2"/>
      <c r="T63" s="2"/>
      <c r="U63" s="2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3</v>
      </c>
      <c r="AF63" s="64"/>
      <c r="AG63" s="63">
        <v>5</v>
      </c>
      <c r="AH63" s="64"/>
      <c r="AI63" s="63">
        <f>1/7</f>
        <v>0.14285714285714285</v>
      </c>
      <c r="AJ63" s="64"/>
      <c r="AK63" s="63">
        <v>5</v>
      </c>
      <c r="AL63" s="64"/>
      <c r="AM63" s="63">
        <v>3</v>
      </c>
      <c r="AN63" s="64"/>
      <c r="AO63" s="63">
        <f>1/5</f>
        <v>0.2</v>
      </c>
      <c r="AP63" s="64"/>
      <c r="AW63" s="80" t="s">
        <v>11</v>
      </c>
      <c r="AX63" s="80"/>
      <c r="AY63" s="80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3"/>
      <c r="BM63" s="2"/>
      <c r="BN63" s="2"/>
      <c r="BO63" s="2"/>
      <c r="BP63" s="2"/>
      <c r="BQ63" s="81" t="s">
        <v>27</v>
      </c>
      <c r="BR63" s="82"/>
      <c r="BS63" s="83"/>
      <c r="BV63" s="63" t="s">
        <v>11</v>
      </c>
      <c r="BW63" s="64"/>
      <c r="BX63" s="70">
        <v>1</v>
      </c>
      <c r="BY63" s="71"/>
      <c r="BZ63" s="63">
        <v>9</v>
      </c>
      <c r="CA63" s="64"/>
      <c r="CB63" s="63">
        <v>5</v>
      </c>
      <c r="CC63" s="64"/>
      <c r="CD63" s="63">
        <f>1/7</f>
        <v>0.14285714285714285</v>
      </c>
      <c r="CE63" s="64"/>
      <c r="CF63" s="63">
        <v>5</v>
      </c>
      <c r="CG63" s="64"/>
      <c r="CH63" s="63">
        <v>3</v>
      </c>
      <c r="CI63" s="64"/>
      <c r="CJ63" s="63">
        <f>1/9</f>
        <v>0.1111111111111111</v>
      </c>
      <c r="CK63" s="64"/>
    </row>
    <row r="64" spans="2:89" x14ac:dyDescent="0.35">
      <c r="B64" s="80" t="s">
        <v>11</v>
      </c>
      <c r="C64" s="80"/>
      <c r="D64" s="80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66"/>
      <c r="AW64" s="80" t="s">
        <v>11</v>
      </c>
      <c r="AX64" s="80"/>
      <c r="AY64" s="80"/>
      <c r="AZ64" s="2"/>
      <c r="BA64" s="2"/>
      <c r="BB64" s="3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81" t="s">
        <v>28</v>
      </c>
      <c r="BR64" s="82"/>
      <c r="BS64" s="83"/>
      <c r="BV64" s="65"/>
      <c r="BW64" s="66"/>
      <c r="BX64" s="72"/>
      <c r="BY64" s="73"/>
      <c r="BZ64" s="65"/>
      <c r="CA64" s="66"/>
      <c r="CB64" s="65"/>
      <c r="CC64" s="66"/>
      <c r="CD64" s="65"/>
      <c r="CE64" s="66"/>
      <c r="CF64" s="65"/>
      <c r="CG64" s="66"/>
      <c r="CH64" s="65"/>
      <c r="CI64" s="66"/>
      <c r="CJ64" s="65"/>
      <c r="CK64" s="66"/>
    </row>
    <row r="65" spans="2:89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5"/>
      <c r="V65" s="81" t="s">
        <v>29</v>
      </c>
      <c r="W65" s="82"/>
      <c r="X65" s="83"/>
      <c r="AA65" s="60" t="s">
        <v>81</v>
      </c>
      <c r="AB65" s="60"/>
      <c r="AC65" s="60">
        <f>1/3</f>
        <v>0.33333333333333331</v>
      </c>
      <c r="AD65" s="60"/>
      <c r="AE65" s="62">
        <v>1</v>
      </c>
      <c r="AF65" s="62"/>
      <c r="AG65" s="60">
        <f>1/3</f>
        <v>0.33333333333333331</v>
      </c>
      <c r="AH65" s="60"/>
      <c r="AI65" s="60">
        <f>1/3</f>
        <v>0.33333333333333331</v>
      </c>
      <c r="AJ65" s="60"/>
      <c r="AK65" s="60">
        <v>7</v>
      </c>
      <c r="AL65" s="60"/>
      <c r="AM65" s="60">
        <v>3</v>
      </c>
      <c r="AN65" s="60"/>
      <c r="AO65" s="60">
        <f>1/3</f>
        <v>0.33333333333333331</v>
      </c>
      <c r="AP65" s="60"/>
      <c r="AW65" s="80" t="s">
        <v>11</v>
      </c>
      <c r="AX65" s="80"/>
      <c r="AY65" s="80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3"/>
      <c r="BM65" s="2"/>
      <c r="BN65" s="2"/>
      <c r="BO65" s="2"/>
      <c r="BP65" s="5"/>
      <c r="BQ65" s="81" t="s">
        <v>29</v>
      </c>
      <c r="BR65" s="82"/>
      <c r="BS65" s="83"/>
      <c r="BV65" s="60" t="s">
        <v>81</v>
      </c>
      <c r="BW65" s="60"/>
      <c r="BX65" s="60">
        <f>1/9</f>
        <v>0.1111111111111111</v>
      </c>
      <c r="BY65" s="60"/>
      <c r="BZ65" s="62">
        <v>1</v>
      </c>
      <c r="CA65" s="62"/>
      <c r="CB65" s="60">
        <v>9</v>
      </c>
      <c r="CC65" s="60"/>
      <c r="CD65" s="60">
        <v>7</v>
      </c>
      <c r="CE65" s="60"/>
      <c r="CF65" s="60">
        <v>7</v>
      </c>
      <c r="CG65" s="60"/>
      <c r="CH65" s="60">
        <v>5</v>
      </c>
      <c r="CI65" s="60"/>
      <c r="CJ65" s="60">
        <f>1/7</f>
        <v>0.14285714285714285</v>
      </c>
      <c r="CK65" s="60"/>
    </row>
    <row r="66" spans="2:89" x14ac:dyDescent="0.35">
      <c r="B66" s="80" t="s">
        <v>11</v>
      </c>
      <c r="C66" s="80"/>
      <c r="D66" s="80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W66" s="80" t="s">
        <v>11</v>
      </c>
      <c r="AX66" s="80"/>
      <c r="AY66" s="80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3"/>
      <c r="BK66" s="2"/>
      <c r="BL66" s="2"/>
      <c r="BM66" s="2"/>
      <c r="BN66" s="2"/>
      <c r="BO66" s="2"/>
      <c r="BP66" s="2"/>
      <c r="BQ66" s="81" t="s">
        <v>82</v>
      </c>
      <c r="BR66" s="82"/>
      <c r="BS66" s="83"/>
      <c r="BV66" s="60"/>
      <c r="BW66" s="60"/>
      <c r="BX66" s="60"/>
      <c r="BY66" s="60"/>
      <c r="BZ66" s="62"/>
      <c r="CA66" s="62"/>
      <c r="CB66" s="60"/>
      <c r="CC66" s="60"/>
      <c r="CD66" s="60"/>
      <c r="CE66" s="60"/>
      <c r="CF66" s="60"/>
      <c r="CG66" s="60"/>
      <c r="CH66" s="60"/>
      <c r="CI66" s="60"/>
      <c r="CJ66" s="60"/>
      <c r="CK66" s="60"/>
    </row>
    <row r="67" spans="2:89" x14ac:dyDescent="0.35">
      <c r="B67" s="80" t="s">
        <v>11</v>
      </c>
      <c r="C67" s="80"/>
      <c r="D67" s="80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1" t="s">
        <v>30</v>
      </c>
      <c r="W67" s="82"/>
      <c r="X67" s="83"/>
      <c r="AA67" s="60" t="s">
        <v>27</v>
      </c>
      <c r="AB67" s="60"/>
      <c r="AC67" s="60">
        <f>1/5</f>
        <v>0.2</v>
      </c>
      <c r="AD67" s="60"/>
      <c r="AE67" s="60">
        <v>3</v>
      </c>
      <c r="AF67" s="60"/>
      <c r="AG67" s="62">
        <v>1</v>
      </c>
      <c r="AH67" s="62"/>
      <c r="AI67" s="60">
        <f>1/9</f>
        <v>0.1111111111111111</v>
      </c>
      <c r="AJ67" s="60"/>
      <c r="AK67" s="60">
        <v>3</v>
      </c>
      <c r="AL67" s="60"/>
      <c r="AM67" s="60">
        <v>3</v>
      </c>
      <c r="AN67" s="60"/>
      <c r="AO67" s="60">
        <f>1/5</f>
        <v>0.2</v>
      </c>
      <c r="AP67" s="60"/>
      <c r="AW67" s="80" t="s">
        <v>11</v>
      </c>
      <c r="AX67" s="80"/>
      <c r="AY67" s="80"/>
      <c r="AZ67" s="3"/>
      <c r="BA67" s="2"/>
      <c r="BB67" s="2"/>
      <c r="BC67" s="2"/>
      <c r="BD67" s="5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81" t="s">
        <v>30</v>
      </c>
      <c r="BR67" s="82"/>
      <c r="BS67" s="83"/>
      <c r="BV67" s="60" t="s">
        <v>27</v>
      </c>
      <c r="BW67" s="60"/>
      <c r="BX67" s="60">
        <f>1/5</f>
        <v>0.2</v>
      </c>
      <c r="BY67" s="60"/>
      <c r="BZ67" s="60">
        <f>1/9</f>
        <v>0.1111111111111111</v>
      </c>
      <c r="CA67" s="60"/>
      <c r="CB67" s="62">
        <v>1</v>
      </c>
      <c r="CC67" s="62"/>
      <c r="CD67" s="60">
        <v>9</v>
      </c>
      <c r="CE67" s="60"/>
      <c r="CF67" s="60">
        <f>1/7</f>
        <v>0.14285714285714285</v>
      </c>
      <c r="CG67" s="60"/>
      <c r="CH67" s="60">
        <f>1/5</f>
        <v>0.2</v>
      </c>
      <c r="CI67" s="60"/>
      <c r="CJ67" s="60">
        <v>3</v>
      </c>
      <c r="CK67" s="60"/>
    </row>
    <row r="68" spans="2:89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6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V68" s="60"/>
      <c r="BW68" s="60"/>
      <c r="BX68" s="60"/>
      <c r="BY68" s="60"/>
      <c r="BZ68" s="60"/>
      <c r="CA68" s="60"/>
      <c r="CB68" s="62"/>
      <c r="CC68" s="62"/>
      <c r="CD68" s="60"/>
      <c r="CE68" s="60"/>
      <c r="CF68" s="60"/>
      <c r="CG68" s="60"/>
      <c r="CH68" s="60"/>
      <c r="CI68" s="60"/>
      <c r="CJ68" s="60"/>
      <c r="CK68" s="60"/>
    </row>
    <row r="69" spans="2:89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v>7</v>
      </c>
      <c r="AD69" s="60"/>
      <c r="AE69" s="60">
        <v>5</v>
      </c>
      <c r="AF69" s="60"/>
      <c r="AG69" s="60">
        <v>9</v>
      </c>
      <c r="AH69" s="60"/>
      <c r="AI69" s="62">
        <v>1</v>
      </c>
      <c r="AJ69" s="62"/>
      <c r="AK69" s="60">
        <v>3</v>
      </c>
      <c r="AL69" s="60"/>
      <c r="AM69" s="60">
        <f>1/3</f>
        <v>0.33333333333333331</v>
      </c>
      <c r="AN69" s="60"/>
      <c r="AO69" s="60">
        <v>3</v>
      </c>
      <c r="AP69" s="60"/>
      <c r="AW69" s="79" t="s">
        <v>2</v>
      </c>
      <c r="AX69" s="79"/>
      <c r="AY69" s="79"/>
      <c r="AZ69" s="2">
        <v>9</v>
      </c>
      <c r="BA69" s="2">
        <v>8</v>
      </c>
      <c r="BB69" s="2">
        <v>7</v>
      </c>
      <c r="BC69" s="2">
        <v>6</v>
      </c>
      <c r="BD69" s="2">
        <v>5</v>
      </c>
      <c r="BE69" s="2">
        <v>4</v>
      </c>
      <c r="BF69" s="2">
        <v>3</v>
      </c>
      <c r="BG69" s="2">
        <v>2</v>
      </c>
      <c r="BH69" s="2">
        <v>1</v>
      </c>
      <c r="BI69" s="2">
        <v>2</v>
      </c>
      <c r="BJ69" s="2">
        <v>3</v>
      </c>
      <c r="BK69" s="2">
        <v>4</v>
      </c>
      <c r="BL69" s="2">
        <v>5</v>
      </c>
      <c r="BM69" s="2">
        <v>6</v>
      </c>
      <c r="BN69" s="2">
        <v>7</v>
      </c>
      <c r="BO69" s="2">
        <v>8</v>
      </c>
      <c r="BP69" s="2">
        <v>9</v>
      </c>
      <c r="BQ69" s="79" t="s">
        <v>3</v>
      </c>
      <c r="BR69" s="79"/>
      <c r="BS69" s="79"/>
      <c r="BV69" s="60" t="s">
        <v>87</v>
      </c>
      <c r="BW69" s="60"/>
      <c r="BX69" s="60">
        <v>7</v>
      </c>
      <c r="BY69" s="60"/>
      <c r="BZ69" s="60">
        <f>1/7</f>
        <v>0.14285714285714285</v>
      </c>
      <c r="CA69" s="60"/>
      <c r="CB69" s="60">
        <f>1/9</f>
        <v>0.1111111111111111</v>
      </c>
      <c r="CC69" s="60"/>
      <c r="CD69" s="62">
        <v>1</v>
      </c>
      <c r="CE69" s="62"/>
      <c r="CF69" s="60">
        <v>7</v>
      </c>
      <c r="CG69" s="60"/>
      <c r="CH69" s="60">
        <f>1/7</f>
        <v>0.14285714285714285</v>
      </c>
      <c r="CI69" s="60"/>
      <c r="CJ69" s="60">
        <v>9</v>
      </c>
      <c r="CK69" s="60"/>
    </row>
    <row r="70" spans="2:89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60"/>
      <c r="AW70" s="80" t="s">
        <v>81</v>
      </c>
      <c r="AX70" s="80"/>
      <c r="AY70" s="80"/>
      <c r="AZ70" s="2"/>
      <c r="BA70" s="2"/>
      <c r="BB70" s="2"/>
      <c r="BC70" s="2"/>
      <c r="BD70" s="2"/>
      <c r="BE70" s="2"/>
      <c r="BF70" s="4"/>
      <c r="BG70" s="2"/>
      <c r="BH70" s="2"/>
      <c r="BI70" s="2"/>
      <c r="BJ70" s="4"/>
      <c r="BK70" s="2"/>
      <c r="BL70" s="2"/>
      <c r="BM70" s="2"/>
      <c r="BN70" s="2"/>
      <c r="BO70" s="2"/>
      <c r="BP70" s="10"/>
      <c r="BQ70" s="81" t="s">
        <v>27</v>
      </c>
      <c r="BR70" s="82"/>
      <c r="BS70" s="83"/>
      <c r="BV70" s="60"/>
      <c r="BW70" s="60"/>
      <c r="BX70" s="60"/>
      <c r="BY70" s="60"/>
      <c r="BZ70" s="60"/>
      <c r="CA70" s="60"/>
      <c r="CB70" s="60"/>
      <c r="CC70" s="60"/>
      <c r="CD70" s="62"/>
      <c r="CE70" s="62"/>
      <c r="CF70" s="60"/>
      <c r="CG70" s="60"/>
      <c r="CH70" s="60"/>
      <c r="CI70" s="60"/>
      <c r="CJ70" s="60"/>
      <c r="CK70" s="60"/>
    </row>
    <row r="71" spans="2:89" x14ac:dyDescent="0.35">
      <c r="B71" s="80" t="s">
        <v>81</v>
      </c>
      <c r="C71" s="80"/>
      <c r="D71" s="80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1/7</f>
        <v>0.14285714285714285</v>
      </c>
      <c r="AF71" s="60"/>
      <c r="AG71" s="60">
        <f>1/3</f>
        <v>0.33333333333333331</v>
      </c>
      <c r="AH71" s="60"/>
      <c r="AI71" s="60">
        <f>1/3</f>
        <v>0.33333333333333331</v>
      </c>
      <c r="AJ71" s="60"/>
      <c r="AK71" s="62">
        <v>1</v>
      </c>
      <c r="AL71" s="62"/>
      <c r="AM71" s="60">
        <f>1/5</f>
        <v>0.2</v>
      </c>
      <c r="AN71" s="60"/>
      <c r="AO71" s="60">
        <v>3</v>
      </c>
      <c r="AP71" s="60"/>
      <c r="AW71" s="80" t="s">
        <v>81</v>
      </c>
      <c r="AX71" s="80"/>
      <c r="AY71" s="80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5"/>
      <c r="BM71" s="2"/>
      <c r="BN71" s="3"/>
      <c r="BO71" s="2"/>
      <c r="BP71" s="2"/>
      <c r="BQ71" s="81" t="s">
        <v>28</v>
      </c>
      <c r="BR71" s="82"/>
      <c r="BS71" s="83"/>
      <c r="BV71" s="60" t="s">
        <v>88</v>
      </c>
      <c r="BW71" s="60"/>
      <c r="BX71" s="60">
        <f>1/5</f>
        <v>0.2</v>
      </c>
      <c r="BY71" s="60"/>
      <c r="BZ71" s="60">
        <f>1/7</f>
        <v>0.14285714285714285</v>
      </c>
      <c r="CA71" s="60"/>
      <c r="CB71" s="60">
        <v>7</v>
      </c>
      <c r="CC71" s="60"/>
      <c r="CD71" s="60">
        <f>1/7</f>
        <v>0.14285714285714285</v>
      </c>
      <c r="CE71" s="60"/>
      <c r="CF71" s="62">
        <v>1</v>
      </c>
      <c r="CG71" s="62"/>
      <c r="CH71" s="60">
        <f>1/5</f>
        <v>0.2</v>
      </c>
      <c r="CI71" s="60"/>
      <c r="CJ71" s="60">
        <v>3</v>
      </c>
      <c r="CK71" s="60"/>
    </row>
    <row r="72" spans="2:89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2"/>
      <c r="U72" s="2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60"/>
      <c r="AW72" s="80" t="s">
        <v>81</v>
      </c>
      <c r="AX72" s="80"/>
      <c r="AY72" s="80"/>
      <c r="AZ72" s="2"/>
      <c r="BA72" s="2"/>
      <c r="BB72" s="5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3"/>
      <c r="BO72" s="2"/>
      <c r="BP72" s="2"/>
      <c r="BQ72" s="81" t="s">
        <v>29</v>
      </c>
      <c r="BR72" s="82"/>
      <c r="BS72" s="83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2"/>
      <c r="CG72" s="62"/>
      <c r="CH72" s="60"/>
      <c r="CI72" s="60"/>
      <c r="CJ72" s="60"/>
      <c r="CK72" s="60"/>
    </row>
    <row r="73" spans="2:89" x14ac:dyDescent="0.35">
      <c r="B73" s="80" t="s">
        <v>81</v>
      </c>
      <c r="C73" s="80"/>
      <c r="D73" s="80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f>1/3</f>
        <v>0.33333333333333331</v>
      </c>
      <c r="AD73" s="60"/>
      <c r="AE73" s="60">
        <f>1/3</f>
        <v>0.33333333333333331</v>
      </c>
      <c r="AF73" s="60"/>
      <c r="AG73" s="60">
        <f>1/3</f>
        <v>0.33333333333333331</v>
      </c>
      <c r="AH73" s="60"/>
      <c r="AI73" s="60">
        <v>3</v>
      </c>
      <c r="AJ73" s="60"/>
      <c r="AK73" s="60">
        <v>5</v>
      </c>
      <c r="AL73" s="60"/>
      <c r="AM73" s="62">
        <v>1</v>
      </c>
      <c r="AN73" s="62"/>
      <c r="AO73" s="60">
        <v>5</v>
      </c>
      <c r="AP73" s="60"/>
      <c r="AW73" s="80" t="s">
        <v>81</v>
      </c>
      <c r="AX73" s="80"/>
      <c r="AY73" s="80"/>
      <c r="AZ73" s="5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3"/>
      <c r="BM73" s="2"/>
      <c r="BN73" s="2"/>
      <c r="BO73" s="2"/>
      <c r="BP73" s="2"/>
      <c r="BQ73" s="81" t="s">
        <v>82</v>
      </c>
      <c r="BR73" s="82"/>
      <c r="BS73" s="83"/>
      <c r="BV73" s="60" t="s">
        <v>89</v>
      </c>
      <c r="BW73" s="60"/>
      <c r="BX73" s="60">
        <f>1/3</f>
        <v>0.33333333333333331</v>
      </c>
      <c r="BY73" s="60"/>
      <c r="BZ73" s="60">
        <f>1/5</f>
        <v>0.2</v>
      </c>
      <c r="CA73" s="60"/>
      <c r="CB73" s="60">
        <v>5</v>
      </c>
      <c r="CC73" s="60"/>
      <c r="CD73" s="60">
        <v>7</v>
      </c>
      <c r="CE73" s="60"/>
      <c r="CF73" s="60">
        <v>5</v>
      </c>
      <c r="CG73" s="60"/>
      <c r="CH73" s="62">
        <v>1</v>
      </c>
      <c r="CI73" s="62"/>
      <c r="CJ73" s="60">
        <v>5</v>
      </c>
      <c r="CK73" s="60"/>
    </row>
    <row r="74" spans="2:89" x14ac:dyDescent="0.35">
      <c r="B74" s="80" t="s">
        <v>81</v>
      </c>
      <c r="C74" s="80"/>
      <c r="D74" s="80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60"/>
      <c r="AW74" s="80" t="s">
        <v>81</v>
      </c>
      <c r="AX74" s="80"/>
      <c r="AY74" s="80"/>
      <c r="AZ74" s="33"/>
      <c r="BA74" s="33"/>
      <c r="BB74" s="34"/>
      <c r="BC74" s="33"/>
      <c r="BD74" s="33"/>
      <c r="BE74" s="33"/>
      <c r="BF74" s="33"/>
      <c r="BG74" s="33"/>
      <c r="BH74" s="33"/>
      <c r="BI74" s="33"/>
      <c r="BJ74" s="35"/>
      <c r="BK74" s="33"/>
      <c r="BL74" s="33"/>
      <c r="BM74" s="33"/>
      <c r="BN74" s="33"/>
      <c r="BO74" s="33"/>
      <c r="BP74" s="33"/>
      <c r="BQ74" s="81" t="s">
        <v>30</v>
      </c>
      <c r="BR74" s="82"/>
      <c r="BS74" s="83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2"/>
      <c r="CI74" s="62"/>
      <c r="CJ74" s="60"/>
      <c r="CK74" s="60"/>
    </row>
    <row r="75" spans="2:89" x14ac:dyDescent="0.35">
      <c r="AA75" s="60" t="s">
        <v>91</v>
      </c>
      <c r="AB75" s="60"/>
      <c r="AC75" s="60">
        <v>5</v>
      </c>
      <c r="AD75" s="60"/>
      <c r="AE75" s="60">
        <v>3</v>
      </c>
      <c r="AF75" s="60"/>
      <c r="AG75" s="60">
        <v>5</v>
      </c>
      <c r="AH75" s="60"/>
      <c r="AI75" s="60">
        <f>1/3</f>
        <v>0.33333333333333331</v>
      </c>
      <c r="AJ75" s="60"/>
      <c r="AK75" s="60">
        <f>1/3</f>
        <v>0.33333333333333331</v>
      </c>
      <c r="AL75" s="60"/>
      <c r="AM75" s="60">
        <f>1/5</f>
        <v>0.2</v>
      </c>
      <c r="AN75" s="60"/>
      <c r="AO75" s="62">
        <v>1</v>
      </c>
      <c r="AP75" s="62"/>
      <c r="AZ75" s="37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37"/>
      <c r="BM75" s="9"/>
      <c r="BN75" s="9"/>
      <c r="BO75" s="9"/>
      <c r="BP75" s="9"/>
      <c r="BV75" s="60" t="s">
        <v>91</v>
      </c>
      <c r="BW75" s="60"/>
      <c r="BX75" s="60">
        <v>9</v>
      </c>
      <c r="BY75" s="60"/>
      <c r="BZ75" s="60">
        <v>7</v>
      </c>
      <c r="CA75" s="60"/>
      <c r="CB75" s="60">
        <f>1/3</f>
        <v>0.33333333333333331</v>
      </c>
      <c r="CC75" s="60"/>
      <c r="CD75" s="60">
        <f>1/9</f>
        <v>0.1111111111111111</v>
      </c>
      <c r="CE75" s="60"/>
      <c r="CF75" s="60">
        <f>1/3</f>
        <v>0.33333333333333331</v>
      </c>
      <c r="CG75" s="60"/>
      <c r="CH75" s="60">
        <f>1/5</f>
        <v>0.2</v>
      </c>
      <c r="CI75" s="60"/>
      <c r="CJ75" s="62">
        <v>1</v>
      </c>
      <c r="CK75" s="62"/>
    </row>
    <row r="76" spans="2:89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2"/>
      <c r="AP76" s="62"/>
      <c r="AW76" s="79" t="s">
        <v>2</v>
      </c>
      <c r="AX76" s="79"/>
      <c r="AY76" s="79"/>
      <c r="AZ76" s="36">
        <v>9</v>
      </c>
      <c r="BA76" s="36">
        <v>8</v>
      </c>
      <c r="BB76" s="36">
        <v>7</v>
      </c>
      <c r="BC76" s="36">
        <v>6</v>
      </c>
      <c r="BD76" s="36">
        <v>5</v>
      </c>
      <c r="BE76" s="36">
        <v>4</v>
      </c>
      <c r="BF76" s="36">
        <v>3</v>
      </c>
      <c r="BG76" s="36">
        <v>2</v>
      </c>
      <c r="BH76" s="36">
        <v>1</v>
      </c>
      <c r="BI76" s="36">
        <v>2</v>
      </c>
      <c r="BJ76" s="36">
        <v>3</v>
      </c>
      <c r="BK76" s="36">
        <v>4</v>
      </c>
      <c r="BL76" s="36">
        <v>5</v>
      </c>
      <c r="BM76" s="36">
        <v>6</v>
      </c>
      <c r="BN76" s="36">
        <v>7</v>
      </c>
      <c r="BO76" s="36">
        <v>8</v>
      </c>
      <c r="BP76" s="36">
        <v>9</v>
      </c>
      <c r="BQ76" s="79" t="s">
        <v>3</v>
      </c>
      <c r="BR76" s="79"/>
      <c r="BS76" s="79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2"/>
      <c r="CK76" s="62"/>
    </row>
    <row r="77" spans="2:89" x14ac:dyDescent="0.35">
      <c r="B77" s="81" t="s">
        <v>27</v>
      </c>
      <c r="C77" s="82"/>
      <c r="D77" s="8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W77" s="81" t="s">
        <v>27</v>
      </c>
      <c r="AX77" s="82"/>
      <c r="AY77" s="83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5"/>
      <c r="BK77" s="2"/>
      <c r="BL77" s="2"/>
      <c r="BM77" s="2"/>
      <c r="BN77" s="2"/>
      <c r="BO77" s="2"/>
      <c r="BP77" s="3"/>
      <c r="BQ77" s="81" t="s">
        <v>28</v>
      </c>
      <c r="BR77" s="82"/>
      <c r="BS77" s="83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</row>
    <row r="78" spans="2:89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5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W78" s="81" t="s">
        <v>27</v>
      </c>
      <c r="AX78" s="82"/>
      <c r="AY78" s="83"/>
      <c r="AZ78" s="2"/>
      <c r="BA78" s="2"/>
      <c r="BB78" s="3"/>
      <c r="BC78" s="2"/>
      <c r="BD78" s="2"/>
      <c r="BE78" s="2"/>
      <c r="BF78" s="2"/>
      <c r="BG78" s="2"/>
      <c r="BH78" s="2"/>
      <c r="BI78" s="2"/>
      <c r="BJ78" s="2"/>
      <c r="BK78" s="5"/>
      <c r="BL78" s="5"/>
      <c r="BM78" s="2"/>
      <c r="BN78" s="2"/>
      <c r="BO78" s="2"/>
      <c r="BP78" s="2"/>
      <c r="BQ78" s="81" t="s">
        <v>29</v>
      </c>
      <c r="BR78" s="82"/>
      <c r="BS78" s="83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</row>
    <row r="79" spans="2:89" x14ac:dyDescent="0.35">
      <c r="B79" s="81" t="s">
        <v>27</v>
      </c>
      <c r="C79" s="82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81" t="s">
        <v>82</v>
      </c>
      <c r="W79" s="82"/>
      <c r="X79" s="83"/>
      <c r="AW79" s="81" t="s">
        <v>27</v>
      </c>
      <c r="AX79" s="82"/>
      <c r="AY79" s="83"/>
      <c r="AZ79" s="2"/>
      <c r="BA79" s="2"/>
      <c r="BB79" s="2"/>
      <c r="BC79" s="2"/>
      <c r="BD79" s="3"/>
      <c r="BE79" s="2"/>
      <c r="BF79" s="2"/>
      <c r="BG79" s="2"/>
      <c r="BH79" s="2"/>
      <c r="BI79" s="2"/>
      <c r="BJ79" s="5"/>
      <c r="BK79" s="2"/>
      <c r="BL79" s="2"/>
      <c r="BM79" s="2"/>
      <c r="BN79" s="5"/>
      <c r="BO79" s="2"/>
      <c r="BP79" s="2"/>
      <c r="BQ79" s="81" t="s">
        <v>82</v>
      </c>
      <c r="BR79" s="82"/>
      <c r="BS79" s="83"/>
    </row>
    <row r="80" spans="2:89" x14ac:dyDescent="0.35">
      <c r="B80" s="81" t="s">
        <v>27</v>
      </c>
      <c r="C80" s="82"/>
      <c r="D80" s="83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81" t="s">
        <v>30</v>
      </c>
      <c r="W80" s="82"/>
      <c r="X80" s="83"/>
      <c r="AW80" s="81" t="s">
        <v>27</v>
      </c>
      <c r="AX80" s="82"/>
      <c r="AY80" s="83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3"/>
      <c r="BK80" s="2"/>
      <c r="BL80" s="5"/>
      <c r="BM80" s="2"/>
      <c r="BN80" s="2"/>
      <c r="BO80" s="2"/>
      <c r="BP80" s="5"/>
      <c r="BQ80" s="81" t="s">
        <v>30</v>
      </c>
      <c r="BR80" s="82"/>
      <c r="BS80" s="83"/>
    </row>
    <row r="82" spans="2:71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  <c r="AW82" s="79" t="s">
        <v>2</v>
      </c>
      <c r="AX82" s="79"/>
      <c r="AY82" s="79"/>
      <c r="AZ82" s="2">
        <v>9</v>
      </c>
      <c r="BA82" s="2">
        <v>8</v>
      </c>
      <c r="BB82" s="2">
        <v>7</v>
      </c>
      <c r="BC82" s="2">
        <v>6</v>
      </c>
      <c r="BD82" s="2">
        <v>5</v>
      </c>
      <c r="BE82" s="2">
        <v>4</v>
      </c>
      <c r="BF82" s="2">
        <v>3</v>
      </c>
      <c r="BG82" s="2">
        <v>2</v>
      </c>
      <c r="BH82" s="2">
        <v>1</v>
      </c>
      <c r="BI82" s="2">
        <v>2</v>
      </c>
      <c r="BJ82" s="2">
        <v>3</v>
      </c>
      <c r="BK82" s="2">
        <v>4</v>
      </c>
      <c r="BL82" s="2">
        <v>5</v>
      </c>
      <c r="BM82" s="2">
        <v>6</v>
      </c>
      <c r="BN82" s="2">
        <v>7</v>
      </c>
      <c r="BO82" s="2">
        <v>8</v>
      </c>
      <c r="BP82" s="2">
        <v>9</v>
      </c>
      <c r="BQ82" s="79" t="s">
        <v>3</v>
      </c>
      <c r="BR82" s="79"/>
      <c r="BS82" s="79"/>
    </row>
    <row r="83" spans="2:71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81" t="s">
        <v>29</v>
      </c>
      <c r="W83" s="82"/>
      <c r="X83" s="83"/>
      <c r="AW83" s="81" t="s">
        <v>28</v>
      </c>
      <c r="AX83" s="82"/>
      <c r="AY83" s="83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5"/>
      <c r="BK83" s="2"/>
      <c r="BL83" s="2"/>
      <c r="BM83" s="2"/>
      <c r="BN83" s="3"/>
      <c r="BO83" s="2"/>
      <c r="BP83" s="2"/>
      <c r="BQ83" s="81" t="s">
        <v>29</v>
      </c>
      <c r="BR83" s="82"/>
      <c r="BS83" s="83"/>
    </row>
    <row r="84" spans="2:71" x14ac:dyDescent="0.35">
      <c r="B84" s="81" t="s">
        <v>28</v>
      </c>
      <c r="C84" s="82"/>
      <c r="D84" s="83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81" t="s">
        <v>82</v>
      </c>
      <c r="W84" s="82"/>
      <c r="X84" s="83"/>
      <c r="AW84" s="81" t="s">
        <v>28</v>
      </c>
      <c r="AX84" s="82"/>
      <c r="AY84" s="83"/>
      <c r="AZ84" s="2"/>
      <c r="BA84" s="2"/>
      <c r="BB84" s="3"/>
      <c r="BC84" s="2"/>
      <c r="BD84" s="2"/>
      <c r="BE84" s="2"/>
      <c r="BF84" s="5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81" t="s">
        <v>82</v>
      </c>
      <c r="BR84" s="82"/>
      <c r="BS84" s="83"/>
    </row>
    <row r="85" spans="2:71" x14ac:dyDescent="0.35">
      <c r="B85" s="81" t="s">
        <v>28</v>
      </c>
      <c r="C85" s="82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81" t="s">
        <v>30</v>
      </c>
      <c r="W85" s="82"/>
      <c r="X85" s="83"/>
      <c r="AW85" s="81" t="s">
        <v>28</v>
      </c>
      <c r="AX85" s="82"/>
      <c r="AY85" s="83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5"/>
      <c r="BK85" s="2"/>
      <c r="BL85" s="2"/>
      <c r="BM85" s="2"/>
      <c r="BN85" s="2"/>
      <c r="BO85" s="3"/>
      <c r="BP85" s="2"/>
      <c r="BQ85" s="81" t="s">
        <v>30</v>
      </c>
      <c r="BR85" s="82"/>
      <c r="BS85" s="83"/>
    </row>
    <row r="87" spans="2:71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  <c r="AW87" s="79" t="s">
        <v>2</v>
      </c>
      <c r="AX87" s="79"/>
      <c r="AY87" s="79"/>
      <c r="AZ87" s="2">
        <v>9</v>
      </c>
      <c r="BA87" s="2">
        <v>8</v>
      </c>
      <c r="BB87" s="2">
        <v>7</v>
      </c>
      <c r="BC87" s="2">
        <v>6</v>
      </c>
      <c r="BD87" s="2">
        <v>5</v>
      </c>
      <c r="BE87" s="2">
        <v>4</v>
      </c>
      <c r="BF87" s="2">
        <v>3</v>
      </c>
      <c r="BG87" s="2">
        <v>2</v>
      </c>
      <c r="BH87" s="2">
        <v>1</v>
      </c>
      <c r="BI87" s="2">
        <v>2</v>
      </c>
      <c r="BJ87" s="2">
        <v>3</v>
      </c>
      <c r="BK87" s="2">
        <v>4</v>
      </c>
      <c r="BL87" s="2">
        <v>5</v>
      </c>
      <c r="BM87" s="2">
        <v>6</v>
      </c>
      <c r="BN87" s="2">
        <v>7</v>
      </c>
      <c r="BO87" s="2">
        <v>8</v>
      </c>
      <c r="BP87" s="2">
        <v>9</v>
      </c>
      <c r="BQ87" s="79" t="s">
        <v>3</v>
      </c>
      <c r="BR87" s="79"/>
      <c r="BS87" s="79"/>
    </row>
    <row r="88" spans="2:71" x14ac:dyDescent="0.35">
      <c r="B88" s="81" t="s">
        <v>29</v>
      </c>
      <c r="C88" s="82"/>
      <c r="D88" s="83"/>
      <c r="E88" s="2"/>
      <c r="F88" s="2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1" t="s">
        <v>82</v>
      </c>
      <c r="W88" s="82"/>
      <c r="X88" s="83"/>
      <c r="AW88" s="81" t="s">
        <v>29</v>
      </c>
      <c r="AX88" s="82"/>
      <c r="AY88" s="83"/>
      <c r="AZ88" s="2"/>
      <c r="BA88" s="2"/>
      <c r="BB88" s="5"/>
      <c r="BC88" s="2"/>
      <c r="BD88" s="3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81" t="s">
        <v>82</v>
      </c>
      <c r="BR88" s="82"/>
      <c r="BS88" s="83"/>
    </row>
    <row r="89" spans="2:71" x14ac:dyDescent="0.35">
      <c r="B89" s="81" t="s">
        <v>29</v>
      </c>
      <c r="C89" s="82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  <c r="V89" s="81" t="s">
        <v>30</v>
      </c>
      <c r="W89" s="82"/>
      <c r="X89" s="83"/>
      <c r="AW89" s="81" t="s">
        <v>29</v>
      </c>
      <c r="AX89" s="82"/>
      <c r="AY89" s="83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3"/>
      <c r="BK89" s="2"/>
      <c r="BL89" s="2"/>
      <c r="BM89" s="2"/>
      <c r="BN89" s="2"/>
      <c r="BO89" s="2"/>
      <c r="BP89" s="2"/>
      <c r="BQ89" s="81" t="s">
        <v>30</v>
      </c>
      <c r="BR89" s="82"/>
      <c r="BS89" s="83"/>
    </row>
    <row r="91" spans="2:71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  <c r="AW91" s="79" t="s">
        <v>2</v>
      </c>
      <c r="AX91" s="79"/>
      <c r="AY91" s="79"/>
      <c r="AZ91" s="2">
        <v>9</v>
      </c>
      <c r="BA91" s="2">
        <v>8</v>
      </c>
      <c r="BB91" s="2">
        <v>7</v>
      </c>
      <c r="BC91" s="2">
        <v>6</v>
      </c>
      <c r="BD91" s="2">
        <v>5</v>
      </c>
      <c r="BE91" s="2">
        <v>4</v>
      </c>
      <c r="BF91" s="2">
        <v>3</v>
      </c>
      <c r="BG91" s="2">
        <v>2</v>
      </c>
      <c r="BH91" s="2">
        <v>1</v>
      </c>
      <c r="BI91" s="2">
        <v>2</v>
      </c>
      <c r="BJ91" s="2">
        <v>3</v>
      </c>
      <c r="BK91" s="2">
        <v>4</v>
      </c>
      <c r="BL91" s="2">
        <v>5</v>
      </c>
      <c r="BM91" s="2">
        <v>6</v>
      </c>
      <c r="BN91" s="2">
        <v>7</v>
      </c>
      <c r="BO91" s="2">
        <v>8</v>
      </c>
      <c r="BP91" s="2">
        <v>9</v>
      </c>
      <c r="BQ91" s="79" t="s">
        <v>3</v>
      </c>
      <c r="BR91" s="79"/>
      <c r="BS91" s="79"/>
    </row>
    <row r="92" spans="2:71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81" t="s">
        <v>30</v>
      </c>
      <c r="W92" s="82"/>
      <c r="X92" s="83"/>
      <c r="AW92" s="81" t="s">
        <v>82</v>
      </c>
      <c r="AX92" s="82"/>
      <c r="AY92" s="83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3"/>
      <c r="BM92" s="2"/>
      <c r="BN92" s="2"/>
      <c r="BO92" s="2"/>
      <c r="BP92" s="2"/>
      <c r="BQ92" s="81" t="s">
        <v>30</v>
      </c>
      <c r="BR92" s="82"/>
      <c r="BS92" s="83"/>
    </row>
    <row r="95" spans="2:71" x14ac:dyDescent="0.35">
      <c r="B95" s="84" t="s">
        <v>12</v>
      </c>
      <c r="C95" s="84"/>
      <c r="D95" s="84"/>
      <c r="AW95" s="84" t="s">
        <v>12</v>
      </c>
      <c r="AX95" s="84"/>
      <c r="AY95" s="84"/>
    </row>
    <row r="96" spans="2:71" x14ac:dyDescent="0.35">
      <c r="B96" s="7"/>
      <c r="C96" s="7"/>
      <c r="D96" s="7"/>
      <c r="AW96" s="7"/>
      <c r="AX96" s="7"/>
      <c r="AY96" s="7"/>
    </row>
    <row r="97" spans="2:91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  <c r="AW97" s="79" t="s">
        <v>2</v>
      </c>
      <c r="AX97" s="79"/>
      <c r="AY97" s="79"/>
      <c r="AZ97" s="2">
        <v>9</v>
      </c>
      <c r="BA97" s="2">
        <v>8</v>
      </c>
      <c r="BB97" s="2">
        <v>7</v>
      </c>
      <c r="BC97" s="2">
        <v>6</v>
      </c>
      <c r="BD97" s="2">
        <v>5</v>
      </c>
      <c r="BE97" s="2">
        <v>4</v>
      </c>
      <c r="BF97" s="2">
        <v>3</v>
      </c>
      <c r="BG97" s="2">
        <v>2</v>
      </c>
      <c r="BH97" s="2">
        <v>1</v>
      </c>
      <c r="BI97" s="2">
        <v>2</v>
      </c>
      <c r="BJ97" s="2">
        <v>3</v>
      </c>
      <c r="BK97" s="2">
        <v>4</v>
      </c>
      <c r="BL97" s="2">
        <v>5</v>
      </c>
      <c r="BM97" s="2">
        <v>6</v>
      </c>
      <c r="BN97" s="2">
        <v>7</v>
      </c>
      <c r="BO97" s="2">
        <v>8</v>
      </c>
      <c r="BP97" s="2">
        <v>9</v>
      </c>
      <c r="BQ97" s="79" t="s">
        <v>3</v>
      </c>
      <c r="BR97" s="79"/>
      <c r="BS97" s="79"/>
      <c r="BV97" s="60"/>
      <c r="BW97" s="60"/>
      <c r="BX97" s="60" t="s">
        <v>13</v>
      </c>
      <c r="BY97" s="60"/>
      <c r="BZ97" s="60" t="s">
        <v>14</v>
      </c>
      <c r="CA97" s="60"/>
      <c r="CB97" s="60" t="s">
        <v>15</v>
      </c>
      <c r="CC97" s="60"/>
    </row>
    <row r="98" spans="2:91" x14ac:dyDescent="0.35">
      <c r="B98" s="80" t="s">
        <v>13</v>
      </c>
      <c r="C98" s="80"/>
      <c r="D98" s="80"/>
      <c r="E98" s="2"/>
      <c r="F98" s="2"/>
      <c r="G98" s="5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  <c r="AW98" s="80" t="s">
        <v>13</v>
      </c>
      <c r="AX98" s="80"/>
      <c r="AY98" s="80"/>
      <c r="AZ98" s="2"/>
      <c r="BA98" s="2"/>
      <c r="BB98" s="5"/>
      <c r="BC98" s="2"/>
      <c r="BD98" s="3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80" t="s">
        <v>14</v>
      </c>
      <c r="BR98" s="80"/>
      <c r="BS98" s="80"/>
      <c r="BV98" s="60"/>
      <c r="BW98" s="60"/>
      <c r="BX98" s="60"/>
      <c r="BY98" s="60"/>
      <c r="BZ98" s="60"/>
      <c r="CA98" s="60"/>
      <c r="CB98" s="60"/>
      <c r="CC98" s="60"/>
    </row>
    <row r="99" spans="2:91" x14ac:dyDescent="0.35">
      <c r="B99" s="80" t="s">
        <v>13</v>
      </c>
      <c r="C99" s="80"/>
      <c r="D99" s="80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f>1/5</f>
        <v>0.2</v>
      </c>
      <c r="AF99" s="60"/>
      <c r="AG99" s="63">
        <f>1/3</f>
        <v>0.33333333333333331</v>
      </c>
      <c r="AH99" s="64"/>
      <c r="AW99" s="80" t="s">
        <v>13</v>
      </c>
      <c r="AX99" s="80"/>
      <c r="AY99" s="80"/>
      <c r="AZ99" s="2"/>
      <c r="BA99" s="2"/>
      <c r="BB99" s="2"/>
      <c r="BC99" s="2"/>
      <c r="BD99" s="2"/>
      <c r="BE99" s="2"/>
      <c r="BF99" s="5"/>
      <c r="BG99" s="2"/>
      <c r="BH99" s="2"/>
      <c r="BI99" s="2"/>
      <c r="BJ99" s="2"/>
      <c r="BK99" s="2"/>
      <c r="BL99" s="2"/>
      <c r="BM99" s="2"/>
      <c r="BN99" s="3"/>
      <c r="BO99" s="2"/>
      <c r="BP99" s="2"/>
      <c r="BQ99" s="80" t="s">
        <v>15</v>
      </c>
      <c r="BR99" s="80"/>
      <c r="BS99" s="80"/>
      <c r="BV99" s="60" t="s">
        <v>13</v>
      </c>
      <c r="BW99" s="60"/>
      <c r="BX99" s="62">
        <v>1</v>
      </c>
      <c r="BY99" s="62"/>
      <c r="BZ99" s="60">
        <f>1/5</f>
        <v>0.2</v>
      </c>
      <c r="CA99" s="60"/>
      <c r="CB99" s="63">
        <v>7</v>
      </c>
      <c r="CC99" s="64"/>
    </row>
    <row r="100" spans="2:91" x14ac:dyDescent="0.35">
      <c r="AA100" s="60"/>
      <c r="AB100" s="60"/>
      <c r="AC100" s="62"/>
      <c r="AD100" s="62"/>
      <c r="AE100" s="60"/>
      <c r="AF100" s="60"/>
      <c r="AG100" s="65"/>
      <c r="AH100" s="66"/>
      <c r="BV100" s="60"/>
      <c r="BW100" s="60"/>
      <c r="BX100" s="62"/>
      <c r="BY100" s="62"/>
      <c r="BZ100" s="60"/>
      <c r="CA100" s="60"/>
      <c r="CB100" s="65"/>
      <c r="CC100" s="66"/>
    </row>
    <row r="101" spans="2:91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v>5</v>
      </c>
      <c r="AD101" s="60"/>
      <c r="AE101" s="62">
        <v>1</v>
      </c>
      <c r="AF101" s="62"/>
      <c r="AG101" s="60">
        <f>1/3</f>
        <v>0.33333333333333331</v>
      </c>
      <c r="AH101" s="60"/>
      <c r="AW101" s="79" t="s">
        <v>2</v>
      </c>
      <c r="AX101" s="79"/>
      <c r="AY101" s="79"/>
      <c r="AZ101" s="2">
        <v>9</v>
      </c>
      <c r="BA101" s="2">
        <v>8</v>
      </c>
      <c r="BB101" s="2">
        <v>7</v>
      </c>
      <c r="BC101" s="2">
        <v>6</v>
      </c>
      <c r="BD101" s="2">
        <v>5</v>
      </c>
      <c r="BE101" s="2">
        <v>4</v>
      </c>
      <c r="BF101" s="2">
        <v>3</v>
      </c>
      <c r="BG101" s="2">
        <v>2</v>
      </c>
      <c r="BH101" s="2">
        <v>1</v>
      </c>
      <c r="BI101" s="2">
        <v>2</v>
      </c>
      <c r="BJ101" s="2">
        <v>3</v>
      </c>
      <c r="BK101" s="2">
        <v>4</v>
      </c>
      <c r="BL101" s="2">
        <v>5</v>
      </c>
      <c r="BM101" s="2">
        <v>6</v>
      </c>
      <c r="BN101" s="2">
        <v>7</v>
      </c>
      <c r="BO101" s="2">
        <v>8</v>
      </c>
      <c r="BP101" s="2">
        <v>9</v>
      </c>
      <c r="BQ101" s="79" t="s">
        <v>3</v>
      </c>
      <c r="BR101" s="79"/>
      <c r="BS101" s="79"/>
      <c r="BV101" s="60" t="s">
        <v>14</v>
      </c>
      <c r="BW101" s="60"/>
      <c r="BX101" s="60">
        <v>5</v>
      </c>
      <c r="BY101" s="60"/>
      <c r="BZ101" s="62">
        <v>1</v>
      </c>
      <c r="CA101" s="62"/>
      <c r="CB101" s="60">
        <f>1/3</f>
        <v>0.33333333333333331</v>
      </c>
      <c r="CC101" s="60"/>
    </row>
    <row r="102" spans="2:91" x14ac:dyDescent="0.35">
      <c r="B102" s="80" t="s">
        <v>14</v>
      </c>
      <c r="C102" s="80"/>
      <c r="D102" s="80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  <c r="AW102" s="80" t="s">
        <v>14</v>
      </c>
      <c r="AX102" s="80"/>
      <c r="AY102" s="80"/>
      <c r="AZ102" s="2"/>
      <c r="BA102" s="2"/>
      <c r="BB102" s="2"/>
      <c r="BC102" s="2"/>
      <c r="BD102" s="2"/>
      <c r="BE102" s="2"/>
      <c r="BF102" s="3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80" t="s">
        <v>15</v>
      </c>
      <c r="BR102" s="80"/>
      <c r="BS102" s="80"/>
      <c r="BV102" s="60"/>
      <c r="BW102" s="60"/>
      <c r="BX102" s="60"/>
      <c r="BY102" s="60"/>
      <c r="BZ102" s="62"/>
      <c r="CA102" s="62"/>
      <c r="CB102" s="60"/>
      <c r="CC102" s="60"/>
    </row>
    <row r="103" spans="2:91" x14ac:dyDescent="0.35">
      <c r="AA103" s="60" t="s">
        <v>15</v>
      </c>
      <c r="AB103" s="60"/>
      <c r="AC103" s="60">
        <v>3</v>
      </c>
      <c r="AD103" s="60"/>
      <c r="AE103" s="60">
        <v>3</v>
      </c>
      <c r="AF103" s="60"/>
      <c r="AG103" s="62">
        <v>1</v>
      </c>
      <c r="AH103" s="62"/>
      <c r="BV103" s="60" t="s">
        <v>15</v>
      </c>
      <c r="BW103" s="60"/>
      <c r="BX103" s="60">
        <f>1/7</f>
        <v>0.14285714285714285</v>
      </c>
      <c r="BY103" s="60"/>
      <c r="BZ103" s="60">
        <v>3</v>
      </c>
      <c r="CA103" s="60"/>
      <c r="CB103" s="62">
        <v>1</v>
      </c>
      <c r="CC103" s="62"/>
    </row>
    <row r="104" spans="2:91" x14ac:dyDescent="0.35">
      <c r="AA104" s="60"/>
      <c r="AB104" s="60"/>
      <c r="AC104" s="60"/>
      <c r="AD104" s="60"/>
      <c r="AE104" s="60"/>
      <c r="AF104" s="60"/>
      <c r="AG104" s="62"/>
      <c r="AH104" s="62"/>
      <c r="BV104" s="60"/>
      <c r="BW104" s="60"/>
      <c r="BX104" s="60"/>
      <c r="BY104" s="60"/>
      <c r="BZ104" s="60"/>
      <c r="CA104" s="60"/>
      <c r="CB104" s="62"/>
      <c r="CC104" s="62"/>
    </row>
    <row r="105" spans="2:91" x14ac:dyDescent="0.35">
      <c r="B105" s="8" t="s">
        <v>16</v>
      </c>
      <c r="AW105" s="8" t="s">
        <v>16</v>
      </c>
    </row>
    <row r="107" spans="2:91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  <c r="AW107" s="79" t="s">
        <v>2</v>
      </c>
      <c r="AX107" s="79"/>
      <c r="AY107" s="79"/>
      <c r="AZ107" s="2">
        <v>9</v>
      </c>
      <c r="BA107" s="2">
        <v>8</v>
      </c>
      <c r="BB107" s="2">
        <v>7</v>
      </c>
      <c r="BC107" s="2">
        <v>6</v>
      </c>
      <c r="BD107" s="2">
        <v>5</v>
      </c>
      <c r="BE107" s="2">
        <v>4</v>
      </c>
      <c r="BF107" s="2">
        <v>3</v>
      </c>
      <c r="BG107" s="2">
        <v>2</v>
      </c>
      <c r="BH107" s="2">
        <v>1</v>
      </c>
      <c r="BI107" s="2">
        <v>2</v>
      </c>
      <c r="BJ107" s="2">
        <v>3</v>
      </c>
      <c r="BK107" s="2">
        <v>4</v>
      </c>
      <c r="BL107" s="2">
        <v>5</v>
      </c>
      <c r="BM107" s="2">
        <v>6</v>
      </c>
      <c r="BN107" s="2">
        <v>7</v>
      </c>
      <c r="BO107" s="2">
        <v>8</v>
      </c>
      <c r="BP107" s="2">
        <v>9</v>
      </c>
      <c r="BQ107" s="79" t="s">
        <v>3</v>
      </c>
      <c r="BR107" s="79"/>
      <c r="BS107" s="79"/>
      <c r="BV107" s="60"/>
      <c r="BW107" s="60"/>
      <c r="BX107" s="60" t="s">
        <v>17</v>
      </c>
      <c r="BY107" s="60"/>
      <c r="BZ107" s="60" t="s">
        <v>18</v>
      </c>
      <c r="CA107" s="60"/>
      <c r="CB107" s="60" t="s">
        <v>19</v>
      </c>
      <c r="CC107" s="60"/>
      <c r="CD107" s="60" t="s">
        <v>31</v>
      </c>
      <c r="CE107" s="60"/>
      <c r="CF107" s="60" t="s">
        <v>20</v>
      </c>
      <c r="CG107" s="60"/>
      <c r="CH107" s="60" t="s">
        <v>21</v>
      </c>
      <c r="CI107" s="60"/>
      <c r="CJ107" s="60" t="s">
        <v>22</v>
      </c>
      <c r="CK107" s="60"/>
      <c r="CL107" s="60" t="s">
        <v>83</v>
      </c>
      <c r="CM107" s="60"/>
    </row>
    <row r="108" spans="2:91" x14ac:dyDescent="0.35">
      <c r="B108" s="80" t="s">
        <v>17</v>
      </c>
      <c r="C108" s="80"/>
      <c r="D108" s="8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W108" s="80" t="s">
        <v>17</v>
      </c>
      <c r="AX108" s="80"/>
      <c r="AY108" s="80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3"/>
      <c r="BM108" s="2"/>
      <c r="BN108" s="2"/>
      <c r="BO108" s="2"/>
      <c r="BP108" s="2"/>
      <c r="BQ108" s="80" t="s">
        <v>18</v>
      </c>
      <c r="BR108" s="80"/>
      <c r="BS108" s="8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</row>
    <row r="109" spans="2:91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2"/>
      <c r="U109" s="2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v>5</v>
      </c>
      <c r="AF109" s="60"/>
      <c r="AG109" s="63">
        <v>7</v>
      </c>
      <c r="AH109" s="64"/>
      <c r="AI109" s="60">
        <v>7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v>3</v>
      </c>
      <c r="AR109" s="60"/>
      <c r="AW109" s="80" t="s">
        <v>17</v>
      </c>
      <c r="AX109" s="80"/>
      <c r="AY109" s="80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3"/>
      <c r="BO109" s="2"/>
      <c r="BP109" s="2"/>
      <c r="BQ109" s="80" t="s">
        <v>19</v>
      </c>
      <c r="BR109" s="80"/>
      <c r="BS109" s="80"/>
      <c r="BV109" s="60" t="s">
        <v>17</v>
      </c>
      <c r="BW109" s="60"/>
      <c r="BX109" s="62">
        <v>1</v>
      </c>
      <c r="BY109" s="62"/>
      <c r="BZ109" s="60">
        <f>1/5</f>
        <v>0.2</v>
      </c>
      <c r="CA109" s="60"/>
      <c r="CB109" s="63">
        <f>1/7</f>
        <v>0.14285714285714285</v>
      </c>
      <c r="CC109" s="64"/>
      <c r="CD109" s="60">
        <f>1/7</f>
        <v>0.14285714285714285</v>
      </c>
      <c r="CE109" s="60"/>
      <c r="CF109" s="60">
        <v>5</v>
      </c>
      <c r="CG109" s="60"/>
      <c r="CH109" s="60">
        <v>3</v>
      </c>
      <c r="CI109" s="60"/>
      <c r="CJ109" s="60">
        <f>1/7</f>
        <v>0.14285714285714285</v>
      </c>
      <c r="CK109" s="60"/>
      <c r="CL109" s="60">
        <f>1/3</f>
        <v>0.33333333333333331</v>
      </c>
      <c r="CM109" s="60"/>
    </row>
    <row r="110" spans="2:91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W110" s="80" t="s">
        <v>17</v>
      </c>
      <c r="AX110" s="80"/>
      <c r="AY110" s="80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3"/>
      <c r="BO110" s="2"/>
      <c r="BP110" s="2"/>
      <c r="BQ110" s="80" t="s">
        <v>31</v>
      </c>
      <c r="BR110" s="80"/>
      <c r="BS110" s="80"/>
      <c r="BV110" s="60"/>
      <c r="BW110" s="60"/>
      <c r="BX110" s="62"/>
      <c r="BY110" s="62"/>
      <c r="BZ110" s="60"/>
      <c r="CA110" s="60"/>
      <c r="CB110" s="65"/>
      <c r="CC110" s="66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</row>
    <row r="111" spans="2:91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f>1/5</f>
        <v>0.2</v>
      </c>
      <c r="AD111" s="60"/>
      <c r="AE111" s="62">
        <v>1</v>
      </c>
      <c r="AF111" s="62"/>
      <c r="AG111" s="60">
        <f>1/2</f>
        <v>0.5</v>
      </c>
      <c r="AH111" s="60"/>
      <c r="AI111" s="60">
        <f>1/2</f>
        <v>0.5</v>
      </c>
      <c r="AJ111" s="60"/>
      <c r="AK111" s="60">
        <f>1/5</f>
        <v>0.2</v>
      </c>
      <c r="AL111" s="60"/>
      <c r="AM111" s="60">
        <v>3</v>
      </c>
      <c r="AN111" s="60"/>
      <c r="AO111" s="60">
        <v>7</v>
      </c>
      <c r="AP111" s="60"/>
      <c r="AQ111" s="60">
        <f>1/5</f>
        <v>0.2</v>
      </c>
      <c r="AR111" s="60"/>
      <c r="AW111" s="80" t="s">
        <v>17</v>
      </c>
      <c r="AX111" s="80"/>
      <c r="AY111" s="80"/>
      <c r="AZ111" s="2"/>
      <c r="BA111" s="2"/>
      <c r="BB111" s="2"/>
      <c r="BC111" s="2"/>
      <c r="BD111" s="3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80" t="s">
        <v>20</v>
      </c>
      <c r="BR111" s="80"/>
      <c r="BS111" s="80"/>
      <c r="BV111" s="60" t="s">
        <v>18</v>
      </c>
      <c r="BW111" s="60"/>
      <c r="BX111" s="60">
        <v>5</v>
      </c>
      <c r="BY111" s="60"/>
      <c r="BZ111" s="62">
        <v>1</v>
      </c>
      <c r="CA111" s="62"/>
      <c r="CB111" s="60">
        <f>1/2</f>
        <v>0.5</v>
      </c>
      <c r="CC111" s="60"/>
      <c r="CD111" s="60">
        <f>1/2</f>
        <v>0.5</v>
      </c>
      <c r="CE111" s="60"/>
      <c r="CF111" s="60">
        <f>1/5</f>
        <v>0.2</v>
      </c>
      <c r="CG111" s="60"/>
      <c r="CH111" s="60">
        <v>3</v>
      </c>
      <c r="CI111" s="60"/>
      <c r="CJ111" s="60">
        <v>7</v>
      </c>
      <c r="CK111" s="60"/>
      <c r="CL111" s="60">
        <f>1/3</f>
        <v>0.33333333333333331</v>
      </c>
      <c r="CM111" s="60"/>
    </row>
    <row r="112" spans="2:91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W112" s="80" t="s">
        <v>17</v>
      </c>
      <c r="AX112" s="80"/>
      <c r="AY112" s="80"/>
      <c r="AZ112" s="2"/>
      <c r="BA112" s="2"/>
      <c r="BB112" s="2"/>
      <c r="BC112" s="2"/>
      <c r="BD112" s="2"/>
      <c r="BE112" s="2"/>
      <c r="BF112" s="3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80" t="s">
        <v>21</v>
      </c>
      <c r="BR112" s="80"/>
      <c r="BS112" s="80"/>
      <c r="BV112" s="60"/>
      <c r="BW112" s="60"/>
      <c r="BX112" s="60"/>
      <c r="BY112" s="60"/>
      <c r="BZ112" s="62"/>
      <c r="CA112" s="62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</row>
    <row r="113" spans="2:91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1/7</f>
        <v>0.14285714285714285</v>
      </c>
      <c r="AD113" s="60"/>
      <c r="AE113" s="60">
        <v>2</v>
      </c>
      <c r="AF113" s="60"/>
      <c r="AG113" s="62">
        <v>1</v>
      </c>
      <c r="AH113" s="62"/>
      <c r="AI113" s="60">
        <f>1/6</f>
        <v>0.16666666666666666</v>
      </c>
      <c r="AJ113" s="60"/>
      <c r="AK113" s="60">
        <f>1/7</f>
        <v>0.14285714285714285</v>
      </c>
      <c r="AL113" s="60"/>
      <c r="AM113" s="60">
        <f>1/9</f>
        <v>0.1111111111111111</v>
      </c>
      <c r="AN113" s="60"/>
      <c r="AO113" s="60">
        <v>5</v>
      </c>
      <c r="AP113" s="60"/>
      <c r="AQ113" s="60">
        <v>3</v>
      </c>
      <c r="AR113" s="60"/>
      <c r="AW113" s="80" t="s">
        <v>17</v>
      </c>
      <c r="AX113" s="80"/>
      <c r="AY113" s="80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3"/>
      <c r="BO113" s="2"/>
      <c r="BP113" s="2"/>
      <c r="BQ113" s="80" t="s">
        <v>22</v>
      </c>
      <c r="BR113" s="80"/>
      <c r="BS113" s="80"/>
      <c r="BV113" s="60" t="s">
        <v>19</v>
      </c>
      <c r="BW113" s="60"/>
      <c r="BX113" s="60">
        <v>7</v>
      </c>
      <c r="BY113" s="60"/>
      <c r="BZ113" s="60">
        <v>2</v>
      </c>
      <c r="CA113" s="60"/>
      <c r="CB113" s="62">
        <v>1</v>
      </c>
      <c r="CC113" s="62"/>
      <c r="CD113" s="60">
        <f>1/3</f>
        <v>0.33333333333333331</v>
      </c>
      <c r="CE113" s="60"/>
      <c r="CF113" s="60">
        <f>1/3</f>
        <v>0.33333333333333331</v>
      </c>
      <c r="CG113" s="60"/>
      <c r="CH113" s="60">
        <f>1/3</f>
        <v>0.33333333333333331</v>
      </c>
      <c r="CI113" s="60"/>
      <c r="CJ113" s="60">
        <v>5</v>
      </c>
      <c r="CK113" s="60"/>
      <c r="CL113" s="60">
        <v>3</v>
      </c>
      <c r="CM113" s="60"/>
    </row>
    <row r="114" spans="2:91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W114" s="80" t="s">
        <v>17</v>
      </c>
      <c r="AX114" s="80"/>
      <c r="AY114" s="80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3"/>
      <c r="BK114" s="2"/>
      <c r="BL114" s="2"/>
      <c r="BM114" s="2"/>
      <c r="BN114" s="2"/>
      <c r="BO114" s="2"/>
      <c r="BP114" s="2"/>
      <c r="BQ114" s="80" t="s">
        <v>83</v>
      </c>
      <c r="BR114" s="80"/>
      <c r="BS114" s="80"/>
      <c r="BV114" s="60"/>
      <c r="BW114" s="60"/>
      <c r="BX114" s="60"/>
      <c r="BY114" s="60"/>
      <c r="BZ114" s="60"/>
      <c r="CA114" s="60"/>
      <c r="CB114" s="62"/>
      <c r="CC114" s="62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</row>
    <row r="115" spans="2:91" x14ac:dyDescent="0.35">
      <c r="AA115" s="60" t="s">
        <v>31</v>
      </c>
      <c r="AB115" s="60"/>
      <c r="AC115" s="60">
        <f>1/7</f>
        <v>0.14285714285714285</v>
      </c>
      <c r="AD115" s="60"/>
      <c r="AE115" s="60">
        <v>2</v>
      </c>
      <c r="AF115" s="60"/>
      <c r="AG115" s="60">
        <v>6</v>
      </c>
      <c r="AH115" s="60"/>
      <c r="AI115" s="62">
        <v>1</v>
      </c>
      <c r="AJ115" s="62"/>
      <c r="AK115" s="60">
        <f>1/7</f>
        <v>0.14285714285714285</v>
      </c>
      <c r="AL115" s="60"/>
      <c r="AM115" s="60">
        <v>3</v>
      </c>
      <c r="AN115" s="60"/>
      <c r="AO115" s="60">
        <v>5</v>
      </c>
      <c r="AP115" s="60"/>
      <c r="AQ115" s="60">
        <f>1/7</f>
        <v>0.14285714285714285</v>
      </c>
      <c r="AR115" s="60"/>
      <c r="BV115" s="60" t="s">
        <v>31</v>
      </c>
      <c r="BW115" s="60"/>
      <c r="BX115" s="60">
        <v>7</v>
      </c>
      <c r="BY115" s="60"/>
      <c r="BZ115" s="60">
        <v>2</v>
      </c>
      <c r="CA115" s="60"/>
      <c r="CB115" s="60">
        <v>3</v>
      </c>
      <c r="CC115" s="60"/>
      <c r="CD115" s="62">
        <v>1</v>
      </c>
      <c r="CE115" s="62"/>
      <c r="CF115" s="60">
        <f>1/7</f>
        <v>0.14285714285714285</v>
      </c>
      <c r="CG115" s="60"/>
      <c r="CH115" s="60">
        <v>3</v>
      </c>
      <c r="CI115" s="60"/>
      <c r="CJ115" s="60">
        <v>5</v>
      </c>
      <c r="CK115" s="60"/>
      <c r="CL115" s="60">
        <f>1/7</f>
        <v>0.14285714285714285</v>
      </c>
      <c r="CM115" s="60"/>
    </row>
    <row r="116" spans="2:91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  <c r="AW116" s="79" t="s">
        <v>2</v>
      </c>
      <c r="AX116" s="79"/>
      <c r="AY116" s="79"/>
      <c r="AZ116" s="2">
        <v>9</v>
      </c>
      <c r="BA116" s="2">
        <v>8</v>
      </c>
      <c r="BB116" s="2">
        <v>7</v>
      </c>
      <c r="BC116" s="2">
        <v>6</v>
      </c>
      <c r="BD116" s="2">
        <v>5</v>
      </c>
      <c r="BE116" s="2">
        <v>4</v>
      </c>
      <c r="BF116" s="2">
        <v>3</v>
      </c>
      <c r="BG116" s="2">
        <v>2</v>
      </c>
      <c r="BH116" s="2">
        <v>1</v>
      </c>
      <c r="BI116" s="2">
        <v>2</v>
      </c>
      <c r="BJ116" s="2">
        <v>3</v>
      </c>
      <c r="BK116" s="2">
        <v>4</v>
      </c>
      <c r="BL116" s="2">
        <v>5</v>
      </c>
      <c r="BM116" s="2">
        <v>6</v>
      </c>
      <c r="BN116" s="2">
        <v>7</v>
      </c>
      <c r="BO116" s="2">
        <v>8</v>
      </c>
      <c r="BP116" s="2">
        <v>9</v>
      </c>
      <c r="BQ116" s="79" t="s">
        <v>3</v>
      </c>
      <c r="BR116" s="79"/>
      <c r="BS116" s="79"/>
      <c r="BV116" s="60"/>
      <c r="BW116" s="60"/>
      <c r="BX116" s="60"/>
      <c r="BY116" s="60"/>
      <c r="BZ116" s="60"/>
      <c r="CA116" s="60"/>
      <c r="CB116" s="60"/>
      <c r="CC116" s="60"/>
      <c r="CD116" s="62"/>
      <c r="CE116" s="62"/>
      <c r="CF116" s="60"/>
      <c r="CG116" s="60"/>
      <c r="CH116" s="60"/>
      <c r="CI116" s="60"/>
      <c r="CJ116" s="60"/>
      <c r="CK116" s="60"/>
      <c r="CL116" s="60"/>
      <c r="CM116" s="60"/>
    </row>
    <row r="117" spans="2:91" x14ac:dyDescent="0.35">
      <c r="B117" s="80" t="s">
        <v>18</v>
      </c>
      <c r="C117" s="80"/>
      <c r="D117" s="80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5</v>
      </c>
      <c r="AF117" s="60"/>
      <c r="AG117" s="60">
        <v>7</v>
      </c>
      <c r="AH117" s="60"/>
      <c r="AI117" s="60">
        <v>7</v>
      </c>
      <c r="AJ117" s="60"/>
      <c r="AK117" s="62">
        <v>1</v>
      </c>
      <c r="AL117" s="62"/>
      <c r="AM117" s="60">
        <v>5</v>
      </c>
      <c r="AN117" s="60"/>
      <c r="AO117" s="60">
        <v>3</v>
      </c>
      <c r="AP117" s="60"/>
      <c r="AQ117" s="60">
        <f>1/3</f>
        <v>0.33333333333333331</v>
      </c>
      <c r="AR117" s="60"/>
      <c r="AW117" s="80" t="s">
        <v>18</v>
      </c>
      <c r="AX117" s="80"/>
      <c r="AY117" s="80"/>
      <c r="AZ117" s="2"/>
      <c r="BA117" s="2"/>
      <c r="BB117" s="2"/>
      <c r="BC117" s="2"/>
      <c r="BD117" s="2"/>
      <c r="BE117" s="2"/>
      <c r="BF117" s="2"/>
      <c r="BG117" s="3"/>
      <c r="BH117" s="2"/>
      <c r="BI117" s="2"/>
      <c r="BJ117" s="2"/>
      <c r="BK117" s="2"/>
      <c r="BL117" s="2"/>
      <c r="BM117" s="2"/>
      <c r="BN117" s="2"/>
      <c r="BO117" s="2"/>
      <c r="BP117" s="2"/>
      <c r="BQ117" s="80" t="s">
        <v>19</v>
      </c>
      <c r="BR117" s="80"/>
      <c r="BS117" s="80"/>
      <c r="BV117" s="60" t="s">
        <v>20</v>
      </c>
      <c r="BW117" s="60"/>
      <c r="BX117" s="60">
        <f>1/5</f>
        <v>0.2</v>
      </c>
      <c r="BY117" s="60"/>
      <c r="BZ117" s="60">
        <v>5</v>
      </c>
      <c r="CA117" s="60"/>
      <c r="CB117" s="60">
        <v>3</v>
      </c>
      <c r="CC117" s="60"/>
      <c r="CD117" s="60">
        <v>7</v>
      </c>
      <c r="CE117" s="60"/>
      <c r="CF117" s="62">
        <v>1</v>
      </c>
      <c r="CG117" s="62"/>
      <c r="CH117" s="60">
        <v>7</v>
      </c>
      <c r="CI117" s="60"/>
      <c r="CJ117" s="60">
        <v>3</v>
      </c>
      <c r="CK117" s="60"/>
      <c r="CL117" s="60">
        <f>1/3</f>
        <v>0.33333333333333331</v>
      </c>
      <c r="CM117" s="60"/>
    </row>
    <row r="118" spans="2:91" x14ac:dyDescent="0.35">
      <c r="B118" s="80" t="s">
        <v>18</v>
      </c>
      <c r="C118" s="80"/>
      <c r="D118" s="80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  <c r="AW118" s="80" t="s">
        <v>18</v>
      </c>
      <c r="AX118" s="80"/>
      <c r="AY118" s="80"/>
      <c r="AZ118" s="2"/>
      <c r="BA118" s="2"/>
      <c r="BB118" s="2"/>
      <c r="BC118" s="2"/>
      <c r="BD118" s="2"/>
      <c r="BE118" s="2"/>
      <c r="BF118" s="2"/>
      <c r="BG118" s="3"/>
      <c r="BH118" s="2"/>
      <c r="BI118" s="2"/>
      <c r="BJ118" s="2"/>
      <c r="BK118" s="2"/>
      <c r="BL118" s="2"/>
      <c r="BM118" s="2"/>
      <c r="BN118" s="2"/>
      <c r="BO118" s="2"/>
      <c r="BP118" s="2"/>
      <c r="BQ118" s="80" t="s">
        <v>31</v>
      </c>
      <c r="BR118" s="80"/>
      <c r="BS118" s="8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2"/>
      <c r="CG118" s="62"/>
      <c r="CH118" s="60"/>
      <c r="CI118" s="60"/>
      <c r="CJ118" s="60"/>
      <c r="CK118" s="60"/>
      <c r="CL118" s="60"/>
      <c r="CM118" s="60"/>
    </row>
    <row r="119" spans="2:91" x14ac:dyDescent="0.35">
      <c r="B119" s="80" t="s">
        <v>18</v>
      </c>
      <c r="C119" s="80"/>
      <c r="D119" s="80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f>1/3</f>
        <v>0.33333333333333331</v>
      </c>
      <c r="AF119" s="60"/>
      <c r="AG119" s="60">
        <v>9</v>
      </c>
      <c r="AH119" s="60"/>
      <c r="AI119" s="60">
        <f>1/3</f>
        <v>0.33333333333333331</v>
      </c>
      <c r="AJ119" s="60"/>
      <c r="AK119" s="60">
        <f>1/5</f>
        <v>0.2</v>
      </c>
      <c r="AL119" s="60"/>
      <c r="AM119" s="62">
        <v>1</v>
      </c>
      <c r="AN119" s="62"/>
      <c r="AO119" s="60">
        <v>5</v>
      </c>
      <c r="AP119" s="60"/>
      <c r="AQ119" s="60">
        <f>1/3</f>
        <v>0.33333333333333331</v>
      </c>
      <c r="AR119" s="60"/>
      <c r="AW119" s="80" t="s">
        <v>18</v>
      </c>
      <c r="AX119" s="80"/>
      <c r="AY119" s="80"/>
      <c r="AZ119" s="2"/>
      <c r="BA119" s="2"/>
      <c r="BB119" s="2"/>
      <c r="BC119" s="2"/>
      <c r="BD119" s="3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80" t="s">
        <v>20</v>
      </c>
      <c r="BR119" s="80"/>
      <c r="BS119" s="80"/>
      <c r="BV119" s="60" t="s">
        <v>21</v>
      </c>
      <c r="BW119" s="60"/>
      <c r="BX119" s="60">
        <f>1/3</f>
        <v>0.33333333333333331</v>
      </c>
      <c r="BY119" s="60"/>
      <c r="BZ119" s="60">
        <f>1/3</f>
        <v>0.33333333333333331</v>
      </c>
      <c r="CA119" s="60"/>
      <c r="CB119" s="60">
        <v>3</v>
      </c>
      <c r="CC119" s="60"/>
      <c r="CD119" s="60">
        <f>1/3</f>
        <v>0.33333333333333331</v>
      </c>
      <c r="CE119" s="60"/>
      <c r="CF119" s="60">
        <f>1/7</f>
        <v>0.14285714285714285</v>
      </c>
      <c r="CG119" s="60"/>
      <c r="CH119" s="62">
        <v>1</v>
      </c>
      <c r="CI119" s="62"/>
      <c r="CJ119" s="60">
        <v>6</v>
      </c>
      <c r="CK119" s="60"/>
      <c r="CL119" s="60">
        <f>1/3</f>
        <v>0.33333333333333331</v>
      </c>
      <c r="CM119" s="60"/>
    </row>
    <row r="120" spans="2:91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  <c r="AW120" s="80" t="s">
        <v>18</v>
      </c>
      <c r="AX120" s="80"/>
      <c r="AY120" s="80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3"/>
      <c r="BK120" s="2"/>
      <c r="BL120" s="2"/>
      <c r="BM120" s="2"/>
      <c r="BN120" s="2"/>
      <c r="BO120" s="2"/>
      <c r="BP120" s="2"/>
      <c r="BQ120" s="80" t="s">
        <v>21</v>
      </c>
      <c r="BR120" s="80"/>
      <c r="BS120" s="8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2"/>
      <c r="CI120" s="62"/>
      <c r="CJ120" s="60"/>
      <c r="CK120" s="60"/>
      <c r="CL120" s="60"/>
      <c r="CM120" s="60"/>
    </row>
    <row r="121" spans="2:91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1/7</f>
        <v>0.14285714285714285</v>
      </c>
      <c r="AF121" s="60"/>
      <c r="AG121" s="60">
        <f>1/5</f>
        <v>0.2</v>
      </c>
      <c r="AH121" s="60"/>
      <c r="AI121" s="60">
        <f>1/5</f>
        <v>0.2</v>
      </c>
      <c r="AJ121" s="60"/>
      <c r="AK121" s="60">
        <f>1/3</f>
        <v>0.33333333333333331</v>
      </c>
      <c r="AL121" s="60"/>
      <c r="AM121" s="60">
        <f>1/5</f>
        <v>0.2</v>
      </c>
      <c r="AN121" s="60"/>
      <c r="AO121" s="62">
        <v>1</v>
      </c>
      <c r="AP121" s="62"/>
      <c r="AQ121" s="60">
        <v>9</v>
      </c>
      <c r="AR121" s="60"/>
      <c r="AW121" s="80" t="s">
        <v>18</v>
      </c>
      <c r="AX121" s="80"/>
      <c r="AY121" s="80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3"/>
      <c r="BO121" s="2"/>
      <c r="BP121" s="2"/>
      <c r="BQ121" s="80" t="s">
        <v>22</v>
      </c>
      <c r="BR121" s="80"/>
      <c r="BS121" s="80"/>
      <c r="BV121" s="60" t="s">
        <v>22</v>
      </c>
      <c r="BW121" s="60"/>
      <c r="BX121" s="60">
        <v>7</v>
      </c>
      <c r="BY121" s="60"/>
      <c r="BZ121" s="60">
        <f>1/7</f>
        <v>0.14285714285714285</v>
      </c>
      <c r="CA121" s="60"/>
      <c r="CB121" s="60">
        <f>1/5</f>
        <v>0.2</v>
      </c>
      <c r="CC121" s="60"/>
      <c r="CD121" s="60">
        <f>1/5</f>
        <v>0.2</v>
      </c>
      <c r="CE121" s="60"/>
      <c r="CF121" s="60">
        <f>1/3</f>
        <v>0.33333333333333331</v>
      </c>
      <c r="CG121" s="60"/>
      <c r="CH121" s="60">
        <f>1/6</f>
        <v>0.16666666666666666</v>
      </c>
      <c r="CI121" s="60"/>
      <c r="CJ121" s="62">
        <v>1</v>
      </c>
      <c r="CK121" s="62"/>
      <c r="CL121" s="60">
        <f>1/9</f>
        <v>0.1111111111111111</v>
      </c>
      <c r="CM121" s="60"/>
    </row>
    <row r="122" spans="2:91" x14ac:dyDescent="0.35">
      <c r="B122" s="80" t="s">
        <v>18</v>
      </c>
      <c r="C122" s="80"/>
      <c r="D122" s="80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  <c r="AW122" s="80" t="s">
        <v>18</v>
      </c>
      <c r="AX122" s="80"/>
      <c r="AY122" s="80"/>
      <c r="AZ122" s="2"/>
      <c r="BA122" s="2"/>
      <c r="BB122" s="2"/>
      <c r="BC122" s="2"/>
      <c r="BD122" s="3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80" t="s">
        <v>83</v>
      </c>
      <c r="BR122" s="80"/>
      <c r="BS122" s="8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2"/>
      <c r="CK122" s="62"/>
      <c r="CL122" s="60"/>
      <c r="CM122" s="60"/>
    </row>
    <row r="123" spans="2:91" x14ac:dyDescent="0.35">
      <c r="AA123" s="60" t="s">
        <v>83</v>
      </c>
      <c r="AB123" s="60"/>
      <c r="AC123" s="60">
        <f>1/3</f>
        <v>0.33333333333333331</v>
      </c>
      <c r="AD123" s="60"/>
      <c r="AE123" s="60">
        <v>5</v>
      </c>
      <c r="AF123" s="60"/>
      <c r="AG123" s="60">
        <f>1/3</f>
        <v>0.33333333333333331</v>
      </c>
      <c r="AH123" s="60"/>
      <c r="AI123" s="60">
        <v>7</v>
      </c>
      <c r="AJ123" s="60"/>
      <c r="AK123" s="60">
        <v>3</v>
      </c>
      <c r="AL123" s="60"/>
      <c r="AM123" s="60">
        <v>3</v>
      </c>
      <c r="AN123" s="60"/>
      <c r="AO123" s="60">
        <f>1/9</f>
        <v>0.1111111111111111</v>
      </c>
      <c r="AP123" s="60"/>
      <c r="AQ123" s="62">
        <v>1</v>
      </c>
      <c r="AR123" s="62"/>
      <c r="BV123" s="60" t="s">
        <v>83</v>
      </c>
      <c r="BW123" s="60"/>
      <c r="BX123" s="60">
        <v>3</v>
      </c>
      <c r="BY123" s="60"/>
      <c r="BZ123" s="60">
        <v>3</v>
      </c>
      <c r="CA123" s="60"/>
      <c r="CB123" s="60">
        <f>1/3</f>
        <v>0.33333333333333331</v>
      </c>
      <c r="CC123" s="60"/>
      <c r="CD123" s="60">
        <v>7</v>
      </c>
      <c r="CE123" s="60"/>
      <c r="CF123" s="60">
        <v>3</v>
      </c>
      <c r="CG123" s="60"/>
      <c r="CH123" s="60">
        <v>3</v>
      </c>
      <c r="CI123" s="60"/>
      <c r="CJ123" s="60">
        <v>9</v>
      </c>
      <c r="CK123" s="60"/>
      <c r="CL123" s="62">
        <v>1</v>
      </c>
      <c r="CM123" s="62"/>
    </row>
    <row r="124" spans="2:91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  <c r="AW124" s="79" t="s">
        <v>2</v>
      </c>
      <c r="AX124" s="79"/>
      <c r="AY124" s="79"/>
      <c r="AZ124" s="2">
        <v>9</v>
      </c>
      <c r="BA124" s="2">
        <v>8</v>
      </c>
      <c r="BB124" s="2">
        <v>7</v>
      </c>
      <c r="BC124" s="2">
        <v>6</v>
      </c>
      <c r="BD124" s="2">
        <v>5</v>
      </c>
      <c r="BE124" s="2">
        <v>4</v>
      </c>
      <c r="BF124" s="2">
        <v>3</v>
      </c>
      <c r="BG124" s="2">
        <v>2</v>
      </c>
      <c r="BH124" s="2">
        <v>1</v>
      </c>
      <c r="BI124" s="2">
        <v>2</v>
      </c>
      <c r="BJ124" s="2">
        <v>3</v>
      </c>
      <c r="BK124" s="2">
        <v>4</v>
      </c>
      <c r="BL124" s="2">
        <v>5</v>
      </c>
      <c r="BM124" s="2">
        <v>6</v>
      </c>
      <c r="BN124" s="2">
        <v>7</v>
      </c>
      <c r="BO124" s="2">
        <v>8</v>
      </c>
      <c r="BP124" s="2">
        <v>9</v>
      </c>
      <c r="BQ124" s="79" t="s">
        <v>3</v>
      </c>
      <c r="BR124" s="79"/>
      <c r="BS124" s="79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2"/>
      <c r="CM124" s="62"/>
    </row>
    <row r="125" spans="2:91" x14ac:dyDescent="0.35">
      <c r="B125" s="80" t="s">
        <v>19</v>
      </c>
      <c r="C125" s="80"/>
      <c r="D125" s="80"/>
      <c r="E125" s="2"/>
      <c r="F125" s="2"/>
      <c r="G125" s="2"/>
      <c r="H125" s="3"/>
      <c r="I125" s="2"/>
      <c r="J125" s="2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0" t="s">
        <v>31</v>
      </c>
      <c r="W125" s="80"/>
      <c r="X125" s="80"/>
      <c r="AW125" s="80" t="s">
        <v>19</v>
      </c>
      <c r="AX125" s="80"/>
      <c r="AY125" s="80"/>
      <c r="AZ125" s="2"/>
      <c r="BA125" s="2"/>
      <c r="BB125" s="2"/>
      <c r="BC125" s="2"/>
      <c r="BD125" s="2"/>
      <c r="BE125" s="2"/>
      <c r="BF125" s="3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80" t="s">
        <v>31</v>
      </c>
      <c r="BR125" s="80"/>
      <c r="BS125" s="80"/>
    </row>
    <row r="126" spans="2:91" x14ac:dyDescent="0.35">
      <c r="B126" s="80" t="s">
        <v>19</v>
      </c>
      <c r="C126" s="80"/>
      <c r="D126" s="80"/>
      <c r="E126" s="2"/>
      <c r="F126" s="2"/>
      <c r="G126" s="3"/>
      <c r="H126" s="2"/>
      <c r="I126" s="2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  <c r="AW126" s="80" t="s">
        <v>19</v>
      </c>
      <c r="AX126" s="80"/>
      <c r="AY126" s="80"/>
      <c r="AZ126" s="2"/>
      <c r="BA126" s="2"/>
      <c r="BB126" s="2"/>
      <c r="BC126" s="2"/>
      <c r="BD126" s="2"/>
      <c r="BE126" s="2"/>
      <c r="BF126" s="3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80" t="s">
        <v>20</v>
      </c>
      <c r="BR126" s="80"/>
      <c r="BS126" s="80"/>
    </row>
    <row r="127" spans="2:91" x14ac:dyDescent="0.35">
      <c r="B127" s="80" t="s">
        <v>19</v>
      </c>
      <c r="C127" s="80"/>
      <c r="D127" s="80"/>
      <c r="E127" s="3"/>
      <c r="F127" s="2"/>
      <c r="G127" s="2"/>
      <c r="H127" s="2"/>
      <c r="I127" s="2"/>
      <c r="J127" s="2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  <c r="AW127" s="80" t="s">
        <v>19</v>
      </c>
      <c r="AX127" s="80"/>
      <c r="AY127" s="80"/>
      <c r="AZ127" s="2"/>
      <c r="BA127" s="2"/>
      <c r="BB127" s="2"/>
      <c r="BC127" s="2"/>
      <c r="BD127" s="2"/>
      <c r="BE127" s="2"/>
      <c r="BF127" s="3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80" t="s">
        <v>21</v>
      </c>
      <c r="BR127" s="80"/>
      <c r="BS127" s="80"/>
      <c r="BU127" s="6"/>
      <c r="BV127" s="6"/>
      <c r="BW127" s="6"/>
    </row>
    <row r="128" spans="2:91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2"/>
      <c r="T128" s="2"/>
      <c r="U128" s="2"/>
      <c r="V128" s="80" t="s">
        <v>22</v>
      </c>
      <c r="W128" s="80"/>
      <c r="X128" s="80"/>
      <c r="AW128" s="80" t="s">
        <v>19</v>
      </c>
      <c r="AX128" s="80"/>
      <c r="AY128" s="80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3"/>
      <c r="BM128" s="2"/>
      <c r="BN128" s="2"/>
      <c r="BO128" s="2"/>
      <c r="BP128" s="2"/>
      <c r="BQ128" s="80" t="s">
        <v>22</v>
      </c>
      <c r="BR128" s="80"/>
      <c r="BS128" s="80"/>
    </row>
    <row r="129" spans="2:71" x14ac:dyDescent="0.35">
      <c r="B129" s="80" t="s">
        <v>19</v>
      </c>
      <c r="C129" s="80"/>
      <c r="D129" s="8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80" t="s">
        <v>83</v>
      </c>
      <c r="W129" s="80"/>
      <c r="X129" s="80"/>
      <c r="AW129" s="80" t="s">
        <v>19</v>
      </c>
      <c r="AX129" s="80"/>
      <c r="AY129" s="80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3"/>
      <c r="BK129" s="2"/>
      <c r="BL129" s="2"/>
      <c r="BM129" s="2"/>
      <c r="BN129" s="2"/>
      <c r="BO129" s="2"/>
      <c r="BP129" s="2"/>
      <c r="BQ129" s="80" t="s">
        <v>83</v>
      </c>
      <c r="BR129" s="80"/>
      <c r="BS129" s="80"/>
    </row>
    <row r="131" spans="2:71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  <c r="AW131" s="79" t="s">
        <v>2</v>
      </c>
      <c r="AX131" s="79"/>
      <c r="AY131" s="79"/>
      <c r="AZ131" s="2">
        <v>9</v>
      </c>
      <c r="BA131" s="2">
        <v>8</v>
      </c>
      <c r="BB131" s="2">
        <v>7</v>
      </c>
      <c r="BC131" s="2">
        <v>6</v>
      </c>
      <c r="BD131" s="2">
        <v>5</v>
      </c>
      <c r="BE131" s="2">
        <v>4</v>
      </c>
      <c r="BF131" s="2">
        <v>3</v>
      </c>
      <c r="BG131" s="2">
        <v>2</v>
      </c>
      <c r="BH131" s="2">
        <v>1</v>
      </c>
      <c r="BI131" s="2">
        <v>2</v>
      </c>
      <c r="BJ131" s="2">
        <v>3</v>
      </c>
      <c r="BK131" s="2">
        <v>4</v>
      </c>
      <c r="BL131" s="2">
        <v>5</v>
      </c>
      <c r="BM131" s="2">
        <v>6</v>
      </c>
      <c r="BN131" s="2">
        <v>7</v>
      </c>
      <c r="BO131" s="2">
        <v>8</v>
      </c>
      <c r="BP131" s="2">
        <v>9</v>
      </c>
      <c r="BQ131" s="79" t="s">
        <v>3</v>
      </c>
      <c r="BR131" s="79"/>
      <c r="BS131" s="79"/>
    </row>
    <row r="132" spans="2:71" x14ac:dyDescent="0.35">
      <c r="B132" s="80" t="s">
        <v>31</v>
      </c>
      <c r="C132" s="80"/>
      <c r="D132" s="80"/>
      <c r="E132" s="2"/>
      <c r="F132" s="2"/>
      <c r="G132" s="4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  <c r="AW132" s="80" t="s">
        <v>31</v>
      </c>
      <c r="AX132" s="80"/>
      <c r="AY132" s="80"/>
      <c r="AZ132" s="2"/>
      <c r="BA132" s="2"/>
      <c r="BB132" s="3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80" t="s">
        <v>20</v>
      </c>
      <c r="BR132" s="80"/>
      <c r="BS132" s="80"/>
    </row>
    <row r="133" spans="2:71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  <c r="AW133" s="80" t="s">
        <v>31</v>
      </c>
      <c r="AX133" s="80"/>
      <c r="AY133" s="80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3"/>
      <c r="BK133" s="2"/>
      <c r="BL133" s="2"/>
      <c r="BM133" s="2"/>
      <c r="BN133" s="2"/>
      <c r="BO133" s="2"/>
      <c r="BP133" s="2"/>
      <c r="BQ133" s="80" t="s">
        <v>21</v>
      </c>
      <c r="BR133" s="80"/>
      <c r="BS133" s="80"/>
    </row>
    <row r="134" spans="2:71" x14ac:dyDescent="0.35">
      <c r="B134" s="80" t="s">
        <v>31</v>
      </c>
      <c r="C134" s="80"/>
      <c r="D134" s="8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80" t="s">
        <v>22</v>
      </c>
      <c r="W134" s="80"/>
      <c r="X134" s="80"/>
      <c r="AW134" s="80" t="s">
        <v>31</v>
      </c>
      <c r="AX134" s="80"/>
      <c r="AY134" s="80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3"/>
      <c r="BM134" s="2"/>
      <c r="BN134" s="2"/>
      <c r="BO134" s="2"/>
      <c r="BP134" s="2"/>
      <c r="BQ134" s="80" t="s">
        <v>22</v>
      </c>
      <c r="BR134" s="80"/>
      <c r="BS134" s="80"/>
    </row>
    <row r="135" spans="2:71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  <c r="AW135" s="80" t="s">
        <v>31</v>
      </c>
      <c r="AX135" s="80"/>
      <c r="AY135" s="80"/>
      <c r="AZ135" s="2"/>
      <c r="BA135" s="2"/>
      <c r="BB135" s="3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80" t="s">
        <v>83</v>
      </c>
      <c r="BR135" s="80"/>
      <c r="BS135" s="80"/>
    </row>
    <row r="137" spans="2:71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  <c r="AW137" s="79" t="s">
        <v>2</v>
      </c>
      <c r="AX137" s="79"/>
      <c r="AY137" s="79"/>
      <c r="AZ137" s="2">
        <v>9</v>
      </c>
      <c r="BA137" s="2">
        <v>8</v>
      </c>
      <c r="BB137" s="2">
        <v>7</v>
      </c>
      <c r="BC137" s="2">
        <v>6</v>
      </c>
      <c r="BD137" s="2">
        <v>5</v>
      </c>
      <c r="BE137" s="2">
        <v>4</v>
      </c>
      <c r="BF137" s="2">
        <v>3</v>
      </c>
      <c r="BG137" s="2">
        <v>2</v>
      </c>
      <c r="BH137" s="2">
        <v>1</v>
      </c>
      <c r="BI137" s="2">
        <v>2</v>
      </c>
      <c r="BJ137" s="2">
        <v>3</v>
      </c>
      <c r="BK137" s="2">
        <v>4</v>
      </c>
      <c r="BL137" s="2">
        <v>5</v>
      </c>
      <c r="BM137" s="2">
        <v>6</v>
      </c>
      <c r="BN137" s="2">
        <v>7</v>
      </c>
      <c r="BO137" s="2">
        <v>8</v>
      </c>
      <c r="BP137" s="2">
        <v>9</v>
      </c>
      <c r="BQ137" s="79" t="s">
        <v>3</v>
      </c>
      <c r="BR137" s="79"/>
      <c r="BS137" s="79"/>
    </row>
    <row r="138" spans="2:71" x14ac:dyDescent="0.35">
      <c r="B138" s="80" t="s">
        <v>20</v>
      </c>
      <c r="C138" s="80"/>
      <c r="D138" s="8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2"/>
      <c r="T138" s="2"/>
      <c r="U138" s="2"/>
      <c r="V138" s="80" t="s">
        <v>21</v>
      </c>
      <c r="W138" s="80"/>
      <c r="X138" s="80"/>
      <c r="AW138" s="80" t="s">
        <v>20</v>
      </c>
      <c r="AX138" s="80"/>
      <c r="AY138" s="80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3"/>
      <c r="BO138" s="2"/>
      <c r="BP138" s="2"/>
      <c r="BQ138" s="80" t="s">
        <v>21</v>
      </c>
      <c r="BR138" s="80"/>
      <c r="BS138" s="80"/>
    </row>
    <row r="139" spans="2:71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80" t="s">
        <v>22</v>
      </c>
      <c r="W139" s="80"/>
      <c r="X139" s="80"/>
      <c r="AW139" s="80" t="s">
        <v>20</v>
      </c>
      <c r="AX139" s="80"/>
      <c r="AY139" s="80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3"/>
      <c r="BK139" s="2"/>
      <c r="BL139" s="2"/>
      <c r="BM139" s="2"/>
      <c r="BN139" s="2"/>
      <c r="BO139" s="2"/>
      <c r="BP139" s="2"/>
      <c r="BQ139" s="80" t="s">
        <v>22</v>
      </c>
      <c r="BR139" s="80"/>
      <c r="BS139" s="80"/>
    </row>
    <row r="140" spans="2:71" x14ac:dyDescent="0.35">
      <c r="B140" s="80" t="s">
        <v>20</v>
      </c>
      <c r="C140" s="80"/>
      <c r="D140" s="80"/>
      <c r="E140" s="5"/>
      <c r="F140" s="2"/>
      <c r="G140" s="2"/>
      <c r="H140" s="2"/>
      <c r="I140" s="2"/>
      <c r="J140" s="2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0" t="s">
        <v>83</v>
      </c>
      <c r="W140" s="80"/>
      <c r="X140" s="80"/>
      <c r="AW140" s="80" t="s">
        <v>20</v>
      </c>
      <c r="AX140" s="80"/>
      <c r="AY140" s="80"/>
      <c r="AZ140" s="5"/>
      <c r="BA140" s="2"/>
      <c r="BB140" s="2"/>
      <c r="BC140" s="2"/>
      <c r="BD140" s="2"/>
      <c r="BE140" s="2"/>
      <c r="BF140" s="3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80" t="s">
        <v>83</v>
      </c>
      <c r="BR140" s="80"/>
      <c r="BS140" s="80"/>
    </row>
    <row r="142" spans="2:71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  <c r="AW142" s="79" t="s">
        <v>2</v>
      </c>
      <c r="AX142" s="79"/>
      <c r="AY142" s="79"/>
      <c r="AZ142" s="2">
        <v>9</v>
      </c>
      <c r="BA142" s="2">
        <v>8</v>
      </c>
      <c r="BB142" s="2">
        <v>7</v>
      </c>
      <c r="BC142" s="2">
        <v>6</v>
      </c>
      <c r="BD142" s="2">
        <v>5</v>
      </c>
      <c r="BE142" s="2">
        <v>4</v>
      </c>
      <c r="BF142" s="2">
        <v>3</v>
      </c>
      <c r="BG142" s="2">
        <v>2</v>
      </c>
      <c r="BH142" s="2">
        <v>1</v>
      </c>
      <c r="BI142" s="2">
        <v>2</v>
      </c>
      <c r="BJ142" s="2">
        <v>3</v>
      </c>
      <c r="BK142" s="2">
        <v>4</v>
      </c>
      <c r="BL142" s="2">
        <v>5</v>
      </c>
      <c r="BM142" s="2">
        <v>6</v>
      </c>
      <c r="BN142" s="2">
        <v>7</v>
      </c>
      <c r="BO142" s="2">
        <v>8</v>
      </c>
      <c r="BP142" s="2">
        <v>9</v>
      </c>
      <c r="BQ142" s="79" t="s">
        <v>3</v>
      </c>
      <c r="BR142" s="79"/>
      <c r="BS142" s="79"/>
    </row>
    <row r="143" spans="2:71" x14ac:dyDescent="0.35">
      <c r="B143" s="80" t="s">
        <v>21</v>
      </c>
      <c r="C143" s="80"/>
      <c r="D143" s="8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2"/>
      <c r="T143" s="2"/>
      <c r="U143" s="2"/>
      <c r="V143" s="80" t="s">
        <v>22</v>
      </c>
      <c r="W143" s="80"/>
      <c r="X143" s="80"/>
      <c r="AW143" s="80" t="s">
        <v>21</v>
      </c>
      <c r="AX143" s="80"/>
      <c r="AY143" s="80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3"/>
      <c r="BN143" s="2"/>
      <c r="BO143" s="2"/>
      <c r="BP143" s="2"/>
      <c r="BQ143" s="80" t="s">
        <v>22</v>
      </c>
      <c r="BR143" s="80"/>
      <c r="BS143" s="80"/>
    </row>
    <row r="144" spans="2:71" x14ac:dyDescent="0.35">
      <c r="B144" s="80" t="s">
        <v>21</v>
      </c>
      <c r="C144" s="80"/>
      <c r="D144" s="80"/>
      <c r="E144" s="5"/>
      <c r="F144" s="2"/>
      <c r="G144" s="2"/>
      <c r="H144" s="2"/>
      <c r="I144" s="2"/>
      <c r="J144" s="2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80" t="s">
        <v>83</v>
      </c>
      <c r="W144" s="80"/>
      <c r="X144" s="80"/>
      <c r="AW144" s="80" t="s">
        <v>21</v>
      </c>
      <c r="AX144" s="80"/>
      <c r="AY144" s="80"/>
      <c r="AZ144" s="5"/>
      <c r="BA144" s="2"/>
      <c r="BB144" s="2"/>
      <c r="BC144" s="2"/>
      <c r="BD144" s="2"/>
      <c r="BE144" s="2"/>
      <c r="BF144" s="3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80" t="s">
        <v>83</v>
      </c>
      <c r="BR144" s="80"/>
      <c r="BS144" s="80"/>
    </row>
    <row r="146" spans="2:81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  <c r="AW146" s="79" t="s">
        <v>2</v>
      </c>
      <c r="AX146" s="79"/>
      <c r="AY146" s="79"/>
      <c r="AZ146" s="2">
        <v>9</v>
      </c>
      <c r="BA146" s="2">
        <v>8</v>
      </c>
      <c r="BB146" s="2">
        <v>7</v>
      </c>
      <c r="BC146" s="2">
        <v>6</v>
      </c>
      <c r="BD146" s="2">
        <v>5</v>
      </c>
      <c r="BE146" s="2">
        <v>4</v>
      </c>
      <c r="BF146" s="2">
        <v>3</v>
      </c>
      <c r="BG146" s="2">
        <v>2</v>
      </c>
      <c r="BH146" s="2">
        <v>1</v>
      </c>
      <c r="BI146" s="2">
        <v>2</v>
      </c>
      <c r="BJ146" s="2">
        <v>3</v>
      </c>
      <c r="BK146" s="2">
        <v>4</v>
      </c>
      <c r="BL146" s="2">
        <v>5</v>
      </c>
      <c r="BM146" s="2">
        <v>6</v>
      </c>
      <c r="BN146" s="2">
        <v>7</v>
      </c>
      <c r="BO146" s="2">
        <v>8</v>
      </c>
      <c r="BP146" s="2">
        <v>9</v>
      </c>
      <c r="BQ146" s="79" t="s">
        <v>3</v>
      </c>
      <c r="BR146" s="79"/>
      <c r="BS146" s="79"/>
    </row>
    <row r="147" spans="2:81" x14ac:dyDescent="0.35">
      <c r="B147" s="80" t="s">
        <v>22</v>
      </c>
      <c r="C147" s="80"/>
      <c r="D147" s="80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"/>
      <c r="V147" s="80" t="s">
        <v>83</v>
      </c>
      <c r="W147" s="80"/>
      <c r="X147" s="80"/>
      <c r="AW147" s="80" t="s">
        <v>22</v>
      </c>
      <c r="AX147" s="80"/>
      <c r="AY147" s="80"/>
      <c r="AZ147" s="3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80" t="s">
        <v>83</v>
      </c>
      <c r="BR147" s="80"/>
      <c r="BS147" s="80"/>
    </row>
    <row r="148" spans="2:81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</row>
    <row r="149" spans="2:81" x14ac:dyDescent="0.35">
      <c r="B149" s="8" t="s">
        <v>23</v>
      </c>
      <c r="AW149" s="8" t="s">
        <v>23</v>
      </c>
    </row>
    <row r="151" spans="2:81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  <c r="AW151" s="79" t="s">
        <v>2</v>
      </c>
      <c r="AX151" s="79"/>
      <c r="AY151" s="79"/>
      <c r="AZ151" s="2">
        <v>9</v>
      </c>
      <c r="BA151" s="2">
        <v>8</v>
      </c>
      <c r="BB151" s="2">
        <v>7</v>
      </c>
      <c r="BC151" s="2">
        <v>6</v>
      </c>
      <c r="BD151" s="2">
        <v>5</v>
      </c>
      <c r="BE151" s="2">
        <v>4</v>
      </c>
      <c r="BF151" s="2">
        <v>3</v>
      </c>
      <c r="BG151" s="2">
        <v>2</v>
      </c>
      <c r="BH151" s="2">
        <v>1</v>
      </c>
      <c r="BI151" s="2">
        <v>2</v>
      </c>
      <c r="BJ151" s="2">
        <v>3</v>
      </c>
      <c r="BK151" s="2">
        <v>4</v>
      </c>
      <c r="BL151" s="2">
        <v>5</v>
      </c>
      <c r="BM151" s="2">
        <v>6</v>
      </c>
      <c r="BN151" s="2">
        <v>7</v>
      </c>
      <c r="BO151" s="2">
        <v>8</v>
      </c>
      <c r="BP151" s="2">
        <v>9</v>
      </c>
      <c r="BQ151" s="79" t="s">
        <v>3</v>
      </c>
      <c r="BR151" s="79"/>
      <c r="BS151" s="79"/>
      <c r="BV151" s="60"/>
      <c r="BW151" s="60"/>
      <c r="BX151" s="60" t="s">
        <v>92</v>
      </c>
      <c r="BY151" s="60"/>
      <c r="BZ151" s="60" t="s">
        <v>25</v>
      </c>
      <c r="CA151" s="60"/>
      <c r="CB151" s="60" t="s">
        <v>26</v>
      </c>
      <c r="CC151" s="60"/>
    </row>
    <row r="152" spans="2:81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  <c r="AW152" s="80" t="s">
        <v>24</v>
      </c>
      <c r="AX152" s="80"/>
      <c r="AY152" s="80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3"/>
      <c r="BK152" s="2"/>
      <c r="BL152" s="2"/>
      <c r="BM152" s="2"/>
      <c r="BN152" s="2"/>
      <c r="BO152" s="2"/>
      <c r="BP152" s="2"/>
      <c r="BQ152" s="80" t="s">
        <v>25</v>
      </c>
      <c r="BR152" s="80"/>
      <c r="BS152" s="80"/>
      <c r="BV152" s="60"/>
      <c r="BW152" s="60"/>
      <c r="BX152" s="60"/>
      <c r="BY152" s="60"/>
      <c r="BZ152" s="60"/>
      <c r="CA152" s="60"/>
      <c r="CB152" s="60"/>
      <c r="CC152" s="60"/>
    </row>
    <row r="153" spans="2:81" x14ac:dyDescent="0.35">
      <c r="B153" s="80" t="s">
        <v>24</v>
      </c>
      <c r="C153" s="80"/>
      <c r="D153" s="80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v>7</v>
      </c>
      <c r="AF153" s="60"/>
      <c r="AG153" s="63">
        <v>9</v>
      </c>
      <c r="AH153" s="64"/>
      <c r="AW153" s="80" t="s">
        <v>24</v>
      </c>
      <c r="AX153" s="80"/>
      <c r="AY153" s="80"/>
      <c r="AZ153" s="2"/>
      <c r="BA153" s="2"/>
      <c r="BB153" s="2"/>
      <c r="BC153" s="2"/>
      <c r="BD153" s="3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80" t="s">
        <v>26</v>
      </c>
      <c r="BR153" s="80"/>
      <c r="BS153" s="80"/>
      <c r="BV153" s="60" t="s">
        <v>92</v>
      </c>
      <c r="BW153" s="60"/>
      <c r="BX153" s="62">
        <v>1</v>
      </c>
      <c r="BY153" s="62"/>
      <c r="BZ153" s="60">
        <v>3</v>
      </c>
      <c r="CA153" s="60"/>
      <c r="CB153" s="63">
        <f>1/5</f>
        <v>0.2</v>
      </c>
      <c r="CC153" s="64"/>
    </row>
    <row r="154" spans="2:81" x14ac:dyDescent="0.35">
      <c r="AA154" s="60"/>
      <c r="AB154" s="60"/>
      <c r="AC154" s="62"/>
      <c r="AD154" s="62"/>
      <c r="AE154" s="60"/>
      <c r="AF154" s="60"/>
      <c r="AG154" s="65"/>
      <c r="AH154" s="66"/>
      <c r="BV154" s="60"/>
      <c r="BW154" s="60"/>
      <c r="BX154" s="62"/>
      <c r="BY154" s="62"/>
      <c r="BZ154" s="60"/>
      <c r="CA154" s="60"/>
      <c r="CB154" s="65"/>
      <c r="CC154" s="66"/>
    </row>
    <row r="155" spans="2:81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f>1/7</f>
        <v>0.14285714285714285</v>
      </c>
      <c r="AD155" s="60"/>
      <c r="AE155" s="62">
        <v>1</v>
      </c>
      <c r="AF155" s="62"/>
      <c r="AG155" s="60">
        <v>5</v>
      </c>
      <c r="AH155" s="60"/>
      <c r="AW155" s="79" t="s">
        <v>2</v>
      </c>
      <c r="AX155" s="79"/>
      <c r="AY155" s="79"/>
      <c r="AZ155" s="2">
        <v>9</v>
      </c>
      <c r="BA155" s="2">
        <v>8</v>
      </c>
      <c r="BB155" s="2">
        <v>7</v>
      </c>
      <c r="BC155" s="2">
        <v>6</v>
      </c>
      <c r="BD155" s="2">
        <v>5</v>
      </c>
      <c r="BE155" s="2">
        <v>4</v>
      </c>
      <c r="BF155" s="2">
        <v>3</v>
      </c>
      <c r="BG155" s="2">
        <v>2</v>
      </c>
      <c r="BH155" s="2">
        <v>1</v>
      </c>
      <c r="BI155" s="2">
        <v>2</v>
      </c>
      <c r="BJ155" s="2">
        <v>3</v>
      </c>
      <c r="BK155" s="2">
        <v>4</v>
      </c>
      <c r="BL155" s="2">
        <v>5</v>
      </c>
      <c r="BM155" s="2">
        <v>6</v>
      </c>
      <c r="BN155" s="2">
        <v>7</v>
      </c>
      <c r="BO155" s="2">
        <v>8</v>
      </c>
      <c r="BP155" s="2">
        <v>9</v>
      </c>
      <c r="BQ155" s="79" t="s">
        <v>3</v>
      </c>
      <c r="BR155" s="79"/>
      <c r="BS155" s="79"/>
      <c r="BV155" s="60" t="s">
        <v>25</v>
      </c>
      <c r="BW155" s="60"/>
      <c r="BX155" s="60">
        <f>1/3</f>
        <v>0.33333333333333331</v>
      </c>
      <c r="BY155" s="60"/>
      <c r="BZ155" s="62">
        <v>1</v>
      </c>
      <c r="CA155" s="62"/>
      <c r="CB155" s="60">
        <v>5</v>
      </c>
      <c r="CC155" s="60"/>
    </row>
    <row r="156" spans="2:81" x14ac:dyDescent="0.35">
      <c r="B156" s="80" t="s">
        <v>25</v>
      </c>
      <c r="C156" s="80"/>
      <c r="D156" s="8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2"/>
      <c r="T156" s="2"/>
      <c r="U156" s="2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  <c r="AW156" s="80" t="s">
        <v>25</v>
      </c>
      <c r="AX156" s="80"/>
      <c r="AY156" s="80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3"/>
      <c r="BM156" s="2"/>
      <c r="BN156" s="2"/>
      <c r="BO156" s="2"/>
      <c r="BP156" s="2"/>
      <c r="BQ156" s="80" t="s">
        <v>26</v>
      </c>
      <c r="BR156" s="80"/>
      <c r="BS156" s="80"/>
      <c r="BV156" s="60"/>
      <c r="BW156" s="60"/>
      <c r="BX156" s="60"/>
      <c r="BY156" s="60"/>
      <c r="BZ156" s="62"/>
      <c r="CA156" s="62"/>
      <c r="CB156" s="60"/>
      <c r="CC156" s="60"/>
    </row>
    <row r="157" spans="2:81" x14ac:dyDescent="0.35">
      <c r="AA157" s="60" t="s">
        <v>26</v>
      </c>
      <c r="AB157" s="60"/>
      <c r="AC157" s="60">
        <f>1/9</f>
        <v>0.1111111111111111</v>
      </c>
      <c r="AD157" s="60"/>
      <c r="AE157" s="60">
        <f>1/5</f>
        <v>0.2</v>
      </c>
      <c r="AF157" s="60"/>
      <c r="AG157" s="62">
        <v>1</v>
      </c>
      <c r="AH157" s="62"/>
      <c r="BV157" s="60" t="s">
        <v>26</v>
      </c>
      <c r="BW157" s="60"/>
      <c r="BX157" s="60">
        <v>5</v>
      </c>
      <c r="BY157" s="60"/>
      <c r="BZ157" s="60">
        <f>1/5</f>
        <v>0.2</v>
      </c>
      <c r="CA157" s="60"/>
      <c r="CB157" s="62">
        <v>1</v>
      </c>
      <c r="CC157" s="62"/>
    </row>
    <row r="158" spans="2:81" x14ac:dyDescent="0.35">
      <c r="AA158" s="60"/>
      <c r="AB158" s="60"/>
      <c r="AC158" s="60"/>
      <c r="AD158" s="60"/>
      <c r="AE158" s="60"/>
      <c r="AF158" s="60"/>
      <c r="AG158" s="62"/>
      <c r="AH158" s="62"/>
      <c r="BV158" s="60"/>
      <c r="BW158" s="60"/>
      <c r="BX158" s="60"/>
      <c r="BY158" s="60"/>
      <c r="BZ158" s="60"/>
      <c r="CA158" s="60"/>
      <c r="CB158" s="62"/>
      <c r="CC158" s="62"/>
    </row>
  </sheetData>
  <mergeCells count="1042">
    <mergeCell ref="BV157:BW158"/>
    <mergeCell ref="BX157:BY158"/>
    <mergeCell ref="BZ157:CA158"/>
    <mergeCell ref="CB157:CC158"/>
    <mergeCell ref="BV151:BW152"/>
    <mergeCell ref="BX151:BY152"/>
    <mergeCell ref="BZ151:CA152"/>
    <mergeCell ref="CB151:CC152"/>
    <mergeCell ref="BV153:BW154"/>
    <mergeCell ref="BX153:BY154"/>
    <mergeCell ref="BZ153:CA154"/>
    <mergeCell ref="CB153:CC154"/>
    <mergeCell ref="BV155:BW156"/>
    <mergeCell ref="BX155:BY156"/>
    <mergeCell ref="BZ155:CA156"/>
    <mergeCell ref="CB155:CC156"/>
    <mergeCell ref="BX121:BY122"/>
    <mergeCell ref="BZ121:CA122"/>
    <mergeCell ref="CB121:CC122"/>
    <mergeCell ref="CD121:CE122"/>
    <mergeCell ref="CF121:CG122"/>
    <mergeCell ref="CH121:CI122"/>
    <mergeCell ref="CJ121:CK122"/>
    <mergeCell ref="CL121:CM122"/>
    <mergeCell ref="BV123:BW124"/>
    <mergeCell ref="BX123:BY124"/>
    <mergeCell ref="BZ123:CA124"/>
    <mergeCell ref="CB123:CC124"/>
    <mergeCell ref="CD123:CE124"/>
    <mergeCell ref="CF123:CG124"/>
    <mergeCell ref="CH123:CI124"/>
    <mergeCell ref="CJ123:CK124"/>
    <mergeCell ref="CL123:CM124"/>
    <mergeCell ref="BV119:BW120"/>
    <mergeCell ref="BX119:BY120"/>
    <mergeCell ref="BZ119:CA120"/>
    <mergeCell ref="CB119:CC120"/>
    <mergeCell ref="CD119:CE120"/>
    <mergeCell ref="CF119:CG120"/>
    <mergeCell ref="CH119:CI120"/>
    <mergeCell ref="CJ119:CK120"/>
    <mergeCell ref="CL119:CM120"/>
    <mergeCell ref="BV117:BW118"/>
    <mergeCell ref="BX117:BY118"/>
    <mergeCell ref="BZ117:CA118"/>
    <mergeCell ref="CB117:CC118"/>
    <mergeCell ref="CD117:CE118"/>
    <mergeCell ref="CF117:CG118"/>
    <mergeCell ref="CH117:CI118"/>
    <mergeCell ref="CJ117:CK118"/>
    <mergeCell ref="CL117:CM118"/>
    <mergeCell ref="BV115:BW116"/>
    <mergeCell ref="BX115:BY116"/>
    <mergeCell ref="BZ115:CA116"/>
    <mergeCell ref="CB115:CC116"/>
    <mergeCell ref="CD115:CE116"/>
    <mergeCell ref="CF115:CG116"/>
    <mergeCell ref="CH115:CI116"/>
    <mergeCell ref="CJ115:CK116"/>
    <mergeCell ref="CL115:CM116"/>
    <mergeCell ref="BV113:BW114"/>
    <mergeCell ref="BX113:BY114"/>
    <mergeCell ref="BZ113:CA114"/>
    <mergeCell ref="CB113:CC114"/>
    <mergeCell ref="CD113:CE114"/>
    <mergeCell ref="CF113:CG114"/>
    <mergeCell ref="CH113:CI114"/>
    <mergeCell ref="CJ113:CK114"/>
    <mergeCell ref="CL113:CM114"/>
    <mergeCell ref="BV111:BW112"/>
    <mergeCell ref="BX111:BY112"/>
    <mergeCell ref="BZ111:CA112"/>
    <mergeCell ref="CB111:CC112"/>
    <mergeCell ref="CD111:CE112"/>
    <mergeCell ref="CF111:CG112"/>
    <mergeCell ref="CH111:CI112"/>
    <mergeCell ref="CJ111:CK112"/>
    <mergeCell ref="CL111:CM112"/>
    <mergeCell ref="BV109:BW110"/>
    <mergeCell ref="BX109:BY110"/>
    <mergeCell ref="BZ109:CA110"/>
    <mergeCell ref="CB109:CC110"/>
    <mergeCell ref="CD109:CE110"/>
    <mergeCell ref="CF109:CG110"/>
    <mergeCell ref="CH109:CI110"/>
    <mergeCell ref="CJ109:CK110"/>
    <mergeCell ref="CL109:CM110"/>
    <mergeCell ref="BV107:BW108"/>
    <mergeCell ref="BX107:BY108"/>
    <mergeCell ref="BZ107:CA108"/>
    <mergeCell ref="CB107:CC108"/>
    <mergeCell ref="CD107:CE108"/>
    <mergeCell ref="CF107:CG108"/>
    <mergeCell ref="CH107:CI108"/>
    <mergeCell ref="CJ107:CK108"/>
    <mergeCell ref="CL107:CM108"/>
    <mergeCell ref="BV99:BW100"/>
    <mergeCell ref="BX99:BY100"/>
    <mergeCell ref="BZ99:CA100"/>
    <mergeCell ref="CB99:CC100"/>
    <mergeCell ref="BV101:BW102"/>
    <mergeCell ref="BX101:BY102"/>
    <mergeCell ref="BZ101:CA102"/>
    <mergeCell ref="CB101:CC102"/>
    <mergeCell ref="BV103:BW104"/>
    <mergeCell ref="BX103:BY104"/>
    <mergeCell ref="BZ103:CA104"/>
    <mergeCell ref="CB103:CC104"/>
    <mergeCell ref="BV77:BW78"/>
    <mergeCell ref="BX77:BY78"/>
    <mergeCell ref="BZ77:CA78"/>
    <mergeCell ref="CB77:CC78"/>
    <mergeCell ref="CD77:CE78"/>
    <mergeCell ref="CF77:CG78"/>
    <mergeCell ref="CH77:CI78"/>
    <mergeCell ref="CJ77:CK78"/>
    <mergeCell ref="BV97:BW98"/>
    <mergeCell ref="BX97:BY98"/>
    <mergeCell ref="BZ97:CA98"/>
    <mergeCell ref="CB97:CC98"/>
    <mergeCell ref="BV73:BW74"/>
    <mergeCell ref="BX73:BY74"/>
    <mergeCell ref="BZ73:CA74"/>
    <mergeCell ref="CB73:CC74"/>
    <mergeCell ref="CD73:CE74"/>
    <mergeCell ref="CF73:CG74"/>
    <mergeCell ref="CH73:CI74"/>
    <mergeCell ref="CJ73:CK74"/>
    <mergeCell ref="BV75:BW76"/>
    <mergeCell ref="BX75:BY76"/>
    <mergeCell ref="BZ75:CA76"/>
    <mergeCell ref="CB75:CC76"/>
    <mergeCell ref="CD75:CE76"/>
    <mergeCell ref="CF75:CG76"/>
    <mergeCell ref="CH75:CI76"/>
    <mergeCell ref="CJ75:CK76"/>
    <mergeCell ref="BV69:BW70"/>
    <mergeCell ref="BX69:BY70"/>
    <mergeCell ref="BZ69:CA70"/>
    <mergeCell ref="CB69:CC70"/>
    <mergeCell ref="CD69:CE70"/>
    <mergeCell ref="CF69:CG70"/>
    <mergeCell ref="CH69:CI70"/>
    <mergeCell ref="CJ69:CK70"/>
    <mergeCell ref="BV71:BW72"/>
    <mergeCell ref="BX71:BY72"/>
    <mergeCell ref="BZ71:CA72"/>
    <mergeCell ref="CB71:CC72"/>
    <mergeCell ref="CD71:CE72"/>
    <mergeCell ref="CF71:CG72"/>
    <mergeCell ref="CH71:CI72"/>
    <mergeCell ref="CJ71:CK72"/>
    <mergeCell ref="BV65:BW66"/>
    <mergeCell ref="BX65:BY66"/>
    <mergeCell ref="BZ65:CA66"/>
    <mergeCell ref="CB65:CC66"/>
    <mergeCell ref="CD65:CE66"/>
    <mergeCell ref="CF65:CG66"/>
    <mergeCell ref="CH65:CI66"/>
    <mergeCell ref="CJ65:CK66"/>
    <mergeCell ref="BV67:BW68"/>
    <mergeCell ref="BX67:BY68"/>
    <mergeCell ref="BZ67:CA68"/>
    <mergeCell ref="CB67:CC68"/>
    <mergeCell ref="CD67:CE68"/>
    <mergeCell ref="CF67:CG68"/>
    <mergeCell ref="CH67:CI68"/>
    <mergeCell ref="CJ67:CK68"/>
    <mergeCell ref="BV61:BW62"/>
    <mergeCell ref="BX61:BY62"/>
    <mergeCell ref="BZ61:CA62"/>
    <mergeCell ref="CB61:CC62"/>
    <mergeCell ref="CD61:CE62"/>
    <mergeCell ref="CF61:CG62"/>
    <mergeCell ref="CH61:CI62"/>
    <mergeCell ref="CJ61:CK62"/>
    <mergeCell ref="BV63:BW64"/>
    <mergeCell ref="BX63:BY64"/>
    <mergeCell ref="BZ63:CA64"/>
    <mergeCell ref="CB63:CC64"/>
    <mergeCell ref="CD63:CE64"/>
    <mergeCell ref="CF63:CG64"/>
    <mergeCell ref="CH63:CI64"/>
    <mergeCell ref="CJ63:CK64"/>
    <mergeCell ref="AQ107:AR108"/>
    <mergeCell ref="AW62:AY62"/>
    <mergeCell ref="BQ62:BS62"/>
    <mergeCell ref="AW63:AY63"/>
    <mergeCell ref="BQ63:BS63"/>
    <mergeCell ref="AW64:AY64"/>
    <mergeCell ref="BQ64:BS64"/>
    <mergeCell ref="AW76:AY76"/>
    <mergeCell ref="BQ76:BS76"/>
    <mergeCell ref="AW77:AY77"/>
    <mergeCell ref="BQ77:BS77"/>
    <mergeCell ref="AW78:AY78"/>
    <mergeCell ref="BQ78:BS78"/>
    <mergeCell ref="AW72:AY72"/>
    <mergeCell ref="BQ72:BS72"/>
    <mergeCell ref="AW73:AY73"/>
    <mergeCell ref="AQ109:AR110"/>
    <mergeCell ref="AQ111:AR112"/>
    <mergeCell ref="AQ113:AR114"/>
    <mergeCell ref="AQ115:AR116"/>
    <mergeCell ref="AQ117:AR118"/>
    <mergeCell ref="AQ119:AR120"/>
    <mergeCell ref="AQ121:AR122"/>
    <mergeCell ref="AQ123:AR124"/>
    <mergeCell ref="AA153:AB154"/>
    <mergeCell ref="AC153:AD154"/>
    <mergeCell ref="AE153:AF154"/>
    <mergeCell ref="AG153:AH154"/>
    <mergeCell ref="AA155:AB156"/>
    <mergeCell ref="AC155:AD156"/>
    <mergeCell ref="AE155:AF156"/>
    <mergeCell ref="AG155:AH156"/>
    <mergeCell ref="AA157:AB158"/>
    <mergeCell ref="AC157:AD158"/>
    <mergeCell ref="AE157:AF158"/>
    <mergeCell ref="AG157:AH158"/>
    <mergeCell ref="AC123:AD124"/>
    <mergeCell ref="AE123:AF124"/>
    <mergeCell ref="AG123:AH124"/>
    <mergeCell ref="AI123:AJ124"/>
    <mergeCell ref="AK123:AL124"/>
    <mergeCell ref="AM123:AN124"/>
    <mergeCell ref="AO123:AP124"/>
    <mergeCell ref="AA151:AB152"/>
    <mergeCell ref="AC151:AD152"/>
    <mergeCell ref="AE151:AF152"/>
    <mergeCell ref="AG151:AH152"/>
    <mergeCell ref="AA123:AB124"/>
    <mergeCell ref="AA119:AB120"/>
    <mergeCell ref="AC119:AD120"/>
    <mergeCell ref="AE119:AF120"/>
    <mergeCell ref="AG119:AH120"/>
    <mergeCell ref="AI119:AJ120"/>
    <mergeCell ref="AK119:AL120"/>
    <mergeCell ref="AM119:AN120"/>
    <mergeCell ref="AO119:AP120"/>
    <mergeCell ref="AA121:AB122"/>
    <mergeCell ref="AC121:AD122"/>
    <mergeCell ref="AE121:AF122"/>
    <mergeCell ref="AG121:AH122"/>
    <mergeCell ref="AI121:AJ122"/>
    <mergeCell ref="AK121:AL122"/>
    <mergeCell ref="AM121:AN122"/>
    <mergeCell ref="AO121:AP122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A107:AB108"/>
    <mergeCell ref="AC107:AD108"/>
    <mergeCell ref="AE107:AF108"/>
    <mergeCell ref="AG107:AH108"/>
    <mergeCell ref="AI107:AJ108"/>
    <mergeCell ref="AK107:AL108"/>
    <mergeCell ref="AM107:AN108"/>
    <mergeCell ref="AO107:AP108"/>
    <mergeCell ref="AA109:AB110"/>
    <mergeCell ref="AC109:AD110"/>
    <mergeCell ref="AE109:AF110"/>
    <mergeCell ref="AG109:AH110"/>
    <mergeCell ref="AI109:AJ110"/>
    <mergeCell ref="AK109:AL110"/>
    <mergeCell ref="AM109:AN110"/>
    <mergeCell ref="AO109:AP110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AA103:AB104"/>
    <mergeCell ref="AC103:AD104"/>
    <mergeCell ref="AE103:AF104"/>
    <mergeCell ref="AG103:AH104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AA97:AB98"/>
    <mergeCell ref="AC97:AD98"/>
    <mergeCell ref="AE97:AF98"/>
    <mergeCell ref="AG97:AH98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5:AB76"/>
    <mergeCell ref="AC75:AD76"/>
    <mergeCell ref="AE75:AF76"/>
    <mergeCell ref="AG75:AH76"/>
    <mergeCell ref="AI75:AJ76"/>
    <mergeCell ref="AK75:AL76"/>
    <mergeCell ref="AM75:AN76"/>
    <mergeCell ref="AO75:AP76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E2:U2"/>
    <mergeCell ref="AI10:AJ11"/>
    <mergeCell ref="AK10:AL11"/>
    <mergeCell ref="AM10:AN11"/>
    <mergeCell ref="AO10:AP11"/>
    <mergeCell ref="AO16:AP17"/>
    <mergeCell ref="AI22:AJ23"/>
    <mergeCell ref="AK22:AL23"/>
    <mergeCell ref="AM22:AN23"/>
    <mergeCell ref="AO22:AP23"/>
    <mergeCell ref="V16:X16"/>
    <mergeCell ref="AA16:AB17"/>
    <mergeCell ref="AC16:AD17"/>
    <mergeCell ref="AE16:AF17"/>
    <mergeCell ref="AG20:AH21"/>
    <mergeCell ref="AI20:AJ21"/>
    <mergeCell ref="B4:C4"/>
    <mergeCell ref="B6:D6"/>
    <mergeCell ref="V6:X6"/>
    <mergeCell ref="AA6:AB7"/>
    <mergeCell ref="AC6:AD7"/>
    <mergeCell ref="AK8:AL9"/>
    <mergeCell ref="AM8:AN9"/>
    <mergeCell ref="AO8:AP9"/>
    <mergeCell ref="AQ8:AR9"/>
    <mergeCell ref="B9:D9"/>
    <mergeCell ref="V9:X9"/>
    <mergeCell ref="AQ6:AR7"/>
    <mergeCell ref="B7:D7"/>
    <mergeCell ref="V7:X7"/>
    <mergeCell ref="B8:D8"/>
    <mergeCell ref="V8:X8"/>
    <mergeCell ref="AA8:AB9"/>
    <mergeCell ref="AC8:AD9"/>
    <mergeCell ref="AE8:AF9"/>
    <mergeCell ref="AG8:AH9"/>
    <mergeCell ref="AI8:AJ9"/>
    <mergeCell ref="AE6:AF7"/>
    <mergeCell ref="AG6:AH7"/>
    <mergeCell ref="AI6:AJ7"/>
    <mergeCell ref="AK6:AL7"/>
    <mergeCell ref="AM6:AN7"/>
    <mergeCell ref="AO6:AP7"/>
    <mergeCell ref="AQ10:AR11"/>
    <mergeCell ref="B11:D11"/>
    <mergeCell ref="V11:X11"/>
    <mergeCell ref="B10:D10"/>
    <mergeCell ref="V10:X10"/>
    <mergeCell ref="AA10:AB11"/>
    <mergeCell ref="AC10:AD11"/>
    <mergeCell ref="AE10:AF11"/>
    <mergeCell ref="AG10:AH11"/>
    <mergeCell ref="AI12:AJ13"/>
    <mergeCell ref="AK12:AL13"/>
    <mergeCell ref="AM12:AN13"/>
    <mergeCell ref="AO12:AP13"/>
    <mergeCell ref="AQ12:AR13"/>
    <mergeCell ref="B13:D13"/>
    <mergeCell ref="V13:X13"/>
    <mergeCell ref="B12:D12"/>
    <mergeCell ref="V12:X12"/>
    <mergeCell ref="AA12:AB13"/>
    <mergeCell ref="AC12:AD13"/>
    <mergeCell ref="AE12:AF13"/>
    <mergeCell ref="AG12:AH13"/>
    <mergeCell ref="B14:D14"/>
    <mergeCell ref="V14:X14"/>
    <mergeCell ref="AA14:AB15"/>
    <mergeCell ref="AC14:AD15"/>
    <mergeCell ref="AE14:AF15"/>
    <mergeCell ref="B17:D17"/>
    <mergeCell ref="V17:X17"/>
    <mergeCell ref="AG16:AH17"/>
    <mergeCell ref="AI16:AJ17"/>
    <mergeCell ref="AK16:AL17"/>
    <mergeCell ref="AK20:AL21"/>
    <mergeCell ref="AM20:AN21"/>
    <mergeCell ref="AM16:AN17"/>
    <mergeCell ref="AQ16:AR17"/>
    <mergeCell ref="AI14:AJ15"/>
    <mergeCell ref="AK14:AL15"/>
    <mergeCell ref="AM14:AN15"/>
    <mergeCell ref="AO14:AP15"/>
    <mergeCell ref="AQ14:AR15"/>
    <mergeCell ref="AG14:AH15"/>
    <mergeCell ref="AO20:AP21"/>
    <mergeCell ref="AQ20:AR21"/>
    <mergeCell ref="B21:D21"/>
    <mergeCell ref="V21:X21"/>
    <mergeCell ref="AQ18:AR19"/>
    <mergeCell ref="B19:D19"/>
    <mergeCell ref="V19:X19"/>
    <mergeCell ref="B20:D20"/>
    <mergeCell ref="V20:X20"/>
    <mergeCell ref="AA20:AB21"/>
    <mergeCell ref="AC20:AD21"/>
    <mergeCell ref="AE20:AF21"/>
    <mergeCell ref="AE18:AF19"/>
    <mergeCell ref="AG18:AH19"/>
    <mergeCell ref="AI18:AJ19"/>
    <mergeCell ref="AK18:AL19"/>
    <mergeCell ref="AM18:AN19"/>
    <mergeCell ref="AO18:AP19"/>
    <mergeCell ref="B18:D18"/>
    <mergeCell ref="V18:X18"/>
    <mergeCell ref="AA18:AB19"/>
    <mergeCell ref="AC18:AD19"/>
    <mergeCell ref="B16:D16"/>
    <mergeCell ref="AQ22:AR23"/>
    <mergeCell ref="B23:D23"/>
    <mergeCell ref="V23:X23"/>
    <mergeCell ref="B22:D22"/>
    <mergeCell ref="V22:X22"/>
    <mergeCell ref="AA22:AB23"/>
    <mergeCell ref="AC22:AD23"/>
    <mergeCell ref="AE22:AF23"/>
    <mergeCell ref="AG22:AH23"/>
    <mergeCell ref="AM24:AN25"/>
    <mergeCell ref="AO24:AP25"/>
    <mergeCell ref="AQ24:AR25"/>
    <mergeCell ref="B25:D25"/>
    <mergeCell ref="V25:X25"/>
    <mergeCell ref="B26:D26"/>
    <mergeCell ref="V26:X26"/>
    <mergeCell ref="AA24:AB25"/>
    <mergeCell ref="AC24:AD25"/>
    <mergeCell ref="AE24:AF25"/>
    <mergeCell ref="AG24:AH25"/>
    <mergeCell ref="AI24:AJ25"/>
    <mergeCell ref="AK24:AL25"/>
    <mergeCell ref="B30:D30"/>
    <mergeCell ref="V30:X30"/>
    <mergeCell ref="B31:D31"/>
    <mergeCell ref="V31:X31"/>
    <mergeCell ref="B33:D33"/>
    <mergeCell ref="V33:X33"/>
    <mergeCell ref="B27:D27"/>
    <mergeCell ref="V27:X27"/>
    <mergeCell ref="B28:D28"/>
    <mergeCell ref="V28:X28"/>
    <mergeCell ref="B29:D29"/>
    <mergeCell ref="V29:X29"/>
    <mergeCell ref="B37:D37"/>
    <mergeCell ref="V37:X37"/>
    <mergeCell ref="B38:D38"/>
    <mergeCell ref="V38:X38"/>
    <mergeCell ref="B40:D40"/>
    <mergeCell ref="V40:X40"/>
    <mergeCell ref="B34:D34"/>
    <mergeCell ref="V34:X34"/>
    <mergeCell ref="B35:D35"/>
    <mergeCell ref="V35:X35"/>
    <mergeCell ref="B36:D36"/>
    <mergeCell ref="V36:X36"/>
    <mergeCell ref="B44:D44"/>
    <mergeCell ref="V44:X44"/>
    <mergeCell ref="B46:D46"/>
    <mergeCell ref="V46:X46"/>
    <mergeCell ref="B47:D47"/>
    <mergeCell ref="V47:X47"/>
    <mergeCell ref="B41:D41"/>
    <mergeCell ref="V41:X41"/>
    <mergeCell ref="B42:D42"/>
    <mergeCell ref="V42:X42"/>
    <mergeCell ref="B43:D43"/>
    <mergeCell ref="V43:X43"/>
    <mergeCell ref="B52:D52"/>
    <mergeCell ref="V52:X52"/>
    <mergeCell ref="B53:D53"/>
    <mergeCell ref="V53:X53"/>
    <mergeCell ref="B55:D55"/>
    <mergeCell ref="V55:X55"/>
    <mergeCell ref="B48:D48"/>
    <mergeCell ref="V48:X48"/>
    <mergeCell ref="B49:D49"/>
    <mergeCell ref="V49:X49"/>
    <mergeCell ref="B51:D51"/>
    <mergeCell ref="V51:X51"/>
    <mergeCell ref="B63:D63"/>
    <mergeCell ref="V63:X63"/>
    <mergeCell ref="B64:D64"/>
    <mergeCell ref="V64:X64"/>
    <mergeCell ref="B65:D65"/>
    <mergeCell ref="V65:X65"/>
    <mergeCell ref="B56:D56"/>
    <mergeCell ref="V56:X56"/>
    <mergeCell ref="B59:C59"/>
    <mergeCell ref="B61:D61"/>
    <mergeCell ref="V61:X61"/>
    <mergeCell ref="B62:D62"/>
    <mergeCell ref="V62:X62"/>
    <mergeCell ref="B70:D70"/>
    <mergeCell ref="V70:X70"/>
    <mergeCell ref="B71:D71"/>
    <mergeCell ref="V71:X71"/>
    <mergeCell ref="B72:D72"/>
    <mergeCell ref="V72:X72"/>
    <mergeCell ref="B66:D66"/>
    <mergeCell ref="V66:X66"/>
    <mergeCell ref="B67:D67"/>
    <mergeCell ref="V67:X67"/>
    <mergeCell ref="B69:D69"/>
    <mergeCell ref="V69:X69"/>
    <mergeCell ref="B77:D77"/>
    <mergeCell ref="V77:X77"/>
    <mergeCell ref="B78:D78"/>
    <mergeCell ref="V78:X78"/>
    <mergeCell ref="B79:D79"/>
    <mergeCell ref="V79:X79"/>
    <mergeCell ref="B73:D73"/>
    <mergeCell ref="V73:X73"/>
    <mergeCell ref="B74:D74"/>
    <mergeCell ref="V74:X74"/>
    <mergeCell ref="B76:D76"/>
    <mergeCell ref="V76:X76"/>
    <mergeCell ref="B84:D84"/>
    <mergeCell ref="V84:X84"/>
    <mergeCell ref="B85:D85"/>
    <mergeCell ref="V85:X85"/>
    <mergeCell ref="B87:D87"/>
    <mergeCell ref="V87:X87"/>
    <mergeCell ref="B80:D80"/>
    <mergeCell ref="V80:X80"/>
    <mergeCell ref="B82:D82"/>
    <mergeCell ref="V82:X82"/>
    <mergeCell ref="B83:D83"/>
    <mergeCell ref="V83:X83"/>
    <mergeCell ref="B92:D92"/>
    <mergeCell ref="V92:X92"/>
    <mergeCell ref="B95:D95"/>
    <mergeCell ref="B97:D97"/>
    <mergeCell ref="V97:X97"/>
    <mergeCell ref="B98:D98"/>
    <mergeCell ref="V98:X98"/>
    <mergeCell ref="B88:D88"/>
    <mergeCell ref="V88:X88"/>
    <mergeCell ref="B89:D89"/>
    <mergeCell ref="V89:X89"/>
    <mergeCell ref="B91:D91"/>
    <mergeCell ref="V91:X91"/>
    <mergeCell ref="B107:D107"/>
    <mergeCell ref="V107:X107"/>
    <mergeCell ref="B108:D108"/>
    <mergeCell ref="V108:X108"/>
    <mergeCell ref="B109:D109"/>
    <mergeCell ref="V109:X109"/>
    <mergeCell ref="B99:D99"/>
    <mergeCell ref="V99:X99"/>
    <mergeCell ref="B101:D101"/>
    <mergeCell ref="V101:X101"/>
    <mergeCell ref="B102:D102"/>
    <mergeCell ref="V102:X102"/>
    <mergeCell ref="B114:D114"/>
    <mergeCell ref="V114:X114"/>
    <mergeCell ref="B116:D116"/>
    <mergeCell ref="V116:X116"/>
    <mergeCell ref="B110:D110"/>
    <mergeCell ref="V110:X110"/>
    <mergeCell ref="B111:D111"/>
    <mergeCell ref="V111:X111"/>
    <mergeCell ref="B112:D112"/>
    <mergeCell ref="V112:X112"/>
    <mergeCell ref="B120:D120"/>
    <mergeCell ref="V120:X120"/>
    <mergeCell ref="B121:D121"/>
    <mergeCell ref="V121:X121"/>
    <mergeCell ref="B122:D122"/>
    <mergeCell ref="V122:X122"/>
    <mergeCell ref="B117:D117"/>
    <mergeCell ref="V117:X117"/>
    <mergeCell ref="B118:D118"/>
    <mergeCell ref="V118:X118"/>
    <mergeCell ref="B119:D119"/>
    <mergeCell ref="V119:X119"/>
    <mergeCell ref="AZ2:BP2"/>
    <mergeCell ref="AW4:AX4"/>
    <mergeCell ref="AS6:AT7"/>
    <mergeCell ref="AW6:AY6"/>
    <mergeCell ref="AS8:AT9"/>
    <mergeCell ref="AW8:AY8"/>
    <mergeCell ref="AS10:AT11"/>
    <mergeCell ref="AW10:AY10"/>
    <mergeCell ref="B152:D152"/>
    <mergeCell ref="V152:X152"/>
    <mergeCell ref="B153:D153"/>
    <mergeCell ref="V153:X153"/>
    <mergeCell ref="B155:D155"/>
    <mergeCell ref="V155:X155"/>
    <mergeCell ref="B146:D146"/>
    <mergeCell ref="V146:X146"/>
    <mergeCell ref="B147:D147"/>
    <mergeCell ref="V147:X147"/>
    <mergeCell ref="B151:D151"/>
    <mergeCell ref="V151:X151"/>
    <mergeCell ref="B127:D127"/>
    <mergeCell ref="V127:X127"/>
    <mergeCell ref="B128:D128"/>
    <mergeCell ref="V128:X128"/>
    <mergeCell ref="B129:D129"/>
    <mergeCell ref="V129:X129"/>
    <mergeCell ref="B124:D124"/>
    <mergeCell ref="V124:X124"/>
    <mergeCell ref="B125:D125"/>
    <mergeCell ref="V125:X125"/>
    <mergeCell ref="B126:D126"/>
    <mergeCell ref="V126:X126"/>
    <mergeCell ref="CB8:CC9"/>
    <mergeCell ref="CD8:CE9"/>
    <mergeCell ref="CF10:CG11"/>
    <mergeCell ref="CH10:CI11"/>
    <mergeCell ref="CJ10:CK11"/>
    <mergeCell ref="CL10:CM11"/>
    <mergeCell ref="B143:D143"/>
    <mergeCell ref="V143:X143"/>
    <mergeCell ref="B144:D144"/>
    <mergeCell ref="V144:X144"/>
    <mergeCell ref="B138:D138"/>
    <mergeCell ref="V138:X138"/>
    <mergeCell ref="B139:D139"/>
    <mergeCell ref="V139:X139"/>
    <mergeCell ref="B140:D140"/>
    <mergeCell ref="V140:X140"/>
    <mergeCell ref="B156:D156"/>
    <mergeCell ref="V156:X156"/>
    <mergeCell ref="B134:D134"/>
    <mergeCell ref="V134:X134"/>
    <mergeCell ref="B135:D135"/>
    <mergeCell ref="V135:X135"/>
    <mergeCell ref="B137:D137"/>
    <mergeCell ref="V137:X137"/>
    <mergeCell ref="B131:D131"/>
    <mergeCell ref="V131:X131"/>
    <mergeCell ref="B132:D132"/>
    <mergeCell ref="V132:X132"/>
    <mergeCell ref="B133:D133"/>
    <mergeCell ref="V133:X133"/>
    <mergeCell ref="B113:D113"/>
    <mergeCell ref="V113:X113"/>
    <mergeCell ref="AS12:AT13"/>
    <mergeCell ref="AW12:AY12"/>
    <mergeCell ref="BQ12:BS12"/>
    <mergeCell ref="BV12:BW13"/>
    <mergeCell ref="BX12:BY13"/>
    <mergeCell ref="BZ12:CA13"/>
    <mergeCell ref="B142:D142"/>
    <mergeCell ref="V142:X142"/>
    <mergeCell ref="CF6:CG7"/>
    <mergeCell ref="CH6:CI7"/>
    <mergeCell ref="CJ6:CK7"/>
    <mergeCell ref="CL6:CM7"/>
    <mergeCell ref="CN6:CO7"/>
    <mergeCell ref="AW7:AY7"/>
    <mergeCell ref="BQ7:BS7"/>
    <mergeCell ref="BQ6:BS6"/>
    <mergeCell ref="BV6:BW7"/>
    <mergeCell ref="BX6:BY7"/>
    <mergeCell ref="BZ6:CA7"/>
    <mergeCell ref="CB6:CC7"/>
    <mergeCell ref="CD6:CE7"/>
    <mergeCell ref="CF8:CG9"/>
    <mergeCell ref="CH8:CI9"/>
    <mergeCell ref="CJ8:CK9"/>
    <mergeCell ref="CL8:CM9"/>
    <mergeCell ref="CN8:CO9"/>
    <mergeCell ref="AW9:AY9"/>
    <mergeCell ref="BQ9:BS9"/>
    <mergeCell ref="BQ8:BS8"/>
    <mergeCell ref="BV8:BW9"/>
    <mergeCell ref="BX8:BY9"/>
    <mergeCell ref="BZ8:CA9"/>
    <mergeCell ref="CN14:CO15"/>
    <mergeCell ref="CN12:CO13"/>
    <mergeCell ref="AW13:AY13"/>
    <mergeCell ref="BQ13:BS13"/>
    <mergeCell ref="CF12:CG13"/>
    <mergeCell ref="CH12:CI13"/>
    <mergeCell ref="CJ12:CK13"/>
    <mergeCell ref="CL12:CM13"/>
    <mergeCell ref="CJ18:CK19"/>
    <mergeCell ref="CL18:CM19"/>
    <mergeCell ref="CN18:CO19"/>
    <mergeCell ref="CN16:CO17"/>
    <mergeCell ref="AW17:AY17"/>
    <mergeCell ref="BQ17:BS17"/>
    <mergeCell ref="CN10:CO11"/>
    <mergeCell ref="AW11:AY11"/>
    <mergeCell ref="BQ11:BS11"/>
    <mergeCell ref="BQ10:BS10"/>
    <mergeCell ref="BV10:BW11"/>
    <mergeCell ref="BX10:BY11"/>
    <mergeCell ref="BZ10:CA11"/>
    <mergeCell ref="CB10:CC11"/>
    <mergeCell ref="CD10:CE11"/>
    <mergeCell ref="AW14:AY14"/>
    <mergeCell ref="BQ14:BS14"/>
    <mergeCell ref="BV14:BW15"/>
    <mergeCell ref="BX14:BY15"/>
    <mergeCell ref="BZ14:CA15"/>
    <mergeCell ref="CB14:CC15"/>
    <mergeCell ref="CB12:CC13"/>
    <mergeCell ref="CD12:CE13"/>
    <mergeCell ref="CB16:CC17"/>
    <mergeCell ref="CD16:CE17"/>
    <mergeCell ref="CF16:CG17"/>
    <mergeCell ref="CH16:CI17"/>
    <mergeCell ref="CJ16:CK17"/>
    <mergeCell ref="CL16:CM17"/>
    <mergeCell ref="AS16:AT17"/>
    <mergeCell ref="AW16:AY16"/>
    <mergeCell ref="BQ16:BS16"/>
    <mergeCell ref="BV16:BW17"/>
    <mergeCell ref="BX16:BY17"/>
    <mergeCell ref="AW19:AY19"/>
    <mergeCell ref="BQ19:BS19"/>
    <mergeCell ref="BZ16:CA17"/>
    <mergeCell ref="CD14:CE15"/>
    <mergeCell ref="CF14:CG15"/>
    <mergeCell ref="CH14:CI15"/>
    <mergeCell ref="CJ14:CK15"/>
    <mergeCell ref="CL14:CM15"/>
    <mergeCell ref="AS14:AT15"/>
    <mergeCell ref="AS20:AT21"/>
    <mergeCell ref="AW20:AY20"/>
    <mergeCell ref="BQ20:BS20"/>
    <mergeCell ref="BV20:BW21"/>
    <mergeCell ref="CD18:CE19"/>
    <mergeCell ref="CF18:CG19"/>
    <mergeCell ref="CH18:CI19"/>
    <mergeCell ref="CJ20:CK21"/>
    <mergeCell ref="CL20:CM21"/>
    <mergeCell ref="CN20:CO21"/>
    <mergeCell ref="AW21:AY21"/>
    <mergeCell ref="BQ21:BS21"/>
    <mergeCell ref="AS22:AT23"/>
    <mergeCell ref="AW22:AY22"/>
    <mergeCell ref="BQ22:BS22"/>
    <mergeCell ref="BV22:BW23"/>
    <mergeCell ref="BX22:BY23"/>
    <mergeCell ref="BX20:BY21"/>
    <mergeCell ref="BZ20:CA21"/>
    <mergeCell ref="CB20:CC21"/>
    <mergeCell ref="CD20:CE21"/>
    <mergeCell ref="CF20:CG21"/>
    <mergeCell ref="CH20:CI21"/>
    <mergeCell ref="AS18:AT19"/>
    <mergeCell ref="AW18:AY18"/>
    <mergeCell ref="BQ18:BS18"/>
    <mergeCell ref="BV18:BW19"/>
    <mergeCell ref="BX18:BY19"/>
    <mergeCell ref="BZ18:CA19"/>
    <mergeCell ref="CB18:CC19"/>
    <mergeCell ref="AS24:AT25"/>
    <mergeCell ref="BV24:BW25"/>
    <mergeCell ref="BX24:BY25"/>
    <mergeCell ref="BZ24:CA25"/>
    <mergeCell ref="CB24:CC25"/>
    <mergeCell ref="CD24:CE25"/>
    <mergeCell ref="BZ22:CA23"/>
    <mergeCell ref="CB22:CC23"/>
    <mergeCell ref="CD22:CE23"/>
    <mergeCell ref="CF24:CG25"/>
    <mergeCell ref="CH24:CI25"/>
    <mergeCell ref="CJ24:CK25"/>
    <mergeCell ref="CL24:CM25"/>
    <mergeCell ref="CN24:CO25"/>
    <mergeCell ref="AW25:AY25"/>
    <mergeCell ref="BQ25:BS25"/>
    <mergeCell ref="CL22:CM23"/>
    <mergeCell ref="CN22:CO23"/>
    <mergeCell ref="AW23:AY23"/>
    <mergeCell ref="BQ23:BS23"/>
    <mergeCell ref="CF22:CG23"/>
    <mergeCell ref="CH22:CI23"/>
    <mergeCell ref="CJ22:CK23"/>
    <mergeCell ref="AW29:AY29"/>
    <mergeCell ref="BQ29:BS29"/>
    <mergeCell ref="AW30:AY30"/>
    <mergeCell ref="BQ30:BS30"/>
    <mergeCell ref="AW31:AY31"/>
    <mergeCell ref="BQ31:BS31"/>
    <mergeCell ref="AW26:AY26"/>
    <mergeCell ref="BQ26:BS26"/>
    <mergeCell ref="AW27:AY27"/>
    <mergeCell ref="BQ27:BS27"/>
    <mergeCell ref="AW28:AY28"/>
    <mergeCell ref="BQ28:BS28"/>
    <mergeCell ref="AW36:AY36"/>
    <mergeCell ref="BQ36:BS36"/>
    <mergeCell ref="AW37:AY37"/>
    <mergeCell ref="BQ37:BS37"/>
    <mergeCell ref="AW38:AY38"/>
    <mergeCell ref="BQ38:BS38"/>
    <mergeCell ref="AW33:AY33"/>
    <mergeCell ref="BQ33:BS33"/>
    <mergeCell ref="AW34:AY34"/>
    <mergeCell ref="BQ34:BS34"/>
    <mergeCell ref="AW35:AY35"/>
    <mergeCell ref="BQ35:BS35"/>
    <mergeCell ref="AW43:AY43"/>
    <mergeCell ref="BQ43:BS43"/>
    <mergeCell ref="AW44:AY44"/>
    <mergeCell ref="BQ44:BS44"/>
    <mergeCell ref="AW46:AY46"/>
    <mergeCell ref="BQ46:BS46"/>
    <mergeCell ref="AW40:AY40"/>
    <mergeCell ref="BQ40:BS40"/>
    <mergeCell ref="AW41:AY41"/>
    <mergeCell ref="BQ41:BS41"/>
    <mergeCell ref="AW42:AY42"/>
    <mergeCell ref="BQ42:BS42"/>
    <mergeCell ref="AW51:AY51"/>
    <mergeCell ref="BQ51:BS51"/>
    <mergeCell ref="AW52:AY52"/>
    <mergeCell ref="BQ52:BS52"/>
    <mergeCell ref="AW53:AY53"/>
    <mergeCell ref="BQ53:BS53"/>
    <mergeCell ref="AW47:AY47"/>
    <mergeCell ref="BQ47:BS47"/>
    <mergeCell ref="AW48:AY48"/>
    <mergeCell ref="BQ48:BS48"/>
    <mergeCell ref="AW49:AY49"/>
    <mergeCell ref="BQ49:BS49"/>
    <mergeCell ref="AW55:AY55"/>
    <mergeCell ref="BQ55:BS55"/>
    <mergeCell ref="AW56:AY56"/>
    <mergeCell ref="BQ56:BS56"/>
    <mergeCell ref="AW59:AX59"/>
    <mergeCell ref="AW61:AY61"/>
    <mergeCell ref="BQ61:BS61"/>
    <mergeCell ref="AW69:AY69"/>
    <mergeCell ref="BQ69:BS69"/>
    <mergeCell ref="AW70:AY70"/>
    <mergeCell ref="BQ70:BS70"/>
    <mergeCell ref="AW71:AY71"/>
    <mergeCell ref="BQ71:BS71"/>
    <mergeCell ref="AW65:AY65"/>
    <mergeCell ref="BQ65:BS65"/>
    <mergeCell ref="AW66:AY66"/>
    <mergeCell ref="BQ66:BS66"/>
    <mergeCell ref="AW67:AY67"/>
    <mergeCell ref="BQ67:BS67"/>
    <mergeCell ref="BQ73:BS73"/>
    <mergeCell ref="AW74:AY74"/>
    <mergeCell ref="BQ74:BS74"/>
    <mergeCell ref="AW83:AY83"/>
    <mergeCell ref="BQ83:BS83"/>
    <mergeCell ref="AW84:AY84"/>
    <mergeCell ref="BQ84:BS84"/>
    <mergeCell ref="AW85:AY85"/>
    <mergeCell ref="BQ85:BS85"/>
    <mergeCell ref="AW79:AY79"/>
    <mergeCell ref="BQ79:BS79"/>
    <mergeCell ref="AW80:AY80"/>
    <mergeCell ref="BQ80:BS80"/>
    <mergeCell ref="AW82:AY82"/>
    <mergeCell ref="BQ82:BS82"/>
    <mergeCell ref="AW91:AY91"/>
    <mergeCell ref="BQ91:BS91"/>
    <mergeCell ref="AW92:AY92"/>
    <mergeCell ref="BQ92:BS92"/>
    <mergeCell ref="AW95:AY95"/>
    <mergeCell ref="AW97:AY97"/>
    <mergeCell ref="BQ97:BS97"/>
    <mergeCell ref="AW87:AY87"/>
    <mergeCell ref="BQ87:BS87"/>
    <mergeCell ref="AW88:AY88"/>
    <mergeCell ref="BQ88:BS88"/>
    <mergeCell ref="AW89:AY89"/>
    <mergeCell ref="BQ89:BS89"/>
    <mergeCell ref="AW102:AY102"/>
    <mergeCell ref="BQ102:BS102"/>
    <mergeCell ref="AW107:AY107"/>
    <mergeCell ref="BQ107:BS107"/>
    <mergeCell ref="AW108:AY108"/>
    <mergeCell ref="BQ108:BS108"/>
    <mergeCell ref="AW98:AY98"/>
    <mergeCell ref="BQ98:BS98"/>
    <mergeCell ref="AW99:AY99"/>
    <mergeCell ref="BQ99:BS99"/>
    <mergeCell ref="AW101:AY101"/>
    <mergeCell ref="BQ101:BS101"/>
    <mergeCell ref="AW112:AY112"/>
    <mergeCell ref="BQ112:BS112"/>
    <mergeCell ref="AW113:AY113"/>
    <mergeCell ref="BQ113:BS113"/>
    <mergeCell ref="AW114:AY114"/>
    <mergeCell ref="BQ114:BS114"/>
    <mergeCell ref="AW109:AY109"/>
    <mergeCell ref="BQ109:BS109"/>
    <mergeCell ref="AW110:AY110"/>
    <mergeCell ref="BQ110:BS110"/>
    <mergeCell ref="AW111:AY111"/>
    <mergeCell ref="BQ111:BS111"/>
    <mergeCell ref="AW119:AY119"/>
    <mergeCell ref="BQ119:BS119"/>
    <mergeCell ref="AW120:AY120"/>
    <mergeCell ref="BQ120:BS120"/>
    <mergeCell ref="AW121:AY121"/>
    <mergeCell ref="BQ121:BS121"/>
    <mergeCell ref="AW116:AY116"/>
    <mergeCell ref="BQ116:BS116"/>
    <mergeCell ref="AW117:AY117"/>
    <mergeCell ref="BQ117:BS117"/>
    <mergeCell ref="AW118:AY118"/>
    <mergeCell ref="BQ118:BS118"/>
    <mergeCell ref="AW143:AY143"/>
    <mergeCell ref="BQ143:BS143"/>
    <mergeCell ref="AW128:AY128"/>
    <mergeCell ref="BQ128:BS128"/>
    <mergeCell ref="AW122:AY122"/>
    <mergeCell ref="BQ122:BS122"/>
    <mergeCell ref="AW124:AY124"/>
    <mergeCell ref="BQ124:BS124"/>
    <mergeCell ref="AW125:AY125"/>
    <mergeCell ref="BQ125:BS125"/>
    <mergeCell ref="BV121:BW122"/>
    <mergeCell ref="AW129:AY129"/>
    <mergeCell ref="BQ129:BS129"/>
    <mergeCell ref="AW131:AY131"/>
    <mergeCell ref="BQ131:BS131"/>
    <mergeCell ref="AW132:AY132"/>
    <mergeCell ref="BQ132:BS132"/>
    <mergeCell ref="AW126:AY126"/>
    <mergeCell ref="BQ126:BS126"/>
    <mergeCell ref="AW127:AY127"/>
    <mergeCell ref="BQ127:BS127"/>
    <mergeCell ref="AW155:AY155"/>
    <mergeCell ref="BQ155:BS155"/>
    <mergeCell ref="AW156:AY156"/>
    <mergeCell ref="BQ156:BS156"/>
    <mergeCell ref="AW151:AY151"/>
    <mergeCell ref="BQ151:BS151"/>
    <mergeCell ref="AW152:AY152"/>
    <mergeCell ref="BQ152:BS152"/>
    <mergeCell ref="AW153:AY153"/>
    <mergeCell ref="BQ153:BS153"/>
    <mergeCell ref="AW137:AY137"/>
    <mergeCell ref="BQ137:BS137"/>
    <mergeCell ref="AW138:AY138"/>
    <mergeCell ref="BQ138:BS138"/>
    <mergeCell ref="AW139:AY139"/>
    <mergeCell ref="BQ139:BS139"/>
    <mergeCell ref="AW133:AY133"/>
    <mergeCell ref="BQ133:BS133"/>
    <mergeCell ref="AW134:AY134"/>
    <mergeCell ref="BQ134:BS134"/>
    <mergeCell ref="AW135:AY135"/>
    <mergeCell ref="BQ135:BS135"/>
    <mergeCell ref="AW144:AY144"/>
    <mergeCell ref="BQ144:BS144"/>
    <mergeCell ref="AW146:AY146"/>
    <mergeCell ref="BQ146:BS146"/>
    <mergeCell ref="AW147:AY147"/>
    <mergeCell ref="BQ147:BS147"/>
    <mergeCell ref="AW140:AY140"/>
    <mergeCell ref="BQ140:BS140"/>
    <mergeCell ref="AW142:AY142"/>
    <mergeCell ref="BQ142:BS1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4C51-9A37-4B66-9F22-6B48942EEFC6}">
  <dimension ref="B2:CO158"/>
  <sheetViews>
    <sheetView topLeftCell="A105" zoomScale="31" workbookViewId="0">
      <selection activeCell="B2" sqref="B2:AT158"/>
    </sheetView>
  </sheetViews>
  <sheetFormatPr defaultRowHeight="14.5" x14ac:dyDescent="0.35"/>
  <cols>
    <col min="5" max="21" width="2.54296875" customWidth="1"/>
    <col min="52" max="68" width="2.453125" customWidth="1"/>
  </cols>
  <sheetData>
    <row r="2" spans="2:93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AZ2" s="86" t="s">
        <v>34</v>
      </c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</row>
    <row r="4" spans="2:93" x14ac:dyDescent="0.35">
      <c r="B4" s="85" t="s">
        <v>1</v>
      </c>
      <c r="C4" s="85"/>
      <c r="AW4" s="85" t="s">
        <v>1</v>
      </c>
      <c r="AX4" s="85"/>
    </row>
    <row r="6" spans="2:93" ht="15" customHeight="1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85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9</v>
      </c>
      <c r="AR6" s="60"/>
      <c r="AS6" s="60" t="s">
        <v>33</v>
      </c>
      <c r="AT6" s="60"/>
      <c r="AW6" s="79" t="s">
        <v>2</v>
      </c>
      <c r="AX6" s="79"/>
      <c r="AY6" s="79"/>
      <c r="AZ6" s="2">
        <v>9</v>
      </c>
      <c r="BA6" s="2">
        <v>8</v>
      </c>
      <c r="BB6" s="2">
        <v>7</v>
      </c>
      <c r="BC6" s="2">
        <v>6</v>
      </c>
      <c r="BD6" s="2">
        <v>5</v>
      </c>
      <c r="BE6" s="2">
        <v>4</v>
      </c>
      <c r="BF6" s="2">
        <v>3</v>
      </c>
      <c r="BG6" s="2">
        <v>2</v>
      </c>
      <c r="BH6" s="2">
        <v>1</v>
      </c>
      <c r="BI6" s="2">
        <v>2</v>
      </c>
      <c r="BJ6" s="2">
        <v>3</v>
      </c>
      <c r="BK6" s="2">
        <v>4</v>
      </c>
      <c r="BL6" s="2">
        <v>5</v>
      </c>
      <c r="BM6" s="2">
        <v>6</v>
      </c>
      <c r="BN6" s="2">
        <v>7</v>
      </c>
      <c r="BO6" s="2">
        <v>8</v>
      </c>
      <c r="BP6" s="2">
        <v>9</v>
      </c>
      <c r="BQ6" s="79" t="s">
        <v>3</v>
      </c>
      <c r="BR6" s="79"/>
      <c r="BS6" s="79"/>
      <c r="BV6" s="60"/>
      <c r="BW6" s="60"/>
      <c r="BX6" s="60" t="s">
        <v>78</v>
      </c>
      <c r="BY6" s="60"/>
      <c r="BZ6" s="60" t="s">
        <v>79</v>
      </c>
      <c r="CA6" s="60"/>
      <c r="CB6" s="60" t="s">
        <v>4</v>
      </c>
      <c r="CC6" s="60"/>
      <c r="CD6" s="60" t="s">
        <v>5</v>
      </c>
      <c r="CE6" s="60"/>
      <c r="CF6" s="60" t="s">
        <v>32</v>
      </c>
      <c r="CG6" s="60"/>
      <c r="CH6" s="60" t="s">
        <v>7</v>
      </c>
      <c r="CI6" s="60"/>
      <c r="CJ6" s="60" t="s">
        <v>8</v>
      </c>
      <c r="CK6" s="60"/>
      <c r="CL6" s="60" t="s">
        <v>80</v>
      </c>
      <c r="CM6" s="60"/>
      <c r="CN6" s="60" t="s">
        <v>33</v>
      </c>
      <c r="CO6" s="60"/>
    </row>
    <row r="7" spans="2:93" x14ac:dyDescent="0.35">
      <c r="B7" s="80" t="s">
        <v>78</v>
      </c>
      <c r="C7" s="80"/>
      <c r="D7" s="80"/>
      <c r="E7" s="2"/>
      <c r="F7" s="2"/>
      <c r="G7" s="2"/>
      <c r="H7" s="2"/>
      <c r="I7" s="2"/>
      <c r="J7" s="2"/>
      <c r="K7" s="10"/>
      <c r="L7" s="2"/>
      <c r="M7" s="2"/>
      <c r="N7" s="2"/>
      <c r="O7" s="4"/>
      <c r="P7" s="2"/>
      <c r="Q7" s="2"/>
      <c r="R7" s="2"/>
      <c r="S7" s="2"/>
      <c r="T7" s="2"/>
      <c r="U7" s="2"/>
      <c r="V7" s="80" t="s">
        <v>85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W7" s="80" t="s">
        <v>78</v>
      </c>
      <c r="AX7" s="80"/>
      <c r="AY7" s="80"/>
      <c r="AZ7" s="2"/>
      <c r="BA7" s="2"/>
      <c r="BB7" s="2"/>
      <c r="BC7" s="2"/>
      <c r="BD7" s="2"/>
      <c r="BE7" s="2"/>
      <c r="BF7" s="10"/>
      <c r="BG7" s="2"/>
      <c r="BH7" s="2"/>
      <c r="BI7" s="2"/>
      <c r="BJ7" s="4"/>
      <c r="BK7" s="2"/>
      <c r="BL7" s="2"/>
      <c r="BM7" s="2"/>
      <c r="BN7" s="2"/>
      <c r="BO7" s="2"/>
      <c r="BP7" s="2"/>
      <c r="BQ7" s="80" t="s">
        <v>79</v>
      </c>
      <c r="BR7" s="80"/>
      <c r="BS7" s="8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</row>
    <row r="8" spans="2:93" ht="15" customHeight="1" x14ac:dyDescent="0.35">
      <c r="B8" s="80" t="s">
        <v>78</v>
      </c>
      <c r="C8" s="80"/>
      <c r="D8" s="8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  <c r="R8" s="2"/>
      <c r="S8" s="2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f>1/3</f>
        <v>0.33333333333333331</v>
      </c>
      <c r="AF8" s="60"/>
      <c r="AG8" s="63">
        <v>5</v>
      </c>
      <c r="AH8" s="64"/>
      <c r="AI8" s="60">
        <f>1/7</f>
        <v>0.14285714285714285</v>
      </c>
      <c r="AJ8" s="60"/>
      <c r="AK8" s="60">
        <f>1/9</f>
        <v>0.1111111111111111</v>
      </c>
      <c r="AL8" s="60"/>
      <c r="AM8" s="60">
        <v>3</v>
      </c>
      <c r="AN8" s="60"/>
      <c r="AO8" s="60">
        <v>5</v>
      </c>
      <c r="AP8" s="60"/>
      <c r="AQ8" s="60">
        <f>1/2</f>
        <v>0.5</v>
      </c>
      <c r="AR8" s="60"/>
      <c r="AS8" s="60">
        <f>1/5</f>
        <v>0.2</v>
      </c>
      <c r="AT8" s="60"/>
      <c r="AW8" s="80" t="s">
        <v>78</v>
      </c>
      <c r="AX8" s="80"/>
      <c r="AY8" s="80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3"/>
      <c r="BM8" s="2"/>
      <c r="BN8" s="2"/>
      <c r="BO8" s="2"/>
      <c r="BP8" s="2"/>
      <c r="BQ8" s="80" t="s">
        <v>4</v>
      </c>
      <c r="BR8" s="80"/>
      <c r="BS8" s="80"/>
      <c r="BV8" s="60" t="s">
        <v>78</v>
      </c>
      <c r="BW8" s="60"/>
      <c r="BX8" s="62">
        <v>1</v>
      </c>
      <c r="BY8" s="62"/>
      <c r="BZ8" s="60">
        <f>1/3</f>
        <v>0.33333333333333331</v>
      </c>
      <c r="CA8" s="60"/>
      <c r="CB8" s="63">
        <v>5</v>
      </c>
      <c r="CC8" s="64"/>
      <c r="CD8" s="60">
        <f>1/5</f>
        <v>0.2</v>
      </c>
      <c r="CE8" s="60"/>
      <c r="CF8" s="60">
        <f>1/9</f>
        <v>0.1111111111111111</v>
      </c>
      <c r="CG8" s="60"/>
      <c r="CH8" s="60">
        <v>9</v>
      </c>
      <c r="CI8" s="60"/>
      <c r="CJ8" s="60">
        <v>5</v>
      </c>
      <c r="CK8" s="60"/>
      <c r="CL8" s="60">
        <f>1/7</f>
        <v>0.14285714285714285</v>
      </c>
      <c r="CM8" s="60"/>
      <c r="CN8" s="60">
        <f>1/5</f>
        <v>0.2</v>
      </c>
      <c r="CO8" s="60"/>
    </row>
    <row r="9" spans="2:93" x14ac:dyDescent="0.35">
      <c r="B9" s="80" t="s">
        <v>78</v>
      </c>
      <c r="C9" s="80"/>
      <c r="D9" s="80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W9" s="80" t="s">
        <v>78</v>
      </c>
      <c r="AX9" s="80"/>
      <c r="AY9" s="80"/>
      <c r="AZ9" s="2"/>
      <c r="BA9" s="2"/>
      <c r="BB9" s="5"/>
      <c r="BC9" s="2"/>
      <c r="BD9" s="3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80" t="s">
        <v>5</v>
      </c>
      <c r="BR9" s="80"/>
      <c r="BS9" s="80"/>
      <c r="BV9" s="60"/>
      <c r="BW9" s="60"/>
      <c r="BX9" s="62"/>
      <c r="BY9" s="62"/>
      <c r="BZ9" s="60"/>
      <c r="CA9" s="60"/>
      <c r="CB9" s="65"/>
      <c r="CC9" s="66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</row>
    <row r="10" spans="2:93" ht="15" customHeight="1" x14ac:dyDescent="0.35">
      <c r="B10" s="80" t="s">
        <v>78</v>
      </c>
      <c r="C10" s="80"/>
      <c r="D10" s="80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0" t="s">
        <v>6</v>
      </c>
      <c r="W10" s="80"/>
      <c r="X10" s="80"/>
      <c r="AA10" s="60" t="s">
        <v>85</v>
      </c>
      <c r="AB10" s="60"/>
      <c r="AC10" s="60">
        <v>3</v>
      </c>
      <c r="AD10" s="60"/>
      <c r="AE10" s="62">
        <v>1</v>
      </c>
      <c r="AF10" s="62"/>
      <c r="AG10" s="60">
        <f>1/5</f>
        <v>0.2</v>
      </c>
      <c r="AH10" s="60"/>
      <c r="AI10" s="60">
        <f>1/3</f>
        <v>0.33333333333333331</v>
      </c>
      <c r="AJ10" s="60"/>
      <c r="AK10" s="60">
        <f>1/3</f>
        <v>0.33333333333333331</v>
      </c>
      <c r="AL10" s="60"/>
      <c r="AM10" s="60">
        <v>7</v>
      </c>
      <c r="AN10" s="60"/>
      <c r="AO10" s="60">
        <v>3</v>
      </c>
      <c r="AP10" s="60"/>
      <c r="AQ10" s="60">
        <v>5</v>
      </c>
      <c r="AR10" s="60"/>
      <c r="AS10" s="60">
        <v>3</v>
      </c>
      <c r="AT10" s="60"/>
      <c r="AW10" s="80" t="s">
        <v>78</v>
      </c>
      <c r="AX10" s="80"/>
      <c r="AY10" s="80"/>
      <c r="AZ10" s="3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80" t="s">
        <v>6</v>
      </c>
      <c r="BR10" s="80"/>
      <c r="BS10" s="80"/>
      <c r="BV10" s="60" t="s">
        <v>79</v>
      </c>
      <c r="BW10" s="60"/>
      <c r="BX10" s="60">
        <v>3</v>
      </c>
      <c r="BY10" s="60"/>
      <c r="BZ10" s="62">
        <v>1</v>
      </c>
      <c r="CA10" s="62"/>
      <c r="CB10" s="60">
        <f>1/5</f>
        <v>0.2</v>
      </c>
      <c r="CC10" s="60"/>
      <c r="CD10" s="60">
        <v>5</v>
      </c>
      <c r="CE10" s="60"/>
      <c r="CF10" s="60">
        <f>1/9</f>
        <v>0.1111111111111111</v>
      </c>
      <c r="CG10" s="60"/>
      <c r="CH10" s="60">
        <v>7</v>
      </c>
      <c r="CI10" s="60"/>
      <c r="CJ10" s="60">
        <f>1/3</f>
        <v>0.33333333333333331</v>
      </c>
      <c r="CK10" s="60"/>
      <c r="CL10" s="60">
        <v>5</v>
      </c>
      <c r="CM10" s="60"/>
      <c r="CN10" s="60">
        <v>3</v>
      </c>
      <c r="CO10" s="60"/>
    </row>
    <row r="11" spans="2:93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W11" s="80" t="s">
        <v>78</v>
      </c>
      <c r="AX11" s="80"/>
      <c r="AY11" s="80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5"/>
      <c r="BK11" s="2"/>
      <c r="BL11" s="2"/>
      <c r="BM11" s="2"/>
      <c r="BN11" s="2"/>
      <c r="BO11" s="2"/>
      <c r="BP11" s="3"/>
      <c r="BQ11" s="80" t="s">
        <v>7</v>
      </c>
      <c r="BR11" s="80"/>
      <c r="BS11" s="80"/>
      <c r="BV11" s="60"/>
      <c r="BW11" s="60"/>
      <c r="BX11" s="60"/>
      <c r="BY11" s="60"/>
      <c r="BZ11" s="62"/>
      <c r="CA11" s="62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</row>
    <row r="12" spans="2:93" ht="15" customHeight="1" x14ac:dyDescent="0.35">
      <c r="B12" s="80" t="s">
        <v>78</v>
      </c>
      <c r="C12" s="80"/>
      <c r="D12" s="8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R12" s="2"/>
      <c r="S12" s="2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f>1/5</f>
        <v>0.2</v>
      </c>
      <c r="AD12" s="60"/>
      <c r="AE12" s="60">
        <v>5</v>
      </c>
      <c r="AF12" s="60"/>
      <c r="AG12" s="62">
        <v>1</v>
      </c>
      <c r="AH12" s="62"/>
      <c r="AI12" s="60">
        <v>7</v>
      </c>
      <c r="AJ12" s="60"/>
      <c r="AK12" s="60">
        <f>1/5</f>
        <v>0.2</v>
      </c>
      <c r="AL12" s="60"/>
      <c r="AM12" s="60">
        <v>3</v>
      </c>
      <c r="AN12" s="60"/>
      <c r="AO12" s="60">
        <v>5</v>
      </c>
      <c r="AP12" s="60"/>
      <c r="AQ12" s="60">
        <f>1/3</f>
        <v>0.33333333333333331</v>
      </c>
      <c r="AR12" s="60"/>
      <c r="AS12" s="60">
        <f>1/7</f>
        <v>0.14285714285714285</v>
      </c>
      <c r="AT12" s="60"/>
      <c r="AW12" s="80" t="s">
        <v>78</v>
      </c>
      <c r="AX12" s="80"/>
      <c r="AY12" s="80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3"/>
      <c r="BM12" s="2"/>
      <c r="BN12" s="2"/>
      <c r="BO12" s="2"/>
      <c r="BP12" s="2"/>
      <c r="BQ12" s="80" t="s">
        <v>8</v>
      </c>
      <c r="BR12" s="80"/>
      <c r="BS12" s="80"/>
      <c r="BV12" s="60" t="s">
        <v>4</v>
      </c>
      <c r="BW12" s="60"/>
      <c r="BX12" s="60">
        <f>1/5</f>
        <v>0.2</v>
      </c>
      <c r="BY12" s="60"/>
      <c r="BZ12" s="60">
        <v>5</v>
      </c>
      <c r="CA12" s="60"/>
      <c r="CB12" s="62">
        <v>1</v>
      </c>
      <c r="CC12" s="62"/>
      <c r="CD12" s="60">
        <v>7</v>
      </c>
      <c r="CE12" s="60"/>
      <c r="CF12" s="60">
        <f>1/7</f>
        <v>0.14285714285714285</v>
      </c>
      <c r="CG12" s="60"/>
      <c r="CH12" s="60">
        <v>9</v>
      </c>
      <c r="CI12" s="60"/>
      <c r="CJ12" s="60">
        <v>9</v>
      </c>
      <c r="CK12" s="60"/>
      <c r="CL12" s="60">
        <v>5</v>
      </c>
      <c r="CM12" s="60"/>
      <c r="CN12" s="60">
        <f>1/7</f>
        <v>0.14285714285714285</v>
      </c>
      <c r="CO12" s="60"/>
    </row>
    <row r="13" spans="2:93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  <c r="U13" s="5"/>
      <c r="V13" s="80" t="s">
        <v>9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W13" s="80" t="s">
        <v>78</v>
      </c>
      <c r="AX13" s="80"/>
      <c r="AY13" s="80"/>
      <c r="AZ13" s="2"/>
      <c r="BA13" s="2"/>
      <c r="BB13" s="3"/>
      <c r="BC13" s="2"/>
      <c r="BD13" s="2"/>
      <c r="BE13" s="2"/>
      <c r="BF13" s="2"/>
      <c r="BG13" s="5"/>
      <c r="BH13" s="2"/>
      <c r="BI13" s="2"/>
      <c r="BJ13" s="2"/>
      <c r="BK13" s="2"/>
      <c r="BL13" s="2"/>
      <c r="BM13" s="2"/>
      <c r="BN13" s="2"/>
      <c r="BO13" s="2"/>
      <c r="BP13" s="5"/>
      <c r="BQ13" s="80" t="s">
        <v>80</v>
      </c>
      <c r="BR13" s="80"/>
      <c r="BS13" s="80"/>
      <c r="BV13" s="60"/>
      <c r="BW13" s="60"/>
      <c r="BX13" s="60"/>
      <c r="BY13" s="60"/>
      <c r="BZ13" s="60"/>
      <c r="CA13" s="60"/>
      <c r="CB13" s="62"/>
      <c r="CC13" s="62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</row>
    <row r="14" spans="2:93" ht="15" customHeight="1" x14ac:dyDescent="0.35">
      <c r="B14" s="80" t="s">
        <v>78</v>
      </c>
      <c r="C14" s="80"/>
      <c r="D14" s="80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5"/>
      <c r="T14" s="2"/>
      <c r="U14" s="2"/>
      <c r="V14" s="80" t="s">
        <v>9</v>
      </c>
      <c r="W14" s="80"/>
      <c r="X14" s="80"/>
      <c r="AA14" s="60" t="s">
        <v>5</v>
      </c>
      <c r="AB14" s="60"/>
      <c r="AC14" s="60">
        <v>7</v>
      </c>
      <c r="AD14" s="60"/>
      <c r="AE14" s="60">
        <v>3</v>
      </c>
      <c r="AF14" s="60"/>
      <c r="AG14" s="60">
        <f>1/7</f>
        <v>0.14285714285714285</v>
      </c>
      <c r="AH14" s="60"/>
      <c r="AI14" s="62">
        <v>1</v>
      </c>
      <c r="AJ14" s="62"/>
      <c r="AK14" s="60">
        <f>1/5</f>
        <v>0.2</v>
      </c>
      <c r="AL14" s="60"/>
      <c r="AM14" s="60">
        <v>7</v>
      </c>
      <c r="AN14" s="60"/>
      <c r="AO14" s="60">
        <v>5</v>
      </c>
      <c r="AP14" s="60"/>
      <c r="AQ14" s="60">
        <v>3</v>
      </c>
      <c r="AR14" s="60"/>
      <c r="AS14" s="60">
        <f>1/3</f>
        <v>0.33333333333333331</v>
      </c>
      <c r="AT14" s="60"/>
      <c r="AW14" s="80" t="s">
        <v>78</v>
      </c>
      <c r="AX14" s="80"/>
      <c r="AY14" s="80"/>
      <c r="AZ14" s="2"/>
      <c r="BA14" s="2"/>
      <c r="BB14" s="2"/>
      <c r="BC14" s="2"/>
      <c r="BD14" s="3"/>
      <c r="BE14" s="2"/>
      <c r="BF14" s="2"/>
      <c r="BG14" s="2"/>
      <c r="BH14" s="2"/>
      <c r="BI14" s="2"/>
      <c r="BJ14" s="2"/>
      <c r="BK14" s="2"/>
      <c r="BL14" s="2"/>
      <c r="BM14" s="2"/>
      <c r="BN14" s="5"/>
      <c r="BO14" s="2"/>
      <c r="BP14" s="2"/>
      <c r="BQ14" s="80" t="s">
        <v>9</v>
      </c>
      <c r="BR14" s="80"/>
      <c r="BS14" s="80"/>
      <c r="BV14" s="60" t="s">
        <v>5</v>
      </c>
      <c r="BW14" s="60"/>
      <c r="BX14" s="60">
        <v>5</v>
      </c>
      <c r="BY14" s="60"/>
      <c r="BZ14" s="60">
        <f>1/5</f>
        <v>0.2</v>
      </c>
      <c r="CA14" s="60"/>
      <c r="CB14" s="60">
        <f>1/7</f>
        <v>0.14285714285714285</v>
      </c>
      <c r="CC14" s="60"/>
      <c r="CD14" s="62">
        <v>1</v>
      </c>
      <c r="CE14" s="62"/>
      <c r="CF14" s="60">
        <v>5</v>
      </c>
      <c r="CG14" s="60"/>
      <c r="CH14" s="60">
        <f>1/7</f>
        <v>0.14285714285714285</v>
      </c>
      <c r="CI14" s="60"/>
      <c r="CJ14" s="60">
        <v>7</v>
      </c>
      <c r="CK14" s="60"/>
      <c r="CL14" s="60">
        <v>3</v>
      </c>
      <c r="CM14" s="60"/>
      <c r="CN14" s="60">
        <v>7</v>
      </c>
      <c r="CO14" s="60"/>
    </row>
    <row r="15" spans="2:93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V15" s="60"/>
      <c r="BW15" s="60"/>
      <c r="BX15" s="60"/>
      <c r="BY15" s="60"/>
      <c r="BZ15" s="60"/>
      <c r="CA15" s="60"/>
      <c r="CB15" s="60"/>
      <c r="CC15" s="60"/>
      <c r="CD15" s="62"/>
      <c r="CE15" s="62"/>
      <c r="CF15" s="60"/>
      <c r="CG15" s="60"/>
      <c r="CH15" s="60"/>
      <c r="CI15" s="60"/>
      <c r="CJ15" s="60"/>
      <c r="CK15" s="60"/>
      <c r="CL15" s="60"/>
      <c r="CM15" s="60"/>
      <c r="CN15" s="60"/>
      <c r="CO15" s="60"/>
    </row>
    <row r="16" spans="2:93" ht="15" customHeight="1" x14ac:dyDescent="0.35">
      <c r="B16" s="79" t="s">
        <v>2</v>
      </c>
      <c r="C16" s="79"/>
      <c r="D16" s="79"/>
      <c r="E16" s="2">
        <v>9</v>
      </c>
      <c r="F16" s="2">
        <v>8</v>
      </c>
      <c r="G16" s="2">
        <v>7</v>
      </c>
      <c r="H16" s="2">
        <v>6</v>
      </c>
      <c r="I16" s="2">
        <v>5</v>
      </c>
      <c r="J16" s="2">
        <v>4</v>
      </c>
      <c r="K16" s="2">
        <v>3</v>
      </c>
      <c r="L16" s="2">
        <v>2</v>
      </c>
      <c r="M16" s="2">
        <v>1</v>
      </c>
      <c r="N16" s="2">
        <v>2</v>
      </c>
      <c r="O16" s="2">
        <v>3</v>
      </c>
      <c r="P16" s="2">
        <v>4</v>
      </c>
      <c r="Q16" s="2">
        <v>5</v>
      </c>
      <c r="R16" s="2">
        <v>6</v>
      </c>
      <c r="S16" s="2">
        <v>7</v>
      </c>
      <c r="T16" s="2">
        <v>8</v>
      </c>
      <c r="U16" s="2">
        <v>9</v>
      </c>
      <c r="V16" s="79" t="s">
        <v>3</v>
      </c>
      <c r="W16" s="79"/>
      <c r="X16" s="79"/>
      <c r="AA16" s="60" t="s">
        <v>32</v>
      </c>
      <c r="AB16" s="60"/>
      <c r="AC16" s="60">
        <v>9</v>
      </c>
      <c r="AD16" s="60"/>
      <c r="AE16" s="60">
        <v>3</v>
      </c>
      <c r="AF16" s="60"/>
      <c r="AG16" s="60">
        <v>5</v>
      </c>
      <c r="AH16" s="60"/>
      <c r="AI16" s="60">
        <v>5</v>
      </c>
      <c r="AJ16" s="60"/>
      <c r="AK16" s="62">
        <v>1</v>
      </c>
      <c r="AL16" s="62"/>
      <c r="AM16" s="60">
        <v>9</v>
      </c>
      <c r="AN16" s="60"/>
      <c r="AO16" s="60">
        <v>7</v>
      </c>
      <c r="AP16" s="60"/>
      <c r="AQ16" s="60">
        <v>5</v>
      </c>
      <c r="AR16" s="60"/>
      <c r="AS16" s="60">
        <v>3</v>
      </c>
      <c r="AT16" s="60"/>
      <c r="AW16" s="79" t="s">
        <v>2</v>
      </c>
      <c r="AX16" s="79"/>
      <c r="AY16" s="79"/>
      <c r="AZ16" s="2">
        <v>9</v>
      </c>
      <c r="BA16" s="2">
        <v>8</v>
      </c>
      <c r="BB16" s="2">
        <v>7</v>
      </c>
      <c r="BC16" s="2">
        <v>6</v>
      </c>
      <c r="BD16" s="2">
        <v>5</v>
      </c>
      <c r="BE16" s="2">
        <v>4</v>
      </c>
      <c r="BF16" s="2">
        <v>3</v>
      </c>
      <c r="BG16" s="2">
        <v>2</v>
      </c>
      <c r="BH16" s="2">
        <v>1</v>
      </c>
      <c r="BI16" s="2">
        <v>2</v>
      </c>
      <c r="BJ16" s="2">
        <v>3</v>
      </c>
      <c r="BK16" s="2">
        <v>4</v>
      </c>
      <c r="BL16" s="2">
        <v>5</v>
      </c>
      <c r="BM16" s="2">
        <v>6</v>
      </c>
      <c r="BN16" s="2">
        <v>7</v>
      </c>
      <c r="BO16" s="2">
        <v>8</v>
      </c>
      <c r="BP16" s="2">
        <v>9</v>
      </c>
      <c r="BQ16" s="79" t="s">
        <v>3</v>
      </c>
      <c r="BR16" s="79"/>
      <c r="BS16" s="79"/>
      <c r="BV16" s="60" t="s">
        <v>32</v>
      </c>
      <c r="BW16" s="60"/>
      <c r="BX16" s="60">
        <v>9</v>
      </c>
      <c r="BY16" s="60"/>
      <c r="BZ16" s="60">
        <v>9</v>
      </c>
      <c r="CA16" s="60"/>
      <c r="CB16" s="60">
        <v>7</v>
      </c>
      <c r="CC16" s="60"/>
      <c r="CD16" s="60">
        <f>1/5</f>
        <v>0.2</v>
      </c>
      <c r="CE16" s="60"/>
      <c r="CF16" s="62">
        <v>1</v>
      </c>
      <c r="CG16" s="62"/>
      <c r="CH16" s="60">
        <v>9</v>
      </c>
      <c r="CI16" s="60"/>
      <c r="CJ16" s="60">
        <f>1/7</f>
        <v>0.14285714285714285</v>
      </c>
      <c r="CK16" s="60"/>
      <c r="CL16" s="60">
        <v>7</v>
      </c>
      <c r="CM16" s="60"/>
      <c r="CN16" s="60">
        <v>7</v>
      </c>
      <c r="CO16" s="60"/>
    </row>
    <row r="17" spans="2:93" x14ac:dyDescent="0.35">
      <c r="B17" s="80" t="s">
        <v>85</v>
      </c>
      <c r="C17" s="80"/>
      <c r="D17" s="80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  <c r="AW17" s="80" t="s">
        <v>79</v>
      </c>
      <c r="AX17" s="80"/>
      <c r="AY17" s="80"/>
      <c r="AZ17" s="2"/>
      <c r="BA17" s="2"/>
      <c r="BB17" s="2"/>
      <c r="BC17" s="2"/>
      <c r="BD17" s="3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80" t="s">
        <v>4</v>
      </c>
      <c r="BR17" s="80"/>
      <c r="BS17" s="8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2"/>
      <c r="CG17" s="62"/>
      <c r="CH17" s="60"/>
      <c r="CI17" s="60"/>
      <c r="CJ17" s="60"/>
      <c r="CK17" s="60"/>
      <c r="CL17" s="60"/>
      <c r="CM17" s="60"/>
      <c r="CN17" s="60"/>
      <c r="CO17" s="60"/>
    </row>
    <row r="18" spans="2:93" ht="15" customHeight="1" x14ac:dyDescent="0.35">
      <c r="B18" s="80" t="s">
        <v>85</v>
      </c>
      <c r="C18" s="80"/>
      <c r="D18" s="80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f>1/3</f>
        <v>0.33333333333333331</v>
      </c>
      <c r="AD18" s="60"/>
      <c r="AE18" s="60">
        <f>1/7</f>
        <v>0.14285714285714285</v>
      </c>
      <c r="AF18" s="60"/>
      <c r="AG18" s="60">
        <f>1/3</f>
        <v>0.33333333333333331</v>
      </c>
      <c r="AH18" s="60"/>
      <c r="AI18" s="60">
        <f>1/7</f>
        <v>0.14285714285714285</v>
      </c>
      <c r="AJ18" s="60"/>
      <c r="AK18" s="60">
        <f>1/9</f>
        <v>0.1111111111111111</v>
      </c>
      <c r="AL18" s="60"/>
      <c r="AM18" s="62">
        <v>1</v>
      </c>
      <c r="AN18" s="62"/>
      <c r="AO18" s="60">
        <f>1/7</f>
        <v>0.14285714285714285</v>
      </c>
      <c r="AP18" s="60"/>
      <c r="AQ18" s="60">
        <v>3</v>
      </c>
      <c r="AR18" s="60"/>
      <c r="AS18" s="60">
        <v>3</v>
      </c>
      <c r="AT18" s="60"/>
      <c r="AW18" s="80" t="s">
        <v>79</v>
      </c>
      <c r="AX18" s="80"/>
      <c r="AY18" s="80"/>
      <c r="AZ18" s="2"/>
      <c r="BA18" s="2"/>
      <c r="BB18" s="2"/>
      <c r="BC18" s="2"/>
      <c r="BD18" s="2"/>
      <c r="BE18" s="2"/>
      <c r="BF18" s="5"/>
      <c r="BG18" s="2"/>
      <c r="BH18" s="2"/>
      <c r="BI18" s="2"/>
      <c r="BJ18" s="2"/>
      <c r="BK18" s="2"/>
      <c r="BL18" s="3"/>
      <c r="BM18" s="2"/>
      <c r="BN18" s="2"/>
      <c r="BO18" s="2"/>
      <c r="BP18" s="2"/>
      <c r="BQ18" s="80" t="s">
        <v>5</v>
      </c>
      <c r="BR18" s="80"/>
      <c r="BS18" s="80"/>
      <c r="BV18" s="60" t="s">
        <v>7</v>
      </c>
      <c r="BW18" s="60"/>
      <c r="BX18" s="60">
        <f>1/9</f>
        <v>0.1111111111111111</v>
      </c>
      <c r="BY18" s="60"/>
      <c r="BZ18" s="60">
        <f>1/7</f>
        <v>0.14285714285714285</v>
      </c>
      <c r="CA18" s="60"/>
      <c r="CB18" s="60">
        <f>1/9</f>
        <v>0.1111111111111111</v>
      </c>
      <c r="CC18" s="60"/>
      <c r="CD18" s="60">
        <v>7</v>
      </c>
      <c r="CE18" s="60"/>
      <c r="CF18" s="60">
        <f>1/9</f>
        <v>0.1111111111111111</v>
      </c>
      <c r="CG18" s="60"/>
      <c r="CH18" s="62">
        <v>1</v>
      </c>
      <c r="CI18" s="62"/>
      <c r="CJ18" s="60">
        <f>1/7</f>
        <v>0.14285714285714285</v>
      </c>
      <c r="CK18" s="60"/>
      <c r="CL18" s="60">
        <v>7</v>
      </c>
      <c r="CM18" s="60"/>
      <c r="CN18" s="60">
        <v>7</v>
      </c>
      <c r="CO18" s="60"/>
    </row>
    <row r="19" spans="2:93" x14ac:dyDescent="0.35">
      <c r="B19" s="80" t="s">
        <v>85</v>
      </c>
      <c r="C19" s="80"/>
      <c r="D19" s="80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  <c r="AW19" s="80" t="s">
        <v>79</v>
      </c>
      <c r="AX19" s="80"/>
      <c r="AY19" s="80"/>
      <c r="AZ19" s="3"/>
      <c r="BA19" s="2"/>
      <c r="BB19" s="2"/>
      <c r="BC19" s="2"/>
      <c r="BD19" s="2"/>
      <c r="BE19" s="2"/>
      <c r="BF19" s="5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80" t="s">
        <v>6</v>
      </c>
      <c r="BR19" s="80"/>
      <c r="BS19" s="8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2"/>
      <c r="CI19" s="62"/>
      <c r="CJ19" s="60"/>
      <c r="CK19" s="60"/>
      <c r="CL19" s="60"/>
      <c r="CM19" s="60"/>
      <c r="CN19" s="60"/>
      <c r="CO19" s="60"/>
    </row>
    <row r="20" spans="2:93" ht="15" customHeight="1" x14ac:dyDescent="0.35">
      <c r="B20" s="80" t="s">
        <v>85</v>
      </c>
      <c r="C20" s="80"/>
      <c r="D20" s="8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f>1/5</f>
        <v>0.2</v>
      </c>
      <c r="AD20" s="60"/>
      <c r="AE20" s="60">
        <f>1/3</f>
        <v>0.33333333333333331</v>
      </c>
      <c r="AF20" s="60"/>
      <c r="AG20" s="60">
        <f>1/5</f>
        <v>0.2</v>
      </c>
      <c r="AH20" s="60"/>
      <c r="AI20" s="60">
        <f>1/5</f>
        <v>0.2</v>
      </c>
      <c r="AJ20" s="60"/>
      <c r="AK20" s="60">
        <f>1/7</f>
        <v>0.14285714285714285</v>
      </c>
      <c r="AL20" s="60"/>
      <c r="AM20" s="60">
        <v>7</v>
      </c>
      <c r="AN20" s="60"/>
      <c r="AO20" s="62">
        <v>1</v>
      </c>
      <c r="AP20" s="62"/>
      <c r="AQ20" s="60">
        <v>7</v>
      </c>
      <c r="AR20" s="60"/>
      <c r="AS20" s="60">
        <f>1/3</f>
        <v>0.33333333333333331</v>
      </c>
      <c r="AT20" s="60"/>
      <c r="AW20" s="80" t="s">
        <v>79</v>
      </c>
      <c r="AX20" s="80"/>
      <c r="AY20" s="80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3"/>
      <c r="BO20" s="2"/>
      <c r="BP20" s="2"/>
      <c r="BQ20" s="80" t="s">
        <v>7</v>
      </c>
      <c r="BR20" s="80"/>
      <c r="BS20" s="80"/>
      <c r="BV20" s="60" t="s">
        <v>8</v>
      </c>
      <c r="BW20" s="60"/>
      <c r="BX20" s="60">
        <f>1/5</f>
        <v>0.2</v>
      </c>
      <c r="BY20" s="60"/>
      <c r="BZ20" s="60">
        <v>3</v>
      </c>
      <c r="CA20" s="60"/>
      <c r="CB20" s="60">
        <f>1/9</f>
        <v>0.1111111111111111</v>
      </c>
      <c r="CC20" s="60"/>
      <c r="CD20" s="60">
        <f>1/7</f>
        <v>0.14285714285714285</v>
      </c>
      <c r="CE20" s="60"/>
      <c r="CF20" s="60">
        <v>7</v>
      </c>
      <c r="CG20" s="60"/>
      <c r="CH20" s="60">
        <v>7</v>
      </c>
      <c r="CI20" s="60"/>
      <c r="CJ20" s="62">
        <v>1</v>
      </c>
      <c r="CK20" s="62"/>
      <c r="CL20" s="60">
        <v>5</v>
      </c>
      <c r="CM20" s="60"/>
      <c r="CN20" s="60">
        <f>1/7</f>
        <v>0.14285714285714285</v>
      </c>
      <c r="CO20" s="60"/>
    </row>
    <row r="21" spans="2:93" x14ac:dyDescent="0.35">
      <c r="B21" s="80" t="s">
        <v>85</v>
      </c>
      <c r="C21" s="80"/>
      <c r="D21" s="80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5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0"/>
      <c r="AT21" s="60"/>
      <c r="AW21" s="80" t="s">
        <v>79</v>
      </c>
      <c r="AX21" s="80"/>
      <c r="AY21" s="80"/>
      <c r="AZ21" s="2"/>
      <c r="BA21" s="2"/>
      <c r="BB21" s="2"/>
      <c r="BC21" s="2"/>
      <c r="BD21" s="2"/>
      <c r="BE21" s="2"/>
      <c r="BF21" s="3"/>
      <c r="BG21" s="2"/>
      <c r="BH21" s="2"/>
      <c r="BI21" s="2"/>
      <c r="BJ21" s="5"/>
      <c r="BK21" s="2"/>
      <c r="BL21" s="2"/>
      <c r="BM21" s="2"/>
      <c r="BN21" s="2"/>
      <c r="BO21" s="2"/>
      <c r="BP21" s="5"/>
      <c r="BQ21" s="80" t="s">
        <v>8</v>
      </c>
      <c r="BR21" s="80"/>
      <c r="BS21" s="8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2"/>
      <c r="CK21" s="62"/>
      <c r="CL21" s="60"/>
      <c r="CM21" s="60"/>
      <c r="CN21" s="60"/>
      <c r="CO21" s="60"/>
    </row>
    <row r="22" spans="2:93" ht="15" customHeight="1" x14ac:dyDescent="0.35">
      <c r="B22" s="80" t="s">
        <v>85</v>
      </c>
      <c r="C22" s="80"/>
      <c r="D22" s="8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  <c r="R22" s="2"/>
      <c r="S22" s="2"/>
      <c r="T22" s="2"/>
      <c r="U22" s="2"/>
      <c r="V22" s="80" t="s">
        <v>9</v>
      </c>
      <c r="W22" s="80"/>
      <c r="X22" s="80"/>
      <c r="AA22" s="60" t="s">
        <v>9</v>
      </c>
      <c r="AB22" s="60"/>
      <c r="AC22" s="60">
        <v>2</v>
      </c>
      <c r="AD22" s="60"/>
      <c r="AE22" s="60">
        <f>1/5</f>
        <v>0.2</v>
      </c>
      <c r="AF22" s="60"/>
      <c r="AG22" s="60">
        <v>3</v>
      </c>
      <c r="AH22" s="60"/>
      <c r="AI22" s="60">
        <f>1/3</f>
        <v>0.33333333333333331</v>
      </c>
      <c r="AJ22" s="60"/>
      <c r="AK22" s="60">
        <f>1/5</f>
        <v>0.2</v>
      </c>
      <c r="AL22" s="60"/>
      <c r="AM22" s="60">
        <f>1/3</f>
        <v>0.33333333333333331</v>
      </c>
      <c r="AN22" s="60"/>
      <c r="AO22" s="60">
        <f>1/7</f>
        <v>0.14285714285714285</v>
      </c>
      <c r="AP22" s="60"/>
      <c r="AQ22" s="62">
        <v>1</v>
      </c>
      <c r="AR22" s="62"/>
      <c r="AS22" s="60">
        <f>1/7</f>
        <v>0.14285714285714285</v>
      </c>
      <c r="AT22" s="60"/>
      <c r="AW22" s="80" t="s">
        <v>79</v>
      </c>
      <c r="AX22" s="80"/>
      <c r="AY22" s="80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3"/>
      <c r="BM22" s="2"/>
      <c r="BN22" s="2"/>
      <c r="BO22" s="2"/>
      <c r="BP22" s="2"/>
      <c r="BQ22" s="80" t="s">
        <v>80</v>
      </c>
      <c r="BR22" s="80"/>
      <c r="BS22" s="80"/>
      <c r="BV22" s="60" t="s">
        <v>80</v>
      </c>
      <c r="BW22" s="60"/>
      <c r="BX22" s="60">
        <v>7</v>
      </c>
      <c r="BY22" s="60"/>
      <c r="BZ22" s="60">
        <f>1/5</f>
        <v>0.2</v>
      </c>
      <c r="CA22" s="60"/>
      <c r="CB22" s="60">
        <f>1/5</f>
        <v>0.2</v>
      </c>
      <c r="CC22" s="60"/>
      <c r="CD22" s="60">
        <f>1/3</f>
        <v>0.33333333333333331</v>
      </c>
      <c r="CE22" s="60"/>
      <c r="CF22" s="60">
        <f>1/7</f>
        <v>0.14285714285714285</v>
      </c>
      <c r="CG22" s="60"/>
      <c r="CH22" s="60">
        <f>1/7</f>
        <v>0.14285714285714285</v>
      </c>
      <c r="CI22" s="60"/>
      <c r="CJ22" s="60">
        <f>1/5</f>
        <v>0.2</v>
      </c>
      <c r="CK22" s="60"/>
      <c r="CL22" s="62">
        <v>1</v>
      </c>
      <c r="CM22" s="62"/>
      <c r="CN22" s="60">
        <f>1/7</f>
        <v>0.14285714285714285</v>
      </c>
      <c r="CO22" s="60"/>
    </row>
    <row r="23" spans="2:93" x14ac:dyDescent="0.35">
      <c r="B23" s="80" t="s">
        <v>85</v>
      </c>
      <c r="C23" s="80"/>
      <c r="D23" s="80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80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  <c r="AW23" s="80" t="s">
        <v>79</v>
      </c>
      <c r="AX23" s="80"/>
      <c r="AY23" s="80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3"/>
      <c r="BK23" s="2"/>
      <c r="BL23" s="2"/>
      <c r="BM23" s="2"/>
      <c r="BN23" s="2"/>
      <c r="BO23" s="2"/>
      <c r="BP23" s="2"/>
      <c r="BQ23" s="80" t="s">
        <v>9</v>
      </c>
      <c r="BR23" s="80"/>
      <c r="BS23" s="8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2"/>
      <c r="CM23" s="62"/>
      <c r="CN23" s="60"/>
      <c r="CO23" s="60"/>
    </row>
    <row r="24" spans="2:93" ht="15" customHeight="1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v>5</v>
      </c>
      <c r="AD24" s="60"/>
      <c r="AE24" s="60">
        <f>1/3</f>
        <v>0.33333333333333331</v>
      </c>
      <c r="AF24" s="60"/>
      <c r="AG24" s="60">
        <v>7</v>
      </c>
      <c r="AH24" s="60"/>
      <c r="AI24" s="60">
        <v>3</v>
      </c>
      <c r="AJ24" s="60"/>
      <c r="AK24" s="60">
        <f>1/3</f>
        <v>0.33333333333333331</v>
      </c>
      <c r="AL24" s="60"/>
      <c r="AM24" s="60">
        <f>1/3</f>
        <v>0.33333333333333331</v>
      </c>
      <c r="AN24" s="60"/>
      <c r="AO24" s="60">
        <v>3</v>
      </c>
      <c r="AP24" s="60"/>
      <c r="AQ24" s="60">
        <v>7</v>
      </c>
      <c r="AR24" s="60"/>
      <c r="AS24" s="62">
        <v>1</v>
      </c>
      <c r="AT24" s="62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V24" s="60" t="s">
        <v>33</v>
      </c>
      <c r="BW24" s="60"/>
      <c r="BX24" s="60">
        <v>5</v>
      </c>
      <c r="BY24" s="60"/>
      <c r="BZ24" s="60">
        <f>1/3</f>
        <v>0.33333333333333331</v>
      </c>
      <c r="CA24" s="60"/>
      <c r="CB24" s="60">
        <v>7</v>
      </c>
      <c r="CC24" s="60"/>
      <c r="CD24" s="60">
        <f>1/7</f>
        <v>0.14285714285714285</v>
      </c>
      <c r="CE24" s="60"/>
      <c r="CF24" s="60">
        <f>1/7</f>
        <v>0.14285714285714285</v>
      </c>
      <c r="CG24" s="60"/>
      <c r="CH24" s="60">
        <f>1/7</f>
        <v>0.14285714285714285</v>
      </c>
      <c r="CI24" s="60"/>
      <c r="CJ24" s="60">
        <v>7</v>
      </c>
      <c r="CK24" s="60"/>
      <c r="CL24" s="60">
        <v>7</v>
      </c>
      <c r="CM24" s="60"/>
      <c r="CN24" s="62">
        <v>1</v>
      </c>
      <c r="CO24" s="62"/>
    </row>
    <row r="25" spans="2:93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  <c r="AW25" s="79" t="s">
        <v>2</v>
      </c>
      <c r="AX25" s="79"/>
      <c r="AY25" s="79"/>
      <c r="AZ25" s="2">
        <v>9</v>
      </c>
      <c r="BA25" s="2">
        <v>8</v>
      </c>
      <c r="BB25" s="2">
        <v>7</v>
      </c>
      <c r="BC25" s="2">
        <v>6</v>
      </c>
      <c r="BD25" s="2">
        <v>5</v>
      </c>
      <c r="BE25" s="2">
        <v>4</v>
      </c>
      <c r="BF25" s="2">
        <v>3</v>
      </c>
      <c r="BG25" s="2">
        <v>2</v>
      </c>
      <c r="BH25" s="2">
        <v>1</v>
      </c>
      <c r="BI25" s="2">
        <v>2</v>
      </c>
      <c r="BJ25" s="2">
        <v>3</v>
      </c>
      <c r="BK25" s="2">
        <v>4</v>
      </c>
      <c r="BL25" s="2">
        <v>5</v>
      </c>
      <c r="BM25" s="2">
        <v>6</v>
      </c>
      <c r="BN25" s="2">
        <v>7</v>
      </c>
      <c r="BO25" s="2">
        <v>8</v>
      </c>
      <c r="BP25" s="2">
        <v>9</v>
      </c>
      <c r="BQ25" s="79" t="s">
        <v>3</v>
      </c>
      <c r="BR25" s="79"/>
      <c r="BS25" s="79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2"/>
      <c r="CO25" s="62"/>
    </row>
    <row r="26" spans="2:93" x14ac:dyDescent="0.35">
      <c r="B26" s="80" t="s">
        <v>4</v>
      </c>
      <c r="C26" s="80"/>
      <c r="D26" s="8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2"/>
      <c r="U26" s="2"/>
      <c r="V26" s="80" t="s">
        <v>5</v>
      </c>
      <c r="W26" s="80"/>
      <c r="X26" s="80"/>
      <c r="AW26" s="80" t="s">
        <v>4</v>
      </c>
      <c r="AX26" s="80"/>
      <c r="AY26" s="80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3"/>
      <c r="BO26" s="2"/>
      <c r="BP26" s="2"/>
      <c r="BQ26" s="80" t="s">
        <v>5</v>
      </c>
      <c r="BR26" s="80"/>
      <c r="BS26" s="80"/>
    </row>
    <row r="27" spans="2:93" x14ac:dyDescent="0.35">
      <c r="B27" s="80" t="s">
        <v>4</v>
      </c>
      <c r="C27" s="80"/>
      <c r="D27" s="80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  <c r="AW27" s="80" t="s">
        <v>4</v>
      </c>
      <c r="AX27" s="80"/>
      <c r="AY27" s="80"/>
      <c r="AZ27" s="2"/>
      <c r="BA27" s="2"/>
      <c r="BB27" s="3"/>
      <c r="BC27" s="2"/>
      <c r="BD27" s="5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80" t="s">
        <v>6</v>
      </c>
      <c r="BR27" s="80"/>
      <c r="BS27" s="80"/>
    </row>
    <row r="28" spans="2:93" x14ac:dyDescent="0.35">
      <c r="B28" s="80" t="s">
        <v>4</v>
      </c>
      <c r="C28" s="80"/>
      <c r="D28" s="80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  <c r="V28" s="80" t="s">
        <v>7</v>
      </c>
      <c r="W28" s="80"/>
      <c r="X28" s="80"/>
      <c r="AW28" s="80" t="s">
        <v>4</v>
      </c>
      <c r="AX28" s="80"/>
      <c r="AY28" s="80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5"/>
      <c r="BK28" s="2"/>
      <c r="BL28" s="5"/>
      <c r="BM28" s="2"/>
      <c r="BN28" s="2"/>
      <c r="BO28" s="2"/>
      <c r="BP28" s="3"/>
      <c r="BQ28" s="80" t="s">
        <v>7</v>
      </c>
      <c r="BR28" s="80"/>
      <c r="BS28" s="80"/>
    </row>
    <row r="29" spans="2:93" x14ac:dyDescent="0.35">
      <c r="B29" s="80" t="s">
        <v>4</v>
      </c>
      <c r="C29" s="80"/>
      <c r="D29" s="8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2"/>
      <c r="S29" s="2"/>
      <c r="T29" s="2"/>
      <c r="U29" s="2"/>
      <c r="V29" s="80" t="s">
        <v>8</v>
      </c>
      <c r="W29" s="80"/>
      <c r="X29" s="80"/>
      <c r="AW29" s="80" t="s">
        <v>4</v>
      </c>
      <c r="AX29" s="80"/>
      <c r="AY29" s="80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5"/>
      <c r="BM29" s="2"/>
      <c r="BN29" s="2"/>
      <c r="BO29" s="2"/>
      <c r="BP29" s="3"/>
      <c r="BQ29" s="80" t="s">
        <v>8</v>
      </c>
      <c r="BR29" s="80"/>
      <c r="BS29" s="80"/>
    </row>
    <row r="30" spans="2:93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80" t="s">
        <v>9</v>
      </c>
      <c r="W30" s="80"/>
      <c r="X30" s="80"/>
      <c r="AW30" s="80" t="s">
        <v>4</v>
      </c>
      <c r="AX30" s="80"/>
      <c r="AY30" s="80"/>
      <c r="AZ30" s="2"/>
      <c r="BA30" s="2"/>
      <c r="BB30" s="2"/>
      <c r="BC30" s="2"/>
      <c r="BD30" s="2"/>
      <c r="BE30" s="2"/>
      <c r="BF30" s="5"/>
      <c r="BG30" s="2"/>
      <c r="BH30" s="2"/>
      <c r="BI30" s="2"/>
      <c r="BJ30" s="2"/>
      <c r="BK30" s="2"/>
      <c r="BL30" s="3"/>
      <c r="BM30" s="2"/>
      <c r="BN30" s="2"/>
      <c r="BO30" s="2"/>
      <c r="BP30" s="2"/>
      <c r="BQ30" s="80" t="s">
        <v>80</v>
      </c>
      <c r="BR30" s="80"/>
      <c r="BS30" s="80"/>
    </row>
    <row r="31" spans="2:93" x14ac:dyDescent="0.35">
      <c r="B31" s="80" t="s">
        <v>4</v>
      </c>
      <c r="C31" s="80"/>
      <c r="D31" s="80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0" t="s">
        <v>9</v>
      </c>
      <c r="W31" s="80"/>
      <c r="X31" s="80"/>
      <c r="AW31" s="80" t="s">
        <v>4</v>
      </c>
      <c r="AX31" s="80"/>
      <c r="AY31" s="80"/>
      <c r="AZ31" s="2"/>
      <c r="BA31" s="2"/>
      <c r="BB31" s="3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80" t="s">
        <v>9</v>
      </c>
      <c r="BR31" s="80"/>
      <c r="BS31" s="80"/>
    </row>
    <row r="32" spans="2:93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</row>
    <row r="33" spans="2:71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  <c r="AW33" s="79" t="s">
        <v>2</v>
      </c>
      <c r="AX33" s="79"/>
      <c r="AY33" s="79"/>
      <c r="AZ33" s="2">
        <v>9</v>
      </c>
      <c r="BA33" s="2">
        <v>8</v>
      </c>
      <c r="BB33" s="2">
        <v>7</v>
      </c>
      <c r="BC33" s="2">
        <v>6</v>
      </c>
      <c r="BD33" s="2">
        <v>5</v>
      </c>
      <c r="BE33" s="2">
        <v>4</v>
      </c>
      <c r="BF33" s="2">
        <v>3</v>
      </c>
      <c r="BG33" s="2">
        <v>2</v>
      </c>
      <c r="BH33" s="2">
        <v>1</v>
      </c>
      <c r="BI33" s="2">
        <v>2</v>
      </c>
      <c r="BJ33" s="2">
        <v>3</v>
      </c>
      <c r="BK33" s="2">
        <v>4</v>
      </c>
      <c r="BL33" s="2">
        <v>5</v>
      </c>
      <c r="BM33" s="2">
        <v>6</v>
      </c>
      <c r="BN33" s="2">
        <v>7</v>
      </c>
      <c r="BO33" s="2">
        <v>8</v>
      </c>
      <c r="BP33" s="2">
        <v>9</v>
      </c>
      <c r="BQ33" s="79" t="s">
        <v>3</v>
      </c>
      <c r="BR33" s="79"/>
      <c r="BS33" s="79"/>
    </row>
    <row r="34" spans="2:71" x14ac:dyDescent="0.35">
      <c r="B34" s="80" t="s">
        <v>5</v>
      </c>
      <c r="C34" s="80"/>
      <c r="D34" s="80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  <c r="AW34" s="80" t="s">
        <v>5</v>
      </c>
      <c r="AX34" s="80"/>
      <c r="AY34" s="80"/>
      <c r="AZ34" s="2"/>
      <c r="BA34" s="2"/>
      <c r="BB34" s="2"/>
      <c r="BC34" s="2"/>
      <c r="BD34" s="3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80" t="s">
        <v>6</v>
      </c>
      <c r="BR34" s="80"/>
      <c r="BS34" s="80"/>
    </row>
    <row r="35" spans="2:71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2"/>
      <c r="U35" s="2"/>
      <c r="V35" s="80" t="s">
        <v>7</v>
      </c>
      <c r="W35" s="80"/>
      <c r="X35" s="80"/>
      <c r="AW35" s="80" t="s">
        <v>5</v>
      </c>
      <c r="AX35" s="80"/>
      <c r="AY35" s="80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3"/>
      <c r="BO35" s="2"/>
      <c r="BP35" s="2"/>
      <c r="BQ35" s="80" t="s">
        <v>7</v>
      </c>
      <c r="BR35" s="80"/>
      <c r="BS35" s="80"/>
    </row>
    <row r="36" spans="2:71" x14ac:dyDescent="0.35">
      <c r="B36" s="80" t="s">
        <v>5</v>
      </c>
      <c r="C36" s="80"/>
      <c r="D36" s="8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2"/>
      <c r="S36" s="2"/>
      <c r="T36" s="2"/>
      <c r="U36" s="5"/>
      <c r="V36" s="80" t="s">
        <v>8</v>
      </c>
      <c r="W36" s="80"/>
      <c r="X36" s="80"/>
      <c r="AW36" s="80" t="s">
        <v>5</v>
      </c>
      <c r="AX36" s="80"/>
      <c r="AY36" s="80"/>
      <c r="AZ36" s="2"/>
      <c r="BA36" s="2"/>
      <c r="BB36" s="3"/>
      <c r="BC36" s="2"/>
      <c r="BD36" s="2"/>
      <c r="BE36" s="2"/>
      <c r="BF36" s="2"/>
      <c r="BG36" s="2"/>
      <c r="BH36" s="2"/>
      <c r="BI36" s="2"/>
      <c r="BJ36" s="2"/>
      <c r="BK36" s="2"/>
      <c r="BL36" s="5"/>
      <c r="BM36" s="2"/>
      <c r="BN36" s="2"/>
      <c r="BO36" s="2"/>
      <c r="BP36" s="5"/>
      <c r="BQ36" s="80" t="s">
        <v>8</v>
      </c>
      <c r="BR36" s="80"/>
      <c r="BS36" s="80"/>
    </row>
    <row r="37" spans="2:71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80" t="s">
        <v>9</v>
      </c>
      <c r="W37" s="80"/>
      <c r="X37" s="80"/>
      <c r="AW37" s="80" t="s">
        <v>5</v>
      </c>
      <c r="AX37" s="80"/>
      <c r="AY37" s="80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3"/>
      <c r="BK37" s="2"/>
      <c r="BL37" s="2"/>
      <c r="BM37" s="2"/>
      <c r="BN37" s="2"/>
      <c r="BO37" s="2"/>
      <c r="BP37" s="2"/>
      <c r="BQ37" s="80" t="s">
        <v>80</v>
      </c>
      <c r="BR37" s="80"/>
      <c r="BS37" s="80"/>
    </row>
    <row r="38" spans="2:71" x14ac:dyDescent="0.35">
      <c r="B38" s="80" t="s">
        <v>5</v>
      </c>
      <c r="C38" s="80"/>
      <c r="D38" s="80"/>
      <c r="E38" s="2"/>
      <c r="F38" s="2"/>
      <c r="G38" s="2"/>
      <c r="H38" s="2"/>
      <c r="I38" s="2"/>
      <c r="J38" s="2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80" t="s">
        <v>9</v>
      </c>
      <c r="W38" s="80"/>
      <c r="X38" s="80"/>
      <c r="AW38" s="80" t="s">
        <v>5</v>
      </c>
      <c r="AX38" s="80"/>
      <c r="AY38" s="80"/>
      <c r="AZ38" s="2"/>
      <c r="BA38" s="2"/>
      <c r="BB38" s="2"/>
      <c r="BC38" s="2"/>
      <c r="BD38" s="2"/>
      <c r="BE38" s="2"/>
      <c r="BF38" s="5"/>
      <c r="BG38" s="2"/>
      <c r="BH38" s="2"/>
      <c r="BI38" s="2"/>
      <c r="BJ38" s="2"/>
      <c r="BK38" s="2"/>
      <c r="BL38" s="2"/>
      <c r="BM38" s="2"/>
      <c r="BN38" s="3"/>
      <c r="BO38" s="2"/>
      <c r="BP38" s="2"/>
      <c r="BQ38" s="80" t="s">
        <v>9</v>
      </c>
      <c r="BR38" s="80"/>
      <c r="BS38" s="80"/>
    </row>
    <row r="39" spans="2:71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</row>
    <row r="40" spans="2:71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  <c r="AW40" s="79" t="s">
        <v>2</v>
      </c>
      <c r="AX40" s="79"/>
      <c r="AY40" s="79"/>
      <c r="AZ40" s="2">
        <v>9</v>
      </c>
      <c r="BA40" s="2">
        <v>8</v>
      </c>
      <c r="BB40" s="2">
        <v>7</v>
      </c>
      <c r="BC40" s="2">
        <v>6</v>
      </c>
      <c r="BD40" s="2">
        <v>5</v>
      </c>
      <c r="BE40" s="2">
        <v>4</v>
      </c>
      <c r="BF40" s="2">
        <v>3</v>
      </c>
      <c r="BG40" s="2">
        <v>2</v>
      </c>
      <c r="BH40" s="2">
        <v>1</v>
      </c>
      <c r="BI40" s="2">
        <v>2</v>
      </c>
      <c r="BJ40" s="2">
        <v>3</v>
      </c>
      <c r="BK40" s="2">
        <v>4</v>
      </c>
      <c r="BL40" s="2">
        <v>5</v>
      </c>
      <c r="BM40" s="2">
        <v>6</v>
      </c>
      <c r="BN40" s="2">
        <v>7</v>
      </c>
      <c r="BO40" s="2">
        <v>8</v>
      </c>
      <c r="BP40" s="2">
        <v>9</v>
      </c>
      <c r="BQ40" s="79" t="s">
        <v>3</v>
      </c>
      <c r="BR40" s="79"/>
      <c r="BS40" s="79"/>
    </row>
    <row r="41" spans="2:71" x14ac:dyDescent="0.35">
      <c r="B41" s="80" t="s">
        <v>6</v>
      </c>
      <c r="C41" s="80"/>
      <c r="D41" s="80"/>
      <c r="E41" s="2"/>
      <c r="F41" s="2"/>
      <c r="G41" s="2"/>
      <c r="H41" s="2"/>
      <c r="I41" s="2"/>
      <c r="J41" s="2"/>
      <c r="K41" s="2"/>
      <c r="L41" s="2"/>
      <c r="M41" s="2"/>
      <c r="N41" s="2"/>
      <c r="O41" s="5"/>
      <c r="P41" s="2"/>
      <c r="Q41" s="2"/>
      <c r="R41" s="2"/>
      <c r="S41" s="2"/>
      <c r="T41" s="2"/>
      <c r="U41" s="3"/>
      <c r="V41" s="80" t="s">
        <v>7</v>
      </c>
      <c r="W41" s="80"/>
      <c r="X41" s="80"/>
      <c r="AW41" s="80" t="s">
        <v>6</v>
      </c>
      <c r="AX41" s="80"/>
      <c r="AY41" s="80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5"/>
      <c r="BK41" s="2"/>
      <c r="BL41" s="2"/>
      <c r="BM41" s="2"/>
      <c r="BN41" s="2"/>
      <c r="BO41" s="2"/>
      <c r="BP41" s="3"/>
      <c r="BQ41" s="80" t="s">
        <v>7</v>
      </c>
      <c r="BR41" s="80"/>
      <c r="BS41" s="80"/>
    </row>
    <row r="42" spans="2:71" x14ac:dyDescent="0.35">
      <c r="B42" s="80" t="s">
        <v>6</v>
      </c>
      <c r="C42" s="80"/>
      <c r="D42" s="8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"/>
      <c r="Q42" s="5"/>
      <c r="R42" s="2"/>
      <c r="S42" s="3"/>
      <c r="T42" s="2"/>
      <c r="U42" s="2"/>
      <c r="V42" s="80" t="s">
        <v>8</v>
      </c>
      <c r="W42" s="80"/>
      <c r="X42" s="80"/>
      <c r="AW42" s="80" t="s">
        <v>6</v>
      </c>
      <c r="AX42" s="80"/>
      <c r="AY42" s="80"/>
      <c r="AZ42" s="2"/>
      <c r="BA42" s="2"/>
      <c r="BB42" s="3"/>
      <c r="BC42" s="2"/>
      <c r="BD42" s="2"/>
      <c r="BE42" s="2"/>
      <c r="BF42" s="2"/>
      <c r="BG42" s="2"/>
      <c r="BH42" s="2"/>
      <c r="BI42" s="2"/>
      <c r="BJ42" s="2"/>
      <c r="BK42" s="5"/>
      <c r="BL42" s="5"/>
      <c r="BM42" s="2"/>
      <c r="BN42" s="2"/>
      <c r="BO42" s="2"/>
      <c r="BP42" s="2"/>
      <c r="BQ42" s="80" t="s">
        <v>8</v>
      </c>
      <c r="BR42" s="80"/>
      <c r="BS42" s="80"/>
    </row>
    <row r="43" spans="2:71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2"/>
      <c r="L43" s="2"/>
      <c r="M43" s="2"/>
      <c r="N43" s="2"/>
      <c r="O43" s="5"/>
      <c r="P43" s="2"/>
      <c r="Q43" s="3"/>
      <c r="R43" s="2"/>
      <c r="S43" s="5"/>
      <c r="T43" s="2"/>
      <c r="U43" s="2"/>
      <c r="V43" s="80" t="s">
        <v>9</v>
      </c>
      <c r="W43" s="80"/>
      <c r="X43" s="80"/>
      <c r="AW43" s="80" t="s">
        <v>6</v>
      </c>
      <c r="AX43" s="80"/>
      <c r="AY43" s="80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5"/>
      <c r="BK43" s="2"/>
      <c r="BL43" s="2"/>
      <c r="BM43" s="2"/>
      <c r="BN43" s="3"/>
      <c r="BO43" s="2"/>
      <c r="BP43" s="2"/>
      <c r="BQ43" s="80" t="s">
        <v>80</v>
      </c>
      <c r="BR43" s="80"/>
      <c r="BS43" s="80"/>
    </row>
    <row r="44" spans="2:71" x14ac:dyDescent="0.35">
      <c r="B44" s="80" t="s">
        <v>6</v>
      </c>
      <c r="C44" s="80"/>
      <c r="D44" s="80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5"/>
      <c r="V44" s="80" t="s">
        <v>9</v>
      </c>
      <c r="W44" s="80"/>
      <c r="X44" s="80"/>
      <c r="AW44" s="80" t="s">
        <v>6</v>
      </c>
      <c r="AX44" s="80"/>
      <c r="AY44" s="80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5"/>
      <c r="BK44" s="2"/>
      <c r="BL44" s="2"/>
      <c r="BM44" s="2"/>
      <c r="BN44" s="3"/>
      <c r="BO44" s="2"/>
      <c r="BP44" s="5"/>
      <c r="BQ44" s="80" t="s">
        <v>9</v>
      </c>
      <c r="BR44" s="80"/>
      <c r="BS44" s="80"/>
    </row>
    <row r="45" spans="2:71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</row>
    <row r="46" spans="2:71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  <c r="AW46" s="79" t="s">
        <v>2</v>
      </c>
      <c r="AX46" s="79"/>
      <c r="AY46" s="79"/>
      <c r="AZ46" s="2">
        <v>9</v>
      </c>
      <c r="BA46" s="2">
        <v>8</v>
      </c>
      <c r="BB46" s="2">
        <v>7</v>
      </c>
      <c r="BC46" s="2">
        <v>6</v>
      </c>
      <c r="BD46" s="2">
        <v>5</v>
      </c>
      <c r="BE46" s="2">
        <v>4</v>
      </c>
      <c r="BF46" s="2">
        <v>3</v>
      </c>
      <c r="BG46" s="2">
        <v>2</v>
      </c>
      <c r="BH46" s="2">
        <v>1</v>
      </c>
      <c r="BI46" s="2">
        <v>2</v>
      </c>
      <c r="BJ46" s="2">
        <v>3</v>
      </c>
      <c r="BK46" s="2">
        <v>4</v>
      </c>
      <c r="BL46" s="2">
        <v>5</v>
      </c>
      <c r="BM46" s="2">
        <v>6</v>
      </c>
      <c r="BN46" s="2">
        <v>7</v>
      </c>
      <c r="BO46" s="2">
        <v>8</v>
      </c>
      <c r="BP46" s="2">
        <v>9</v>
      </c>
      <c r="BQ46" s="79" t="s">
        <v>3</v>
      </c>
      <c r="BR46" s="79"/>
      <c r="BS46" s="79"/>
    </row>
    <row r="47" spans="2:71" x14ac:dyDescent="0.35">
      <c r="B47" s="80" t="s">
        <v>7</v>
      </c>
      <c r="C47" s="80"/>
      <c r="D47" s="80"/>
      <c r="E47" s="2"/>
      <c r="F47" s="2"/>
      <c r="G47" s="3"/>
      <c r="H47" s="2"/>
      <c r="I47" s="2"/>
      <c r="J47" s="2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  <c r="AW47" s="80" t="s">
        <v>7</v>
      </c>
      <c r="AX47" s="80"/>
      <c r="AY47" s="80"/>
      <c r="AZ47" s="2"/>
      <c r="BA47" s="2"/>
      <c r="BB47" s="3"/>
      <c r="BC47" s="2"/>
      <c r="BD47" s="2"/>
      <c r="BE47" s="5"/>
      <c r="BF47" s="5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80" t="s">
        <v>8</v>
      </c>
      <c r="BR47" s="80"/>
      <c r="BS47" s="80"/>
    </row>
    <row r="48" spans="2:71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80" t="s">
        <v>9</v>
      </c>
      <c r="W48" s="80"/>
      <c r="X48" s="80"/>
      <c r="AW48" s="80" t="s">
        <v>7</v>
      </c>
      <c r="AX48" s="80"/>
      <c r="AY48" s="80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5"/>
      <c r="BK48" s="2"/>
      <c r="BL48" s="2"/>
      <c r="BM48" s="2"/>
      <c r="BN48" s="3"/>
      <c r="BO48" s="2"/>
      <c r="BP48" s="2"/>
      <c r="BQ48" s="80" t="s">
        <v>80</v>
      </c>
      <c r="BR48" s="80"/>
      <c r="BS48" s="80"/>
    </row>
    <row r="49" spans="2:91" x14ac:dyDescent="0.35">
      <c r="B49" s="80" t="s">
        <v>7</v>
      </c>
      <c r="C49" s="80"/>
      <c r="D49" s="80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80" t="s">
        <v>9</v>
      </c>
      <c r="W49" s="80"/>
      <c r="X49" s="80"/>
      <c r="AW49" s="80" t="s">
        <v>7</v>
      </c>
      <c r="AX49" s="80"/>
      <c r="AY49" s="80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5"/>
      <c r="BK49" s="2"/>
      <c r="BL49" s="2"/>
      <c r="BM49" s="2"/>
      <c r="BN49" s="3"/>
      <c r="BO49" s="2"/>
      <c r="BP49" s="2"/>
      <c r="BQ49" s="80" t="s">
        <v>9</v>
      </c>
      <c r="BR49" s="80"/>
      <c r="BS49" s="80"/>
    </row>
    <row r="50" spans="2:91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</row>
    <row r="51" spans="2:91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  <c r="AW51" s="79" t="s">
        <v>2</v>
      </c>
      <c r="AX51" s="79"/>
      <c r="AY51" s="79"/>
      <c r="AZ51" s="2">
        <v>9</v>
      </c>
      <c r="BA51" s="2">
        <v>8</v>
      </c>
      <c r="BB51" s="2">
        <v>7</v>
      </c>
      <c r="BC51" s="2">
        <v>6</v>
      </c>
      <c r="BD51" s="2">
        <v>5</v>
      </c>
      <c r="BE51" s="2">
        <v>4</v>
      </c>
      <c r="BF51" s="2">
        <v>3</v>
      </c>
      <c r="BG51" s="2">
        <v>2</v>
      </c>
      <c r="BH51" s="2">
        <v>1</v>
      </c>
      <c r="BI51" s="2">
        <v>2</v>
      </c>
      <c r="BJ51" s="2">
        <v>3</v>
      </c>
      <c r="BK51" s="2">
        <v>4</v>
      </c>
      <c r="BL51" s="2">
        <v>5</v>
      </c>
      <c r="BM51" s="2">
        <v>6</v>
      </c>
      <c r="BN51" s="2">
        <v>7</v>
      </c>
      <c r="BO51" s="2">
        <v>8</v>
      </c>
      <c r="BP51" s="2">
        <v>9</v>
      </c>
      <c r="BQ51" s="79" t="s">
        <v>3</v>
      </c>
      <c r="BR51" s="79"/>
      <c r="BS51" s="79"/>
    </row>
    <row r="52" spans="2:91" x14ac:dyDescent="0.35">
      <c r="B52" s="80" t="s">
        <v>8</v>
      </c>
      <c r="C52" s="80"/>
      <c r="D52" s="80"/>
      <c r="E52" s="2"/>
      <c r="F52" s="2"/>
      <c r="G52" s="2"/>
      <c r="H52" s="2"/>
      <c r="I52" s="5"/>
      <c r="J52" s="2"/>
      <c r="K52" s="5"/>
      <c r="L52" s="2"/>
      <c r="M52" s="2"/>
      <c r="N52" s="2"/>
      <c r="O52" s="2"/>
      <c r="P52" s="2"/>
      <c r="Q52" s="2"/>
      <c r="R52" s="2"/>
      <c r="S52" s="3"/>
      <c r="T52" s="2"/>
      <c r="U52" s="2"/>
      <c r="V52" s="80" t="s">
        <v>9</v>
      </c>
      <c r="W52" s="80"/>
      <c r="X52" s="80"/>
      <c r="AW52" s="80" t="s">
        <v>8</v>
      </c>
      <c r="AX52" s="80"/>
      <c r="AY52" s="80"/>
      <c r="AZ52" s="2"/>
      <c r="BA52" s="2"/>
      <c r="BB52" s="2"/>
      <c r="BC52" s="2"/>
      <c r="BD52" s="2"/>
      <c r="BE52" s="2"/>
      <c r="BF52" s="5"/>
      <c r="BG52" s="2"/>
      <c r="BH52" s="2"/>
      <c r="BI52" s="2"/>
      <c r="BJ52" s="2"/>
      <c r="BK52" s="2"/>
      <c r="BL52" s="3"/>
      <c r="BM52" s="2"/>
      <c r="BN52" s="2"/>
      <c r="BO52" s="2"/>
      <c r="BP52" s="2"/>
      <c r="BQ52" s="80" t="s">
        <v>80</v>
      </c>
      <c r="BR52" s="80"/>
      <c r="BS52" s="80"/>
    </row>
    <row r="53" spans="2:91" x14ac:dyDescent="0.35">
      <c r="B53" s="80" t="s">
        <v>8</v>
      </c>
      <c r="C53" s="80"/>
      <c r="D53" s="80"/>
      <c r="E53" s="2"/>
      <c r="F53" s="2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80" t="s">
        <v>9</v>
      </c>
      <c r="W53" s="80"/>
      <c r="X53" s="80"/>
      <c r="AW53" s="80" t="s">
        <v>8</v>
      </c>
      <c r="AX53" s="80"/>
      <c r="AY53" s="80"/>
      <c r="AZ53" s="2"/>
      <c r="BA53" s="2"/>
      <c r="BB53" s="3"/>
      <c r="BC53" s="2"/>
      <c r="BD53" s="2"/>
      <c r="BE53" s="2"/>
      <c r="BF53" s="5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80" t="s">
        <v>9</v>
      </c>
      <c r="BR53" s="80"/>
      <c r="BS53" s="80"/>
    </row>
    <row r="54" spans="2:91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</row>
    <row r="55" spans="2:91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  <c r="AW55" s="79" t="s">
        <v>2</v>
      </c>
      <c r="AX55" s="79"/>
      <c r="AY55" s="79"/>
      <c r="AZ55" s="2">
        <v>9</v>
      </c>
      <c r="BA55" s="2">
        <v>8</v>
      </c>
      <c r="BB55" s="2">
        <v>7</v>
      </c>
      <c r="BC55" s="2">
        <v>6</v>
      </c>
      <c r="BD55" s="2">
        <v>5</v>
      </c>
      <c r="BE55" s="2">
        <v>4</v>
      </c>
      <c r="BF55" s="2">
        <v>3</v>
      </c>
      <c r="BG55" s="2">
        <v>2</v>
      </c>
      <c r="BH55" s="2">
        <v>1</v>
      </c>
      <c r="BI55" s="2">
        <v>2</v>
      </c>
      <c r="BJ55" s="2">
        <v>3</v>
      </c>
      <c r="BK55" s="2">
        <v>4</v>
      </c>
      <c r="BL55" s="2">
        <v>5</v>
      </c>
      <c r="BM55" s="2">
        <v>6</v>
      </c>
      <c r="BN55" s="2">
        <v>7</v>
      </c>
      <c r="BO55" s="2">
        <v>8</v>
      </c>
      <c r="BP55" s="2">
        <v>9</v>
      </c>
      <c r="BQ55" s="79" t="s">
        <v>3</v>
      </c>
      <c r="BR55" s="79"/>
      <c r="BS55" s="79"/>
    </row>
    <row r="56" spans="2:91" x14ac:dyDescent="0.35">
      <c r="B56" s="80" t="s">
        <v>9</v>
      </c>
      <c r="C56" s="80"/>
      <c r="D56" s="80"/>
      <c r="E56" s="2"/>
      <c r="F56" s="2"/>
      <c r="G56" s="3"/>
      <c r="H56" s="2"/>
      <c r="I56" s="2"/>
      <c r="J56" s="2"/>
      <c r="K56" s="2"/>
      <c r="L56" s="5"/>
      <c r="M56" s="2"/>
      <c r="N56" s="2"/>
      <c r="O56" s="2"/>
      <c r="P56" s="2"/>
      <c r="Q56" s="2"/>
      <c r="R56" s="2"/>
      <c r="S56" s="2"/>
      <c r="T56" s="2"/>
      <c r="U56" s="2"/>
      <c r="V56" s="80" t="s">
        <v>9</v>
      </c>
      <c r="W56" s="80"/>
      <c r="X56" s="80"/>
      <c r="AW56" s="80" t="s">
        <v>80</v>
      </c>
      <c r="AX56" s="80"/>
      <c r="AY56" s="80"/>
      <c r="AZ56" s="2"/>
      <c r="BA56" s="2"/>
      <c r="BB56" s="3"/>
      <c r="BC56" s="2"/>
      <c r="BD56" s="2"/>
      <c r="BE56" s="2"/>
      <c r="BF56" s="2"/>
      <c r="BG56" s="5"/>
      <c r="BH56" s="2"/>
      <c r="BI56" s="2"/>
      <c r="BJ56" s="2"/>
      <c r="BK56" s="2"/>
      <c r="BL56" s="2"/>
      <c r="BM56" s="2"/>
      <c r="BN56" s="2"/>
      <c r="BO56" s="2"/>
      <c r="BP56" s="2"/>
      <c r="BQ56" s="80" t="s">
        <v>9</v>
      </c>
      <c r="BR56" s="80"/>
      <c r="BS56" s="80"/>
    </row>
    <row r="59" spans="2:91" x14ac:dyDescent="0.35">
      <c r="B59" s="85" t="s">
        <v>10</v>
      </c>
      <c r="C59" s="85"/>
      <c r="AW59" s="85" t="s">
        <v>10</v>
      </c>
      <c r="AX59" s="85"/>
    </row>
    <row r="61" spans="2:91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60"/>
      <c r="AW61" s="79" t="s">
        <v>2</v>
      </c>
      <c r="AX61" s="79"/>
      <c r="AY61" s="79"/>
      <c r="AZ61" s="2">
        <v>9</v>
      </c>
      <c r="BA61" s="2">
        <v>8</v>
      </c>
      <c r="BB61" s="2">
        <v>7</v>
      </c>
      <c r="BC61" s="2">
        <v>6</v>
      </c>
      <c r="BD61" s="2">
        <v>5</v>
      </c>
      <c r="BE61" s="2">
        <v>4</v>
      </c>
      <c r="BF61" s="2">
        <v>3</v>
      </c>
      <c r="BG61" s="2">
        <v>2</v>
      </c>
      <c r="BH61" s="2">
        <v>1</v>
      </c>
      <c r="BI61" s="2">
        <v>2</v>
      </c>
      <c r="BJ61" s="2">
        <v>3</v>
      </c>
      <c r="BK61" s="2">
        <v>4</v>
      </c>
      <c r="BL61" s="2">
        <v>5</v>
      </c>
      <c r="BM61" s="2">
        <v>6</v>
      </c>
      <c r="BN61" s="2">
        <v>7</v>
      </c>
      <c r="BO61" s="2">
        <v>8</v>
      </c>
      <c r="BP61" s="2">
        <v>9</v>
      </c>
      <c r="BQ61" s="79" t="s">
        <v>3</v>
      </c>
      <c r="BR61" s="79"/>
      <c r="BS61" s="79"/>
      <c r="BV61" s="60"/>
      <c r="BW61" s="60"/>
      <c r="BX61" s="60" t="s">
        <v>11</v>
      </c>
      <c r="BY61" s="60"/>
      <c r="BZ61" s="60" t="s">
        <v>81</v>
      </c>
      <c r="CA61" s="60"/>
      <c r="CB61" s="60" t="s">
        <v>27</v>
      </c>
      <c r="CC61" s="60"/>
      <c r="CD61" s="60" t="s">
        <v>87</v>
      </c>
      <c r="CE61" s="60"/>
      <c r="CF61" s="60" t="s">
        <v>90</v>
      </c>
      <c r="CG61" s="60"/>
      <c r="CH61" s="60" t="s">
        <v>89</v>
      </c>
      <c r="CI61" s="60"/>
      <c r="CJ61" s="60" t="s">
        <v>91</v>
      </c>
      <c r="CK61" s="75"/>
      <c r="CL61" s="74"/>
      <c r="CM61" s="69"/>
    </row>
    <row r="62" spans="2:91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5"/>
      <c r="P62" s="2"/>
      <c r="Q62" s="2"/>
      <c r="R62" s="2"/>
      <c r="S62" s="3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W62" s="80" t="s">
        <v>11</v>
      </c>
      <c r="AX62" s="80"/>
      <c r="AY62" s="80"/>
      <c r="AZ62" s="2"/>
      <c r="BA62" s="2"/>
      <c r="BB62" s="3"/>
      <c r="BC62" s="2"/>
      <c r="BD62" s="2"/>
      <c r="BE62" s="2"/>
      <c r="BF62" s="2"/>
      <c r="BG62" s="2"/>
      <c r="BH62" s="2"/>
      <c r="BI62" s="2"/>
      <c r="BJ62" s="5"/>
      <c r="BK62" s="2"/>
      <c r="BL62" s="2"/>
      <c r="BM62" s="2"/>
      <c r="BN62" s="2"/>
      <c r="BO62" s="2"/>
      <c r="BP62" s="2"/>
      <c r="BQ62" s="81" t="s">
        <v>81</v>
      </c>
      <c r="BR62" s="82"/>
      <c r="BS62" s="83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75"/>
      <c r="CL62" s="74"/>
      <c r="CM62" s="69"/>
    </row>
    <row r="63" spans="2:91" x14ac:dyDescent="0.35">
      <c r="B63" s="80" t="s">
        <v>11</v>
      </c>
      <c r="C63" s="80"/>
      <c r="D63" s="8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5"/>
      <c r="R63" s="2"/>
      <c r="S63" s="2"/>
      <c r="T63" s="2"/>
      <c r="U63" s="3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7</v>
      </c>
      <c r="AF63" s="64"/>
      <c r="AG63" s="63">
        <v>9</v>
      </c>
      <c r="AH63" s="64"/>
      <c r="AI63" s="63">
        <f>1/5</f>
        <v>0.2</v>
      </c>
      <c r="AJ63" s="64"/>
      <c r="AK63" s="63">
        <v>5</v>
      </c>
      <c r="AL63" s="64"/>
      <c r="AM63" s="63">
        <f>1/5</f>
        <v>0.2</v>
      </c>
      <c r="AN63" s="64"/>
      <c r="AO63" s="63">
        <f>1/5</f>
        <v>0.2</v>
      </c>
      <c r="AP63" s="64"/>
      <c r="AW63" s="80" t="s">
        <v>11</v>
      </c>
      <c r="AX63" s="80"/>
      <c r="AY63" s="80"/>
      <c r="AZ63" s="2"/>
      <c r="BA63" s="2"/>
      <c r="BB63" s="2"/>
      <c r="BC63" s="2"/>
      <c r="BD63" s="2"/>
      <c r="BE63" s="2"/>
      <c r="BF63" s="3"/>
      <c r="BG63" s="2"/>
      <c r="BH63" s="2"/>
      <c r="BI63" s="2"/>
      <c r="BJ63" s="2"/>
      <c r="BK63" s="2"/>
      <c r="BL63" s="5"/>
      <c r="BM63" s="2"/>
      <c r="BN63" s="2"/>
      <c r="BO63" s="2"/>
      <c r="BP63" s="2"/>
      <c r="BQ63" s="81" t="s">
        <v>27</v>
      </c>
      <c r="BR63" s="82"/>
      <c r="BS63" s="83"/>
      <c r="BV63" s="63" t="s">
        <v>11</v>
      </c>
      <c r="BW63" s="64"/>
      <c r="BX63" s="70">
        <v>1</v>
      </c>
      <c r="BY63" s="71"/>
      <c r="BZ63" s="63">
        <f>1/7</f>
        <v>0.14285714285714285</v>
      </c>
      <c r="CA63" s="64"/>
      <c r="CB63" s="63">
        <f>1/3</f>
        <v>0.33333333333333331</v>
      </c>
      <c r="CC63" s="64"/>
      <c r="CD63" s="63">
        <f>1/7</f>
        <v>0.14285714285714285</v>
      </c>
      <c r="CE63" s="64"/>
      <c r="CF63" s="63">
        <v>5</v>
      </c>
      <c r="CG63" s="64"/>
      <c r="CH63" s="63">
        <v>9</v>
      </c>
      <c r="CI63" s="64"/>
      <c r="CJ63" s="63">
        <v>7</v>
      </c>
      <c r="CK63" s="68"/>
      <c r="CL63" s="74"/>
      <c r="CM63" s="69"/>
    </row>
    <row r="64" spans="2:91" x14ac:dyDescent="0.35">
      <c r="B64" s="80" t="s">
        <v>11</v>
      </c>
      <c r="C64" s="80"/>
      <c r="D64" s="80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66"/>
      <c r="AW64" s="80" t="s">
        <v>11</v>
      </c>
      <c r="AX64" s="80"/>
      <c r="AY64" s="80"/>
      <c r="AZ64" s="2"/>
      <c r="BA64" s="2"/>
      <c r="BB64" s="3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81" t="s">
        <v>28</v>
      </c>
      <c r="BR64" s="82"/>
      <c r="BS64" s="83"/>
      <c r="BV64" s="65"/>
      <c r="BW64" s="66"/>
      <c r="BX64" s="72"/>
      <c r="BY64" s="73"/>
      <c r="BZ64" s="65"/>
      <c r="CA64" s="66"/>
      <c r="CB64" s="65"/>
      <c r="CC64" s="66"/>
      <c r="CD64" s="65"/>
      <c r="CE64" s="66"/>
      <c r="CF64" s="65"/>
      <c r="CG64" s="66"/>
      <c r="CH64" s="65"/>
      <c r="CI64" s="66"/>
      <c r="CJ64" s="65"/>
      <c r="CK64" s="78"/>
      <c r="CL64" s="74"/>
      <c r="CM64" s="69"/>
    </row>
    <row r="65" spans="2:91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5"/>
      <c r="V65" s="81" t="s">
        <v>29</v>
      </c>
      <c r="W65" s="82"/>
      <c r="X65" s="83"/>
      <c r="AA65" s="60" t="s">
        <v>81</v>
      </c>
      <c r="AB65" s="60"/>
      <c r="AC65" s="60">
        <f>1/7</f>
        <v>0.14285714285714285</v>
      </c>
      <c r="AD65" s="60"/>
      <c r="AE65" s="62">
        <v>1</v>
      </c>
      <c r="AF65" s="62"/>
      <c r="AG65" s="60">
        <v>7</v>
      </c>
      <c r="AH65" s="60"/>
      <c r="AI65" s="60">
        <f>1/5</f>
        <v>0.2</v>
      </c>
      <c r="AJ65" s="60"/>
      <c r="AK65" s="60">
        <v>7</v>
      </c>
      <c r="AL65" s="60"/>
      <c r="AM65" s="60">
        <f>1/5</f>
        <v>0.2</v>
      </c>
      <c r="AN65" s="60"/>
      <c r="AO65" s="60">
        <f>1/3</f>
        <v>0.33333333333333331</v>
      </c>
      <c r="AP65" s="60"/>
      <c r="AW65" s="80" t="s">
        <v>11</v>
      </c>
      <c r="AX65" s="80"/>
      <c r="AY65" s="80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3"/>
      <c r="BM65" s="2"/>
      <c r="BN65" s="2"/>
      <c r="BO65" s="2"/>
      <c r="BP65" s="5"/>
      <c r="BQ65" s="81" t="s">
        <v>29</v>
      </c>
      <c r="BR65" s="82"/>
      <c r="BS65" s="83"/>
      <c r="BV65" s="60" t="s">
        <v>81</v>
      </c>
      <c r="BW65" s="60"/>
      <c r="BX65" s="60">
        <v>7</v>
      </c>
      <c r="BY65" s="60"/>
      <c r="BZ65" s="62">
        <v>1</v>
      </c>
      <c r="CA65" s="62"/>
      <c r="CB65" s="60">
        <f>1/7</f>
        <v>0.14285714285714285</v>
      </c>
      <c r="CC65" s="60"/>
      <c r="CD65" s="60">
        <f>1/5</f>
        <v>0.2</v>
      </c>
      <c r="CE65" s="60"/>
      <c r="CF65" s="60">
        <v>9</v>
      </c>
      <c r="CG65" s="60"/>
      <c r="CH65" s="60">
        <v>7</v>
      </c>
      <c r="CI65" s="60"/>
      <c r="CJ65" s="60">
        <f>1/9</f>
        <v>0.1111111111111111</v>
      </c>
      <c r="CK65" s="75"/>
      <c r="CL65" s="74"/>
      <c r="CM65" s="69"/>
    </row>
    <row r="66" spans="2:91" x14ac:dyDescent="0.35">
      <c r="B66" s="80" t="s">
        <v>11</v>
      </c>
      <c r="C66" s="80"/>
      <c r="D66" s="80"/>
      <c r="E66" s="2"/>
      <c r="F66" s="2"/>
      <c r="G66" s="2"/>
      <c r="H66" s="2"/>
      <c r="I66" s="3"/>
      <c r="J66" s="2"/>
      <c r="K66" s="2"/>
      <c r="L66" s="2"/>
      <c r="M66" s="2"/>
      <c r="N66" s="2"/>
      <c r="O66" s="5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W66" s="80" t="s">
        <v>11</v>
      </c>
      <c r="AX66" s="80"/>
      <c r="AY66" s="80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5"/>
      <c r="BK66" s="2"/>
      <c r="BL66" s="2"/>
      <c r="BM66" s="2"/>
      <c r="BN66" s="2"/>
      <c r="BO66" s="2"/>
      <c r="BP66" s="3"/>
      <c r="BQ66" s="81" t="s">
        <v>82</v>
      </c>
      <c r="BR66" s="82"/>
      <c r="BS66" s="83"/>
      <c r="BV66" s="60"/>
      <c r="BW66" s="60"/>
      <c r="BX66" s="60"/>
      <c r="BY66" s="60"/>
      <c r="BZ66" s="62"/>
      <c r="CA66" s="62"/>
      <c r="CB66" s="60"/>
      <c r="CC66" s="60"/>
      <c r="CD66" s="60"/>
      <c r="CE66" s="60"/>
      <c r="CF66" s="60"/>
      <c r="CG66" s="60"/>
      <c r="CH66" s="60"/>
      <c r="CI66" s="60"/>
      <c r="CJ66" s="60"/>
      <c r="CK66" s="75"/>
      <c r="CL66" s="74"/>
      <c r="CM66" s="69"/>
    </row>
    <row r="67" spans="2:91" x14ac:dyDescent="0.35">
      <c r="B67" s="80" t="s">
        <v>11</v>
      </c>
      <c r="C67" s="80"/>
      <c r="D67" s="80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1" t="s">
        <v>30</v>
      </c>
      <c r="W67" s="82"/>
      <c r="X67" s="83"/>
      <c r="AA67" s="60" t="s">
        <v>27</v>
      </c>
      <c r="AB67" s="60"/>
      <c r="AC67" s="60">
        <f>1/9</f>
        <v>0.1111111111111111</v>
      </c>
      <c r="AD67" s="60"/>
      <c r="AE67" s="60">
        <f>1/7</f>
        <v>0.14285714285714285</v>
      </c>
      <c r="AF67" s="60"/>
      <c r="AG67" s="62">
        <v>1</v>
      </c>
      <c r="AH67" s="62"/>
      <c r="AI67" s="60">
        <f>1/9</f>
        <v>0.1111111111111111</v>
      </c>
      <c r="AJ67" s="60"/>
      <c r="AK67" s="60">
        <v>5</v>
      </c>
      <c r="AL67" s="60"/>
      <c r="AM67" s="60">
        <f>1/5</f>
        <v>0.2</v>
      </c>
      <c r="AN67" s="60"/>
      <c r="AO67" s="60">
        <v>7</v>
      </c>
      <c r="AP67" s="60"/>
      <c r="AW67" s="80" t="s">
        <v>11</v>
      </c>
      <c r="AX67" s="80"/>
      <c r="AY67" s="80"/>
      <c r="AZ67" s="2"/>
      <c r="BA67" s="2"/>
      <c r="BB67" s="2"/>
      <c r="BC67" s="2"/>
      <c r="BD67" s="5"/>
      <c r="BE67" s="2"/>
      <c r="BF67" s="2"/>
      <c r="BG67" s="2"/>
      <c r="BH67" s="2"/>
      <c r="BI67" s="2"/>
      <c r="BJ67" s="2"/>
      <c r="BK67" s="2"/>
      <c r="BL67" s="2"/>
      <c r="BM67" s="2"/>
      <c r="BN67" s="3"/>
      <c r="BO67" s="2"/>
      <c r="BP67" s="2"/>
      <c r="BQ67" s="81" t="s">
        <v>30</v>
      </c>
      <c r="BR67" s="82"/>
      <c r="BS67" s="83"/>
      <c r="BV67" s="60" t="s">
        <v>27</v>
      </c>
      <c r="BW67" s="60"/>
      <c r="BX67" s="60">
        <v>3</v>
      </c>
      <c r="BY67" s="60"/>
      <c r="BZ67" s="60">
        <v>7</v>
      </c>
      <c r="CA67" s="60"/>
      <c r="CB67" s="62">
        <v>1</v>
      </c>
      <c r="CC67" s="62"/>
      <c r="CD67" s="60">
        <f>1/7</f>
        <v>0.14285714285714285</v>
      </c>
      <c r="CE67" s="60"/>
      <c r="CF67" s="60">
        <v>9</v>
      </c>
      <c r="CG67" s="60"/>
      <c r="CH67" s="60">
        <v>5</v>
      </c>
      <c r="CI67" s="60"/>
      <c r="CJ67" s="60">
        <f>1/7</f>
        <v>0.14285714285714285</v>
      </c>
      <c r="CK67" s="75"/>
      <c r="CL67" s="74"/>
      <c r="CM67" s="69"/>
    </row>
    <row r="68" spans="2:91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6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V68" s="60"/>
      <c r="BW68" s="60"/>
      <c r="BX68" s="60"/>
      <c r="BY68" s="60"/>
      <c r="BZ68" s="60"/>
      <c r="CA68" s="60"/>
      <c r="CB68" s="62"/>
      <c r="CC68" s="62"/>
      <c r="CD68" s="60"/>
      <c r="CE68" s="60"/>
      <c r="CF68" s="60"/>
      <c r="CG68" s="60"/>
      <c r="CH68" s="60"/>
      <c r="CI68" s="60"/>
      <c r="CJ68" s="60"/>
      <c r="CK68" s="75"/>
      <c r="CL68" s="74"/>
      <c r="CM68" s="69"/>
    </row>
    <row r="69" spans="2:91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v>7</v>
      </c>
      <c r="AD69" s="60"/>
      <c r="AE69" s="60">
        <v>5</v>
      </c>
      <c r="AF69" s="60"/>
      <c r="AG69" s="60">
        <v>9</v>
      </c>
      <c r="AH69" s="60"/>
      <c r="AI69" s="62">
        <v>1</v>
      </c>
      <c r="AJ69" s="62"/>
      <c r="AK69" s="60">
        <v>9</v>
      </c>
      <c r="AL69" s="60"/>
      <c r="AM69" s="60">
        <f>1/5</f>
        <v>0.2</v>
      </c>
      <c r="AN69" s="60"/>
      <c r="AO69" s="60">
        <v>3</v>
      </c>
      <c r="AP69" s="60"/>
      <c r="AW69" s="79" t="s">
        <v>2</v>
      </c>
      <c r="AX69" s="79"/>
      <c r="AY69" s="79"/>
      <c r="AZ69" s="2">
        <v>9</v>
      </c>
      <c r="BA69" s="2">
        <v>8</v>
      </c>
      <c r="BB69" s="2">
        <v>7</v>
      </c>
      <c r="BC69" s="2">
        <v>6</v>
      </c>
      <c r="BD69" s="2">
        <v>5</v>
      </c>
      <c r="BE69" s="2">
        <v>4</v>
      </c>
      <c r="BF69" s="2">
        <v>3</v>
      </c>
      <c r="BG69" s="2">
        <v>2</v>
      </c>
      <c r="BH69" s="2">
        <v>1</v>
      </c>
      <c r="BI69" s="2">
        <v>2</v>
      </c>
      <c r="BJ69" s="2">
        <v>3</v>
      </c>
      <c r="BK69" s="2">
        <v>4</v>
      </c>
      <c r="BL69" s="2">
        <v>5</v>
      </c>
      <c r="BM69" s="2">
        <v>6</v>
      </c>
      <c r="BN69" s="2">
        <v>7</v>
      </c>
      <c r="BO69" s="2">
        <v>8</v>
      </c>
      <c r="BP69" s="2">
        <v>9</v>
      </c>
      <c r="BQ69" s="79" t="s">
        <v>3</v>
      </c>
      <c r="BR69" s="79"/>
      <c r="BS69" s="79"/>
      <c r="BV69" s="60" t="s">
        <v>87</v>
      </c>
      <c r="BW69" s="60"/>
      <c r="BX69" s="60">
        <v>7</v>
      </c>
      <c r="BY69" s="60"/>
      <c r="BZ69" s="60">
        <v>5</v>
      </c>
      <c r="CA69" s="60"/>
      <c r="CB69" s="60">
        <v>7</v>
      </c>
      <c r="CC69" s="60"/>
      <c r="CD69" s="62">
        <v>1</v>
      </c>
      <c r="CE69" s="62"/>
      <c r="CF69" s="60">
        <v>7</v>
      </c>
      <c r="CG69" s="60"/>
      <c r="CH69" s="60">
        <f>1/9</f>
        <v>0.1111111111111111</v>
      </c>
      <c r="CI69" s="60"/>
      <c r="CJ69" s="60">
        <v>5</v>
      </c>
      <c r="CK69" s="75"/>
      <c r="CL69" s="74"/>
      <c r="CM69" s="69"/>
    </row>
    <row r="70" spans="2:91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5"/>
      <c r="L70" s="2"/>
      <c r="M70" s="2"/>
      <c r="N70" s="2"/>
      <c r="O70" s="2"/>
      <c r="P70" s="2"/>
      <c r="Q70" s="2"/>
      <c r="R70" s="2"/>
      <c r="S70" s="3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60"/>
      <c r="AW70" s="80" t="s">
        <v>81</v>
      </c>
      <c r="AX70" s="80"/>
      <c r="AY70" s="80"/>
      <c r="AZ70" s="2"/>
      <c r="BA70" s="2"/>
      <c r="BB70" s="3"/>
      <c r="BC70" s="2"/>
      <c r="BD70" s="2"/>
      <c r="BE70" s="2"/>
      <c r="BF70" s="5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81" t="s">
        <v>27</v>
      </c>
      <c r="BR70" s="82"/>
      <c r="BS70" s="83"/>
      <c r="BV70" s="60"/>
      <c r="BW70" s="60"/>
      <c r="BX70" s="60"/>
      <c r="BY70" s="60"/>
      <c r="BZ70" s="60"/>
      <c r="CA70" s="60"/>
      <c r="CB70" s="60"/>
      <c r="CC70" s="60"/>
      <c r="CD70" s="62"/>
      <c r="CE70" s="62"/>
      <c r="CF70" s="60"/>
      <c r="CG70" s="60"/>
      <c r="CH70" s="60"/>
      <c r="CI70" s="60"/>
      <c r="CJ70" s="60"/>
      <c r="CK70" s="75"/>
      <c r="CL70" s="74"/>
      <c r="CM70" s="69"/>
    </row>
    <row r="71" spans="2:91" x14ac:dyDescent="0.35">
      <c r="B71" s="80" t="s">
        <v>81</v>
      </c>
      <c r="C71" s="80"/>
      <c r="D71" s="80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1/7</f>
        <v>0.14285714285714285</v>
      </c>
      <c r="AF71" s="60"/>
      <c r="AG71" s="60">
        <f>1/5</f>
        <v>0.2</v>
      </c>
      <c r="AH71" s="60"/>
      <c r="AI71" s="60">
        <f>1/9</f>
        <v>0.1111111111111111</v>
      </c>
      <c r="AJ71" s="60"/>
      <c r="AK71" s="62">
        <v>1</v>
      </c>
      <c r="AL71" s="62"/>
      <c r="AM71" s="60">
        <f>1/5</f>
        <v>0.2</v>
      </c>
      <c r="AN71" s="60"/>
      <c r="AO71" s="60">
        <v>6</v>
      </c>
      <c r="AP71" s="60"/>
      <c r="AW71" s="80" t="s">
        <v>81</v>
      </c>
      <c r="AX71" s="80"/>
      <c r="AY71" s="80"/>
      <c r="AZ71" s="2"/>
      <c r="BA71" s="2"/>
      <c r="BB71" s="2"/>
      <c r="BC71" s="2"/>
      <c r="BD71" s="3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81" t="s">
        <v>28</v>
      </c>
      <c r="BR71" s="82"/>
      <c r="BS71" s="83"/>
      <c r="BV71" s="60" t="s">
        <v>88</v>
      </c>
      <c r="BW71" s="60"/>
      <c r="BX71" s="60">
        <f>1/5</f>
        <v>0.2</v>
      </c>
      <c r="BY71" s="60"/>
      <c r="BZ71" s="60">
        <f>1/9</f>
        <v>0.1111111111111111</v>
      </c>
      <c r="CA71" s="60"/>
      <c r="CB71" s="60">
        <f>1/9</f>
        <v>0.1111111111111111</v>
      </c>
      <c r="CC71" s="60"/>
      <c r="CD71" s="60">
        <f>1/7</f>
        <v>0.14285714285714285</v>
      </c>
      <c r="CE71" s="60"/>
      <c r="CF71" s="62">
        <v>1</v>
      </c>
      <c r="CG71" s="62"/>
      <c r="CH71" s="60">
        <f>1/7</f>
        <v>0.14285714285714285</v>
      </c>
      <c r="CI71" s="60"/>
      <c r="CJ71" s="60">
        <v>7</v>
      </c>
      <c r="CK71" s="75"/>
      <c r="CL71" s="74"/>
      <c r="CM71" s="69"/>
    </row>
    <row r="72" spans="2:91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2"/>
      <c r="U72" s="2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60"/>
      <c r="AW72" s="80" t="s">
        <v>81</v>
      </c>
      <c r="AX72" s="80"/>
      <c r="AY72" s="80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5"/>
      <c r="BO72" s="2"/>
      <c r="BP72" s="3"/>
      <c r="BQ72" s="81" t="s">
        <v>29</v>
      </c>
      <c r="BR72" s="82"/>
      <c r="BS72" s="83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2"/>
      <c r="CG72" s="62"/>
      <c r="CH72" s="60"/>
      <c r="CI72" s="60"/>
      <c r="CJ72" s="60"/>
      <c r="CK72" s="75"/>
      <c r="CL72" s="74"/>
      <c r="CM72" s="69"/>
    </row>
    <row r="73" spans="2:91" x14ac:dyDescent="0.35">
      <c r="B73" s="80" t="s">
        <v>81</v>
      </c>
      <c r="C73" s="80"/>
      <c r="D73" s="80"/>
      <c r="E73" s="2"/>
      <c r="F73" s="2"/>
      <c r="G73" s="2"/>
      <c r="H73" s="2"/>
      <c r="I73" s="3"/>
      <c r="J73" s="2"/>
      <c r="K73" s="2"/>
      <c r="L73" s="2"/>
      <c r="M73" s="2"/>
      <c r="N73" s="2"/>
      <c r="O73" s="5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v>5</v>
      </c>
      <c r="AD73" s="60"/>
      <c r="AE73" s="60">
        <v>5</v>
      </c>
      <c r="AF73" s="60"/>
      <c r="AG73" s="60">
        <v>5</v>
      </c>
      <c r="AH73" s="60"/>
      <c r="AI73" s="60">
        <v>5</v>
      </c>
      <c r="AJ73" s="60"/>
      <c r="AK73" s="60">
        <v>5</v>
      </c>
      <c r="AL73" s="60"/>
      <c r="AM73" s="62">
        <v>1</v>
      </c>
      <c r="AN73" s="62"/>
      <c r="AO73" s="60">
        <f>1/5</f>
        <v>0.2</v>
      </c>
      <c r="AP73" s="60"/>
      <c r="AW73" s="80" t="s">
        <v>81</v>
      </c>
      <c r="AX73" s="80"/>
      <c r="AY73" s="80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5"/>
      <c r="BK73" s="5"/>
      <c r="BL73" s="2"/>
      <c r="BM73" s="2"/>
      <c r="BN73" s="3"/>
      <c r="BO73" s="2"/>
      <c r="BP73" s="2"/>
      <c r="BQ73" s="81" t="s">
        <v>82</v>
      </c>
      <c r="BR73" s="82"/>
      <c r="BS73" s="83"/>
      <c r="BV73" s="60" t="s">
        <v>89</v>
      </c>
      <c r="BW73" s="60"/>
      <c r="BX73" s="60">
        <f>1/9</f>
        <v>0.1111111111111111</v>
      </c>
      <c r="BY73" s="60"/>
      <c r="BZ73" s="60">
        <f>1/7</f>
        <v>0.14285714285714285</v>
      </c>
      <c r="CA73" s="60"/>
      <c r="CB73" s="60">
        <f>1/5</f>
        <v>0.2</v>
      </c>
      <c r="CC73" s="60"/>
      <c r="CD73" s="60">
        <v>9</v>
      </c>
      <c r="CE73" s="60"/>
      <c r="CF73" s="60">
        <v>7</v>
      </c>
      <c r="CG73" s="60"/>
      <c r="CH73" s="62">
        <v>1</v>
      </c>
      <c r="CI73" s="62"/>
      <c r="CJ73" s="60">
        <v>5</v>
      </c>
      <c r="CK73" s="75"/>
      <c r="CL73" s="74"/>
      <c r="CM73" s="69"/>
    </row>
    <row r="74" spans="2:91" x14ac:dyDescent="0.35">
      <c r="B74" s="80" t="s">
        <v>81</v>
      </c>
      <c r="C74" s="80"/>
      <c r="D74" s="80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60"/>
      <c r="AW74" s="80" t="s">
        <v>81</v>
      </c>
      <c r="AX74" s="80"/>
      <c r="AY74" s="80"/>
      <c r="AZ74" s="3"/>
      <c r="BA74" s="2"/>
      <c r="BB74" s="2"/>
      <c r="BC74" s="2"/>
      <c r="BD74" s="2"/>
      <c r="BE74" s="2"/>
      <c r="BF74" s="5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81" t="s">
        <v>30</v>
      </c>
      <c r="BR74" s="82"/>
      <c r="BS74" s="83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2"/>
      <c r="CI74" s="62"/>
      <c r="CJ74" s="60"/>
      <c r="CK74" s="75"/>
      <c r="CL74" s="74"/>
      <c r="CM74" s="69"/>
    </row>
    <row r="75" spans="2:91" x14ac:dyDescent="0.35">
      <c r="AA75" s="60" t="s">
        <v>91</v>
      </c>
      <c r="AB75" s="60"/>
      <c r="AC75" s="60">
        <v>5</v>
      </c>
      <c r="AD75" s="60"/>
      <c r="AE75" s="60">
        <v>3</v>
      </c>
      <c r="AF75" s="60"/>
      <c r="AG75" s="60">
        <f>1/7</f>
        <v>0.14285714285714285</v>
      </c>
      <c r="AH75" s="60"/>
      <c r="AI75" s="60">
        <f>1/3</f>
        <v>0.33333333333333331</v>
      </c>
      <c r="AJ75" s="60"/>
      <c r="AK75" s="60">
        <f>1/6</f>
        <v>0.16666666666666666</v>
      </c>
      <c r="AL75" s="60"/>
      <c r="AM75" s="60">
        <v>5</v>
      </c>
      <c r="AN75" s="60"/>
      <c r="AO75" s="62">
        <v>1</v>
      </c>
      <c r="AP75" s="62"/>
      <c r="BV75" s="60" t="s">
        <v>91</v>
      </c>
      <c r="BW75" s="60"/>
      <c r="BX75" s="60">
        <f>1/7</f>
        <v>0.14285714285714285</v>
      </c>
      <c r="BY75" s="60"/>
      <c r="BZ75" s="60">
        <v>9</v>
      </c>
      <c r="CA75" s="60"/>
      <c r="CB75" s="60">
        <v>7</v>
      </c>
      <c r="CC75" s="60"/>
      <c r="CD75" s="60">
        <f>1/5</f>
        <v>0.2</v>
      </c>
      <c r="CE75" s="60"/>
      <c r="CF75" s="60">
        <f>1/7</f>
        <v>0.14285714285714285</v>
      </c>
      <c r="CG75" s="60"/>
      <c r="CH75" s="60">
        <f>1/5</f>
        <v>0.2</v>
      </c>
      <c r="CI75" s="60"/>
      <c r="CJ75" s="62">
        <v>1</v>
      </c>
      <c r="CK75" s="76"/>
      <c r="CL75" s="74"/>
      <c r="CM75" s="69"/>
    </row>
    <row r="76" spans="2:91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2"/>
      <c r="AP76" s="62"/>
      <c r="AW76" s="79" t="s">
        <v>2</v>
      </c>
      <c r="AX76" s="79"/>
      <c r="AY76" s="79"/>
      <c r="AZ76" s="2">
        <v>9</v>
      </c>
      <c r="BA76" s="2">
        <v>8</v>
      </c>
      <c r="BB76" s="2">
        <v>7</v>
      </c>
      <c r="BC76" s="2">
        <v>6</v>
      </c>
      <c r="BD76" s="2">
        <v>5</v>
      </c>
      <c r="BE76" s="2">
        <v>4</v>
      </c>
      <c r="BF76" s="2">
        <v>3</v>
      </c>
      <c r="BG76" s="2">
        <v>2</v>
      </c>
      <c r="BH76" s="2">
        <v>1</v>
      </c>
      <c r="BI76" s="2">
        <v>2</v>
      </c>
      <c r="BJ76" s="2">
        <v>3</v>
      </c>
      <c r="BK76" s="2">
        <v>4</v>
      </c>
      <c r="BL76" s="2">
        <v>5</v>
      </c>
      <c r="BM76" s="2">
        <v>6</v>
      </c>
      <c r="BN76" s="2">
        <v>7</v>
      </c>
      <c r="BO76" s="2">
        <v>8</v>
      </c>
      <c r="BP76" s="2">
        <v>9</v>
      </c>
      <c r="BQ76" s="79" t="s">
        <v>3</v>
      </c>
      <c r="BR76" s="79"/>
      <c r="BS76" s="79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77"/>
      <c r="CK76" s="70"/>
      <c r="CL76" s="74"/>
      <c r="CM76" s="69"/>
    </row>
    <row r="77" spans="2:91" x14ac:dyDescent="0.35">
      <c r="B77" s="81" t="s">
        <v>27</v>
      </c>
      <c r="C77" s="82"/>
      <c r="D77" s="8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W77" s="81" t="s">
        <v>27</v>
      </c>
      <c r="AX77" s="82"/>
      <c r="AY77" s="83"/>
      <c r="AZ77" s="5"/>
      <c r="BA77" s="2"/>
      <c r="BB77" s="3"/>
      <c r="BC77" s="2"/>
      <c r="BD77" s="5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5"/>
      <c r="BQ77" s="81" t="s">
        <v>28</v>
      </c>
      <c r="BR77" s="82"/>
      <c r="BS77" s="83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9"/>
      <c r="CM77" s="69"/>
    </row>
    <row r="78" spans="2:91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5"/>
      <c r="P78" s="2"/>
      <c r="Q78" s="3"/>
      <c r="R78" s="2"/>
      <c r="S78" s="2"/>
      <c r="T78" s="2"/>
      <c r="U78" s="5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W78" s="81" t="s">
        <v>27</v>
      </c>
      <c r="AX78" s="82"/>
      <c r="AY78" s="83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5"/>
      <c r="BK78" s="2"/>
      <c r="BL78" s="5"/>
      <c r="BM78" s="2"/>
      <c r="BN78" s="2"/>
      <c r="BO78" s="2"/>
      <c r="BP78" s="3"/>
      <c r="BQ78" s="81" t="s">
        <v>29</v>
      </c>
      <c r="BR78" s="82"/>
      <c r="BS78" s="83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</row>
    <row r="79" spans="2:91" x14ac:dyDescent="0.35">
      <c r="B79" s="81" t="s">
        <v>27</v>
      </c>
      <c r="C79" s="82"/>
      <c r="D79" s="83"/>
      <c r="E79" s="2"/>
      <c r="F79" s="2"/>
      <c r="G79" s="2"/>
      <c r="H79" s="2"/>
      <c r="I79" s="3"/>
      <c r="J79" s="2"/>
      <c r="K79" s="2"/>
      <c r="L79" s="2"/>
      <c r="M79" s="2"/>
      <c r="N79" s="2"/>
      <c r="O79" s="5"/>
      <c r="P79" s="2"/>
      <c r="Q79" s="2"/>
      <c r="R79" s="2"/>
      <c r="S79" s="2"/>
      <c r="T79" s="2"/>
      <c r="U79" s="2"/>
      <c r="V79" s="81" t="s">
        <v>82</v>
      </c>
      <c r="W79" s="82"/>
      <c r="X79" s="83"/>
      <c r="AW79" s="81" t="s">
        <v>27</v>
      </c>
      <c r="AX79" s="82"/>
      <c r="AY79" s="83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5"/>
      <c r="BK79" s="2"/>
      <c r="BL79" s="3"/>
      <c r="BM79" s="2"/>
      <c r="BN79" s="2"/>
      <c r="BO79" s="2"/>
      <c r="BP79" s="5"/>
      <c r="BQ79" s="81" t="s">
        <v>82</v>
      </c>
      <c r="BR79" s="82"/>
      <c r="BS79" s="83"/>
    </row>
    <row r="80" spans="2:91" x14ac:dyDescent="0.35">
      <c r="B80" s="81" t="s">
        <v>27</v>
      </c>
      <c r="C80" s="82"/>
      <c r="D80" s="83"/>
      <c r="E80" s="2"/>
      <c r="F80" s="2"/>
      <c r="G80" s="2"/>
      <c r="H80" s="2"/>
      <c r="I80" s="5"/>
      <c r="J80" s="2"/>
      <c r="K80" s="2"/>
      <c r="L80" s="2"/>
      <c r="M80" s="2"/>
      <c r="N80" s="2"/>
      <c r="O80" s="2"/>
      <c r="P80" s="2"/>
      <c r="Q80" s="2"/>
      <c r="R80" s="2"/>
      <c r="S80" s="3"/>
      <c r="T80" s="2"/>
      <c r="U80" s="2"/>
      <c r="V80" s="81" t="s">
        <v>30</v>
      </c>
      <c r="W80" s="82"/>
      <c r="X80" s="83"/>
      <c r="AW80" s="81" t="s">
        <v>27</v>
      </c>
      <c r="AX80" s="82"/>
      <c r="AY80" s="83"/>
      <c r="AZ80" s="2"/>
      <c r="BA80" s="2"/>
      <c r="BB80" s="3"/>
      <c r="BC80" s="2"/>
      <c r="BD80" s="5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81" t="s">
        <v>30</v>
      </c>
      <c r="BR80" s="82"/>
      <c r="BS80" s="83"/>
    </row>
    <row r="82" spans="2:71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  <c r="AW82" s="79" t="s">
        <v>2</v>
      </c>
      <c r="AX82" s="79"/>
      <c r="AY82" s="79"/>
      <c r="AZ82" s="2">
        <v>9</v>
      </c>
      <c r="BA82" s="2">
        <v>8</v>
      </c>
      <c r="BB82" s="2">
        <v>7</v>
      </c>
      <c r="BC82" s="2">
        <v>6</v>
      </c>
      <c r="BD82" s="2">
        <v>5</v>
      </c>
      <c r="BE82" s="2">
        <v>4</v>
      </c>
      <c r="BF82" s="2">
        <v>3</v>
      </c>
      <c r="BG82" s="2">
        <v>2</v>
      </c>
      <c r="BH82" s="2">
        <v>1</v>
      </c>
      <c r="BI82" s="2">
        <v>2</v>
      </c>
      <c r="BJ82" s="2">
        <v>3</v>
      </c>
      <c r="BK82" s="2">
        <v>4</v>
      </c>
      <c r="BL82" s="2">
        <v>5</v>
      </c>
      <c r="BM82" s="2">
        <v>6</v>
      </c>
      <c r="BN82" s="2">
        <v>7</v>
      </c>
      <c r="BO82" s="2">
        <v>8</v>
      </c>
      <c r="BP82" s="2">
        <v>9</v>
      </c>
      <c r="BQ82" s="79" t="s">
        <v>3</v>
      </c>
      <c r="BR82" s="79"/>
      <c r="BS82" s="79"/>
    </row>
    <row r="83" spans="2:71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2"/>
      <c r="Q83" s="2"/>
      <c r="R83" s="2"/>
      <c r="S83" s="2"/>
      <c r="T83" s="2"/>
      <c r="U83" s="3"/>
      <c r="V83" s="81" t="s">
        <v>29</v>
      </c>
      <c r="W83" s="82"/>
      <c r="X83" s="83"/>
      <c r="AW83" s="81" t="s">
        <v>28</v>
      </c>
      <c r="AX83" s="82"/>
      <c r="AY83" s="83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5"/>
      <c r="BK83" s="2"/>
      <c r="BL83" s="2"/>
      <c r="BM83" s="2"/>
      <c r="BN83" s="3"/>
      <c r="BO83" s="2"/>
      <c r="BP83" s="2"/>
      <c r="BQ83" s="81" t="s">
        <v>29</v>
      </c>
      <c r="BR83" s="82"/>
      <c r="BS83" s="83"/>
    </row>
    <row r="84" spans="2:71" x14ac:dyDescent="0.35">
      <c r="B84" s="81" t="s">
        <v>28</v>
      </c>
      <c r="C84" s="82"/>
      <c r="D84" s="83"/>
      <c r="E84" s="2"/>
      <c r="F84" s="2"/>
      <c r="G84" s="2"/>
      <c r="H84" s="2"/>
      <c r="I84" s="3"/>
      <c r="J84" s="2"/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  <c r="V84" s="81" t="s">
        <v>82</v>
      </c>
      <c r="W84" s="82"/>
      <c r="X84" s="83"/>
      <c r="AW84" s="81" t="s">
        <v>28</v>
      </c>
      <c r="AX84" s="82"/>
      <c r="AY84" s="83"/>
      <c r="AZ84" s="3"/>
      <c r="BA84" s="2"/>
      <c r="BB84" s="2"/>
      <c r="BC84" s="2"/>
      <c r="BD84" s="2"/>
      <c r="BE84" s="2"/>
      <c r="BF84" s="5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81" t="s">
        <v>82</v>
      </c>
      <c r="BR84" s="82"/>
      <c r="BS84" s="83"/>
    </row>
    <row r="85" spans="2:71" x14ac:dyDescent="0.35">
      <c r="B85" s="81" t="s">
        <v>28</v>
      </c>
      <c r="C85" s="82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81" t="s">
        <v>30</v>
      </c>
      <c r="W85" s="82"/>
      <c r="X85" s="83"/>
      <c r="AW85" s="81" t="s">
        <v>28</v>
      </c>
      <c r="AX85" s="82"/>
      <c r="AY85" s="83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5"/>
      <c r="BK85" s="2"/>
      <c r="BL85" s="3"/>
      <c r="BM85" s="2"/>
      <c r="BN85" s="2"/>
      <c r="BO85" s="2"/>
      <c r="BP85" s="2"/>
      <c r="BQ85" s="81" t="s">
        <v>30</v>
      </c>
      <c r="BR85" s="82"/>
      <c r="BS85" s="83"/>
    </row>
    <row r="87" spans="2:71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  <c r="AW87" s="79" t="s">
        <v>2</v>
      </c>
      <c r="AX87" s="79"/>
      <c r="AY87" s="79"/>
      <c r="AZ87" s="2">
        <v>9</v>
      </c>
      <c r="BA87" s="2">
        <v>8</v>
      </c>
      <c r="BB87" s="2">
        <v>7</v>
      </c>
      <c r="BC87" s="2">
        <v>6</v>
      </c>
      <c r="BD87" s="2">
        <v>5</v>
      </c>
      <c r="BE87" s="2">
        <v>4</v>
      </c>
      <c r="BF87" s="2">
        <v>3</v>
      </c>
      <c r="BG87" s="2">
        <v>2</v>
      </c>
      <c r="BH87" s="2">
        <v>1</v>
      </c>
      <c r="BI87" s="2">
        <v>2</v>
      </c>
      <c r="BJ87" s="2">
        <v>3</v>
      </c>
      <c r="BK87" s="2">
        <v>4</v>
      </c>
      <c r="BL87" s="2">
        <v>5</v>
      </c>
      <c r="BM87" s="2">
        <v>6</v>
      </c>
      <c r="BN87" s="2">
        <v>7</v>
      </c>
      <c r="BO87" s="2">
        <v>8</v>
      </c>
      <c r="BP87" s="2">
        <v>9</v>
      </c>
      <c r="BQ87" s="79" t="s">
        <v>3</v>
      </c>
      <c r="BR87" s="79"/>
      <c r="BS87" s="79"/>
    </row>
    <row r="88" spans="2:71" x14ac:dyDescent="0.35">
      <c r="B88" s="81" t="s">
        <v>29</v>
      </c>
      <c r="C88" s="82"/>
      <c r="D88" s="83"/>
      <c r="E88" s="2"/>
      <c r="F88" s="2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1" t="s">
        <v>82</v>
      </c>
      <c r="W88" s="82"/>
      <c r="X88" s="83"/>
      <c r="AW88" s="81" t="s">
        <v>29</v>
      </c>
      <c r="AX88" s="82"/>
      <c r="AY88" s="83"/>
      <c r="AZ88" s="2"/>
      <c r="BA88" s="2"/>
      <c r="BB88" s="3"/>
      <c r="BC88" s="2"/>
      <c r="BD88" s="5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81" t="s">
        <v>82</v>
      </c>
      <c r="BR88" s="82"/>
      <c r="BS88" s="83"/>
    </row>
    <row r="89" spans="2:71" x14ac:dyDescent="0.35">
      <c r="B89" s="81" t="s">
        <v>29</v>
      </c>
      <c r="C89" s="82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5"/>
      <c r="P89" s="2"/>
      <c r="Q89" s="2"/>
      <c r="R89" s="3"/>
      <c r="S89" s="2"/>
      <c r="T89" s="2"/>
      <c r="U89" s="2"/>
      <c r="V89" s="81" t="s">
        <v>30</v>
      </c>
      <c r="W89" s="82"/>
      <c r="X89" s="83"/>
      <c r="AW89" s="81" t="s">
        <v>29</v>
      </c>
      <c r="AX89" s="82"/>
      <c r="AY89" s="83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5"/>
      <c r="BK89" s="2"/>
      <c r="BL89" s="2"/>
      <c r="BM89" s="2"/>
      <c r="BN89" s="3"/>
      <c r="BO89" s="2"/>
      <c r="BP89" s="2"/>
      <c r="BQ89" s="81" t="s">
        <v>30</v>
      </c>
      <c r="BR89" s="82"/>
      <c r="BS89" s="83"/>
    </row>
    <row r="91" spans="2:71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  <c r="AW91" s="79" t="s">
        <v>2</v>
      </c>
      <c r="AX91" s="79"/>
      <c r="AY91" s="79"/>
      <c r="AZ91" s="2">
        <v>9</v>
      </c>
      <c r="BA91" s="2">
        <v>8</v>
      </c>
      <c r="BB91" s="2">
        <v>7</v>
      </c>
      <c r="BC91" s="2">
        <v>6</v>
      </c>
      <c r="BD91" s="2">
        <v>5</v>
      </c>
      <c r="BE91" s="2">
        <v>4</v>
      </c>
      <c r="BF91" s="2">
        <v>3</v>
      </c>
      <c r="BG91" s="2">
        <v>2</v>
      </c>
      <c r="BH91" s="2">
        <v>1</v>
      </c>
      <c r="BI91" s="2">
        <v>2</v>
      </c>
      <c r="BJ91" s="2">
        <v>3</v>
      </c>
      <c r="BK91" s="2">
        <v>4</v>
      </c>
      <c r="BL91" s="2">
        <v>5</v>
      </c>
      <c r="BM91" s="2">
        <v>6</v>
      </c>
      <c r="BN91" s="2">
        <v>7</v>
      </c>
      <c r="BO91" s="2">
        <v>8</v>
      </c>
      <c r="BP91" s="2">
        <v>9</v>
      </c>
      <c r="BQ91" s="79" t="s">
        <v>3</v>
      </c>
      <c r="BR91" s="79"/>
      <c r="BS91" s="79"/>
    </row>
    <row r="92" spans="2:71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81" t="s">
        <v>30</v>
      </c>
      <c r="W92" s="82"/>
      <c r="X92" s="83"/>
      <c r="AW92" s="81" t="s">
        <v>82</v>
      </c>
      <c r="AX92" s="82"/>
      <c r="AY92" s="83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3"/>
      <c r="BM92" s="2"/>
      <c r="BN92" s="2"/>
      <c r="BO92" s="2"/>
      <c r="BP92" s="2"/>
      <c r="BQ92" s="81" t="s">
        <v>30</v>
      </c>
      <c r="BR92" s="82"/>
      <c r="BS92" s="83"/>
    </row>
    <row r="95" spans="2:71" x14ac:dyDescent="0.35">
      <c r="B95" s="84" t="s">
        <v>12</v>
      </c>
      <c r="C95" s="84"/>
      <c r="D95" s="84"/>
      <c r="AW95" s="84" t="s">
        <v>12</v>
      </c>
      <c r="AX95" s="84"/>
      <c r="AY95" s="84"/>
    </row>
    <row r="96" spans="2:71" x14ac:dyDescent="0.35">
      <c r="B96" s="7"/>
      <c r="C96" s="7"/>
      <c r="D96" s="7"/>
      <c r="AW96" s="7"/>
      <c r="AX96" s="7"/>
      <c r="AY96" s="7"/>
    </row>
    <row r="97" spans="2:91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  <c r="AW97" s="79" t="s">
        <v>2</v>
      </c>
      <c r="AX97" s="79"/>
      <c r="AY97" s="79"/>
      <c r="AZ97" s="2">
        <v>9</v>
      </c>
      <c r="BA97" s="2">
        <v>8</v>
      </c>
      <c r="BB97" s="2">
        <v>7</v>
      </c>
      <c r="BC97" s="2">
        <v>6</v>
      </c>
      <c r="BD97" s="2">
        <v>5</v>
      </c>
      <c r="BE97" s="2">
        <v>4</v>
      </c>
      <c r="BF97" s="2">
        <v>3</v>
      </c>
      <c r="BG97" s="2">
        <v>2</v>
      </c>
      <c r="BH97" s="2">
        <v>1</v>
      </c>
      <c r="BI97" s="2">
        <v>2</v>
      </c>
      <c r="BJ97" s="2">
        <v>3</v>
      </c>
      <c r="BK97" s="2">
        <v>4</v>
      </c>
      <c r="BL97" s="2">
        <v>5</v>
      </c>
      <c r="BM97" s="2">
        <v>6</v>
      </c>
      <c r="BN97" s="2">
        <v>7</v>
      </c>
      <c r="BO97" s="2">
        <v>8</v>
      </c>
      <c r="BP97" s="2">
        <v>9</v>
      </c>
      <c r="BQ97" s="79" t="s">
        <v>3</v>
      </c>
      <c r="BR97" s="79"/>
      <c r="BS97" s="79"/>
      <c r="BV97" s="60"/>
      <c r="BW97" s="60"/>
      <c r="BX97" s="60" t="s">
        <v>13</v>
      </c>
      <c r="BY97" s="60"/>
      <c r="BZ97" s="60" t="s">
        <v>14</v>
      </c>
      <c r="CA97" s="60"/>
      <c r="CB97" s="60" t="s">
        <v>15</v>
      </c>
      <c r="CC97" s="60"/>
    </row>
    <row r="98" spans="2:91" x14ac:dyDescent="0.35">
      <c r="B98" s="80" t="s">
        <v>13</v>
      </c>
      <c r="C98" s="80"/>
      <c r="D98" s="80"/>
      <c r="E98" s="2"/>
      <c r="F98" s="2"/>
      <c r="G98" s="5"/>
      <c r="H98" s="2"/>
      <c r="I98" s="5"/>
      <c r="J98" s="2"/>
      <c r="K98" s="2"/>
      <c r="L98" s="2"/>
      <c r="M98" s="2"/>
      <c r="N98" s="2"/>
      <c r="O98" s="2"/>
      <c r="P98" s="2"/>
      <c r="Q98" s="2"/>
      <c r="R98" s="2"/>
      <c r="S98" s="3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  <c r="AW98" s="80" t="s">
        <v>13</v>
      </c>
      <c r="AX98" s="80"/>
      <c r="AY98" s="80"/>
      <c r="AZ98" s="2"/>
      <c r="BA98" s="2"/>
      <c r="BB98" s="5"/>
      <c r="BC98" s="2"/>
      <c r="BD98" s="5"/>
      <c r="BE98" s="2"/>
      <c r="BF98" s="2"/>
      <c r="BG98" s="2"/>
      <c r="BH98" s="2"/>
      <c r="BI98" s="2"/>
      <c r="BJ98" s="2"/>
      <c r="BK98" s="2"/>
      <c r="BL98" s="2"/>
      <c r="BM98" s="2"/>
      <c r="BN98" s="3"/>
      <c r="BO98" s="2"/>
      <c r="BP98" s="2"/>
      <c r="BQ98" s="80" t="s">
        <v>14</v>
      </c>
      <c r="BR98" s="80"/>
      <c r="BS98" s="80"/>
      <c r="BV98" s="60"/>
      <c r="BW98" s="60"/>
      <c r="BX98" s="60"/>
      <c r="BY98" s="60"/>
      <c r="BZ98" s="60"/>
      <c r="CA98" s="60"/>
      <c r="CB98" s="60"/>
      <c r="CC98" s="60"/>
    </row>
    <row r="99" spans="2:91" x14ac:dyDescent="0.35">
      <c r="B99" s="80" t="s">
        <v>13</v>
      </c>
      <c r="C99" s="80"/>
      <c r="D99" s="80"/>
      <c r="E99" s="2"/>
      <c r="F99" s="2"/>
      <c r="G99" s="2"/>
      <c r="H99" s="2"/>
      <c r="I99" s="3"/>
      <c r="J99" s="2"/>
      <c r="K99" s="5"/>
      <c r="L99" s="2"/>
      <c r="M99" s="2"/>
      <c r="N99" s="2"/>
      <c r="O99" s="2"/>
      <c r="P99" s="2"/>
      <c r="Q99" s="2"/>
      <c r="R99" s="2"/>
      <c r="S99" s="2"/>
      <c r="T99" s="2"/>
      <c r="U99" s="2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v>7</v>
      </c>
      <c r="AF99" s="60"/>
      <c r="AG99" s="63">
        <f>1/5</f>
        <v>0.2</v>
      </c>
      <c r="AH99" s="64"/>
      <c r="AW99" s="80" t="s">
        <v>13</v>
      </c>
      <c r="AX99" s="80"/>
      <c r="AY99" s="80"/>
      <c r="AZ99" s="2"/>
      <c r="BA99" s="2"/>
      <c r="BB99" s="2"/>
      <c r="BC99" s="2"/>
      <c r="BD99" s="3"/>
      <c r="BE99" s="2"/>
      <c r="BF99" s="5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80" t="s">
        <v>15</v>
      </c>
      <c r="BR99" s="80"/>
      <c r="BS99" s="80"/>
      <c r="BV99" s="60" t="s">
        <v>13</v>
      </c>
      <c r="BW99" s="60"/>
      <c r="BX99" s="62">
        <v>1</v>
      </c>
      <c r="BY99" s="62"/>
      <c r="BZ99" s="60">
        <v>7</v>
      </c>
      <c r="CA99" s="60"/>
      <c r="CB99" s="63">
        <f>1/5</f>
        <v>0.2</v>
      </c>
      <c r="CC99" s="64"/>
    </row>
    <row r="100" spans="2:91" x14ac:dyDescent="0.35">
      <c r="AA100" s="60"/>
      <c r="AB100" s="60"/>
      <c r="AC100" s="62"/>
      <c r="AD100" s="62"/>
      <c r="AE100" s="60"/>
      <c r="AF100" s="60"/>
      <c r="AG100" s="65"/>
      <c r="AH100" s="66"/>
      <c r="BV100" s="60"/>
      <c r="BW100" s="60"/>
      <c r="BX100" s="62"/>
      <c r="BY100" s="62"/>
      <c r="BZ100" s="60"/>
      <c r="CA100" s="60"/>
      <c r="CB100" s="65"/>
      <c r="CC100" s="66"/>
    </row>
    <row r="101" spans="2:91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f>1/7</f>
        <v>0.14285714285714285</v>
      </c>
      <c r="AD101" s="60"/>
      <c r="AE101" s="62">
        <v>1</v>
      </c>
      <c r="AF101" s="62"/>
      <c r="AG101" s="60">
        <v>5</v>
      </c>
      <c r="AH101" s="60"/>
      <c r="AW101" s="79" t="s">
        <v>2</v>
      </c>
      <c r="AX101" s="79"/>
      <c r="AY101" s="79"/>
      <c r="AZ101" s="2">
        <v>9</v>
      </c>
      <c r="BA101" s="2">
        <v>8</v>
      </c>
      <c r="BB101" s="2">
        <v>7</v>
      </c>
      <c r="BC101" s="2">
        <v>6</v>
      </c>
      <c r="BD101" s="2">
        <v>5</v>
      </c>
      <c r="BE101" s="2">
        <v>4</v>
      </c>
      <c r="BF101" s="2">
        <v>3</v>
      </c>
      <c r="BG101" s="2">
        <v>2</v>
      </c>
      <c r="BH101" s="2">
        <v>1</v>
      </c>
      <c r="BI101" s="2">
        <v>2</v>
      </c>
      <c r="BJ101" s="2">
        <v>3</v>
      </c>
      <c r="BK101" s="2">
        <v>4</v>
      </c>
      <c r="BL101" s="2">
        <v>5</v>
      </c>
      <c r="BM101" s="2">
        <v>6</v>
      </c>
      <c r="BN101" s="2">
        <v>7</v>
      </c>
      <c r="BO101" s="2">
        <v>8</v>
      </c>
      <c r="BP101" s="2">
        <v>9</v>
      </c>
      <c r="BQ101" s="79" t="s">
        <v>3</v>
      </c>
      <c r="BR101" s="79"/>
      <c r="BS101" s="79"/>
      <c r="BV101" s="60" t="s">
        <v>14</v>
      </c>
      <c r="BW101" s="60"/>
      <c r="BX101" s="60">
        <f>1/7</f>
        <v>0.14285714285714285</v>
      </c>
      <c r="BY101" s="60"/>
      <c r="BZ101" s="62">
        <v>1</v>
      </c>
      <c r="CA101" s="62"/>
      <c r="CB101" s="60">
        <v>6</v>
      </c>
      <c r="CC101" s="60"/>
    </row>
    <row r="102" spans="2:91" x14ac:dyDescent="0.35">
      <c r="B102" s="80" t="s">
        <v>14</v>
      </c>
      <c r="C102" s="80"/>
      <c r="D102" s="80"/>
      <c r="E102" s="2"/>
      <c r="F102" s="2"/>
      <c r="G102" s="2"/>
      <c r="H102" s="2"/>
      <c r="I102" s="2"/>
      <c r="J102" s="2"/>
      <c r="K102" s="5"/>
      <c r="L102" s="2"/>
      <c r="M102" s="2"/>
      <c r="N102" s="2"/>
      <c r="O102" s="2"/>
      <c r="P102" s="2"/>
      <c r="Q102" s="3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  <c r="AW102" s="80" t="s">
        <v>14</v>
      </c>
      <c r="AX102" s="80"/>
      <c r="AY102" s="80"/>
      <c r="AZ102" s="2"/>
      <c r="BA102" s="2"/>
      <c r="BB102" s="2"/>
      <c r="BC102" s="2"/>
      <c r="BD102" s="2"/>
      <c r="BE102" s="2"/>
      <c r="BF102" s="5"/>
      <c r="BG102" s="2"/>
      <c r="BH102" s="2"/>
      <c r="BI102" s="2"/>
      <c r="BJ102" s="2"/>
      <c r="BK102" s="2"/>
      <c r="BL102" s="2"/>
      <c r="BM102" s="3"/>
      <c r="BN102" s="2"/>
      <c r="BO102" s="2"/>
      <c r="BP102" s="2"/>
      <c r="BQ102" s="80" t="s">
        <v>15</v>
      </c>
      <c r="BR102" s="80"/>
      <c r="BS102" s="80"/>
      <c r="BV102" s="60"/>
      <c r="BW102" s="60"/>
      <c r="BX102" s="60"/>
      <c r="BY102" s="60"/>
      <c r="BZ102" s="62"/>
      <c r="CA102" s="62"/>
      <c r="CB102" s="60"/>
      <c r="CC102" s="60"/>
    </row>
    <row r="103" spans="2:91" x14ac:dyDescent="0.35">
      <c r="AA103" s="60" t="s">
        <v>15</v>
      </c>
      <c r="AB103" s="60"/>
      <c r="AC103" s="60">
        <v>5</v>
      </c>
      <c r="AD103" s="60"/>
      <c r="AE103" s="60">
        <f>1/5</f>
        <v>0.2</v>
      </c>
      <c r="AF103" s="60"/>
      <c r="AG103" s="62">
        <v>1</v>
      </c>
      <c r="AH103" s="62"/>
      <c r="BV103" s="60" t="s">
        <v>15</v>
      </c>
      <c r="BW103" s="60"/>
      <c r="BX103" s="60">
        <v>5</v>
      </c>
      <c r="BY103" s="60"/>
      <c r="BZ103" s="60">
        <f>1/6</f>
        <v>0.16666666666666666</v>
      </c>
      <c r="CA103" s="60"/>
      <c r="CB103" s="62">
        <v>1</v>
      </c>
      <c r="CC103" s="62"/>
    </row>
    <row r="104" spans="2:91" x14ac:dyDescent="0.35">
      <c r="AA104" s="60"/>
      <c r="AB104" s="60"/>
      <c r="AC104" s="60"/>
      <c r="AD104" s="60"/>
      <c r="AE104" s="60"/>
      <c r="AF104" s="60"/>
      <c r="AG104" s="62"/>
      <c r="AH104" s="62"/>
      <c r="BV104" s="60"/>
      <c r="BW104" s="60"/>
      <c r="BX104" s="60"/>
      <c r="BY104" s="60"/>
      <c r="BZ104" s="60"/>
      <c r="CA104" s="60"/>
      <c r="CB104" s="62"/>
      <c r="CC104" s="62"/>
    </row>
    <row r="105" spans="2:91" x14ac:dyDescent="0.35">
      <c r="B105" s="8" t="s">
        <v>16</v>
      </c>
      <c r="AW105" s="8" t="s">
        <v>16</v>
      </c>
    </row>
    <row r="107" spans="2:91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  <c r="AW107" s="79" t="s">
        <v>2</v>
      </c>
      <c r="AX107" s="79"/>
      <c r="AY107" s="79"/>
      <c r="AZ107" s="2">
        <v>9</v>
      </c>
      <c r="BA107" s="2">
        <v>8</v>
      </c>
      <c r="BB107" s="2">
        <v>7</v>
      </c>
      <c r="BC107" s="2">
        <v>6</v>
      </c>
      <c r="BD107" s="2">
        <v>5</v>
      </c>
      <c r="BE107" s="2">
        <v>4</v>
      </c>
      <c r="BF107" s="2">
        <v>3</v>
      </c>
      <c r="BG107" s="2">
        <v>2</v>
      </c>
      <c r="BH107" s="2">
        <v>1</v>
      </c>
      <c r="BI107" s="2">
        <v>2</v>
      </c>
      <c r="BJ107" s="2">
        <v>3</v>
      </c>
      <c r="BK107" s="2">
        <v>4</v>
      </c>
      <c r="BL107" s="2">
        <v>5</v>
      </c>
      <c r="BM107" s="2">
        <v>6</v>
      </c>
      <c r="BN107" s="2">
        <v>7</v>
      </c>
      <c r="BO107" s="2">
        <v>8</v>
      </c>
      <c r="BP107" s="2">
        <v>9</v>
      </c>
      <c r="BQ107" s="79" t="s">
        <v>3</v>
      </c>
      <c r="BR107" s="79"/>
      <c r="BS107" s="79"/>
      <c r="BV107" s="60"/>
      <c r="BW107" s="60"/>
      <c r="BX107" s="60" t="s">
        <v>17</v>
      </c>
      <c r="BY107" s="60"/>
      <c r="BZ107" s="60" t="s">
        <v>18</v>
      </c>
      <c r="CA107" s="60"/>
      <c r="CB107" s="60" t="s">
        <v>19</v>
      </c>
      <c r="CC107" s="60"/>
      <c r="CD107" s="60" t="s">
        <v>31</v>
      </c>
      <c r="CE107" s="60"/>
      <c r="CF107" s="60" t="s">
        <v>20</v>
      </c>
      <c r="CG107" s="60"/>
      <c r="CH107" s="60" t="s">
        <v>21</v>
      </c>
      <c r="CI107" s="60"/>
      <c r="CJ107" s="60" t="s">
        <v>22</v>
      </c>
      <c r="CK107" s="60"/>
      <c r="CL107" s="60" t="s">
        <v>83</v>
      </c>
      <c r="CM107" s="60"/>
    </row>
    <row r="108" spans="2:91" x14ac:dyDescent="0.35">
      <c r="B108" s="80" t="s">
        <v>17</v>
      </c>
      <c r="C108" s="80"/>
      <c r="D108" s="8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W108" s="80" t="s">
        <v>17</v>
      </c>
      <c r="AX108" s="80"/>
      <c r="AY108" s="80"/>
      <c r="AZ108" s="2"/>
      <c r="BA108" s="2"/>
      <c r="BB108" s="3"/>
      <c r="BC108" s="2"/>
      <c r="BD108" s="2"/>
      <c r="BE108" s="2"/>
      <c r="BF108" s="2"/>
      <c r="BG108" s="2"/>
      <c r="BH108" s="2"/>
      <c r="BI108" s="2"/>
      <c r="BJ108" s="2"/>
      <c r="BK108" s="2"/>
      <c r="BL108" s="5"/>
      <c r="BM108" s="2"/>
      <c r="BN108" s="2"/>
      <c r="BO108" s="2"/>
      <c r="BP108" s="2"/>
      <c r="BQ108" s="80" t="s">
        <v>18</v>
      </c>
      <c r="BR108" s="80"/>
      <c r="BS108" s="8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</row>
    <row r="109" spans="2:91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2"/>
      <c r="U109" s="2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v>5</v>
      </c>
      <c r="AF109" s="60"/>
      <c r="AG109" s="63">
        <v>7</v>
      </c>
      <c r="AH109" s="64"/>
      <c r="AI109" s="60">
        <v>7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v>3</v>
      </c>
      <c r="AR109" s="60"/>
      <c r="AW109" s="80" t="s">
        <v>17</v>
      </c>
      <c r="AX109" s="80"/>
      <c r="AY109" s="80"/>
      <c r="AZ109" s="2"/>
      <c r="BA109" s="2"/>
      <c r="BB109" s="2"/>
      <c r="BC109" s="2"/>
      <c r="BD109" s="3"/>
      <c r="BE109" s="2"/>
      <c r="BF109" s="2"/>
      <c r="BG109" s="2"/>
      <c r="BH109" s="2"/>
      <c r="BI109" s="2"/>
      <c r="BJ109" s="2"/>
      <c r="BK109" s="2"/>
      <c r="BL109" s="2"/>
      <c r="BM109" s="2"/>
      <c r="BN109" s="5"/>
      <c r="BO109" s="2"/>
      <c r="BP109" s="2"/>
      <c r="BQ109" s="80" t="s">
        <v>19</v>
      </c>
      <c r="BR109" s="80"/>
      <c r="BS109" s="80"/>
      <c r="BV109" s="60" t="s">
        <v>17</v>
      </c>
      <c r="BW109" s="60"/>
      <c r="BX109" s="62">
        <v>1</v>
      </c>
      <c r="BY109" s="62"/>
      <c r="BZ109" s="60">
        <f>1/7</f>
        <v>0.14285714285714285</v>
      </c>
      <c r="CA109" s="60"/>
      <c r="CB109" s="63">
        <f>1/5</f>
        <v>0.2</v>
      </c>
      <c r="CC109" s="64"/>
      <c r="CD109" s="60">
        <v>7</v>
      </c>
      <c r="CE109" s="60"/>
      <c r="CF109" s="60">
        <f>1/5</f>
        <v>0.2</v>
      </c>
      <c r="CG109" s="60"/>
      <c r="CH109" s="60">
        <v>5</v>
      </c>
      <c r="CI109" s="60"/>
      <c r="CJ109" s="60">
        <v>7</v>
      </c>
      <c r="CK109" s="60"/>
      <c r="CL109" s="60">
        <v>3</v>
      </c>
      <c r="CM109" s="60"/>
    </row>
    <row r="110" spans="2:91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W110" s="80" t="s">
        <v>17</v>
      </c>
      <c r="AX110" s="80"/>
      <c r="AY110" s="80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3"/>
      <c r="BO110" s="2"/>
      <c r="BP110" s="2"/>
      <c r="BQ110" s="80" t="s">
        <v>31</v>
      </c>
      <c r="BR110" s="80"/>
      <c r="BS110" s="80"/>
      <c r="BV110" s="60"/>
      <c r="BW110" s="60"/>
      <c r="BX110" s="62"/>
      <c r="BY110" s="62"/>
      <c r="BZ110" s="60"/>
      <c r="CA110" s="60"/>
      <c r="CB110" s="65"/>
      <c r="CC110" s="66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</row>
    <row r="111" spans="2:91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f>1/5</f>
        <v>0.2</v>
      </c>
      <c r="AD111" s="60"/>
      <c r="AE111" s="62">
        <v>1</v>
      </c>
      <c r="AF111" s="62"/>
      <c r="AG111" s="60">
        <f>1/7</f>
        <v>0.14285714285714285</v>
      </c>
      <c r="AH111" s="60"/>
      <c r="AI111" s="60">
        <f>1/5</f>
        <v>0.2</v>
      </c>
      <c r="AJ111" s="60"/>
      <c r="AK111" s="60">
        <f>1/5</f>
        <v>0.2</v>
      </c>
      <c r="AL111" s="60"/>
      <c r="AM111" s="60">
        <v>3</v>
      </c>
      <c r="AN111" s="60"/>
      <c r="AO111" s="60">
        <v>7</v>
      </c>
      <c r="AP111" s="60"/>
      <c r="AQ111" s="60">
        <f>1/3</f>
        <v>0.33333333333333331</v>
      </c>
      <c r="AR111" s="60"/>
      <c r="AW111" s="80" t="s">
        <v>17</v>
      </c>
      <c r="AX111" s="80"/>
      <c r="AY111" s="80"/>
      <c r="AZ111" s="2"/>
      <c r="BA111" s="2"/>
      <c r="BB111" s="2"/>
      <c r="BC111" s="2"/>
      <c r="BD111" s="3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80" t="s">
        <v>20</v>
      </c>
      <c r="BR111" s="80"/>
      <c r="BS111" s="80"/>
      <c r="BV111" s="60" t="s">
        <v>18</v>
      </c>
      <c r="BW111" s="60"/>
      <c r="BX111" s="60">
        <v>7</v>
      </c>
      <c r="BY111" s="60"/>
      <c r="BZ111" s="62">
        <v>1</v>
      </c>
      <c r="CA111" s="62"/>
      <c r="CB111" s="60">
        <v>5</v>
      </c>
      <c r="CC111" s="60"/>
      <c r="CD111" s="60">
        <v>3</v>
      </c>
      <c r="CE111" s="60"/>
      <c r="CF111" s="60">
        <f>1/5</f>
        <v>0.2</v>
      </c>
      <c r="CG111" s="60"/>
      <c r="CH111" s="60">
        <v>7</v>
      </c>
      <c r="CI111" s="60"/>
      <c r="CJ111" s="60">
        <f>1/9</f>
        <v>0.1111111111111111</v>
      </c>
      <c r="CK111" s="60"/>
      <c r="CL111" s="60">
        <f>1/5</f>
        <v>0.2</v>
      </c>
      <c r="CM111" s="60"/>
    </row>
    <row r="112" spans="2:91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W112" s="80" t="s">
        <v>17</v>
      </c>
      <c r="AX112" s="80"/>
      <c r="AY112" s="80"/>
      <c r="AZ112" s="2"/>
      <c r="BA112" s="2"/>
      <c r="BB112" s="2"/>
      <c r="BC112" s="2"/>
      <c r="BD112" s="2"/>
      <c r="BE112" s="2"/>
      <c r="BF112" s="5"/>
      <c r="BG112" s="2"/>
      <c r="BH112" s="2"/>
      <c r="BI112" s="2"/>
      <c r="BJ112" s="2"/>
      <c r="BK112" s="2"/>
      <c r="BL112" s="3"/>
      <c r="BM112" s="2"/>
      <c r="BN112" s="2"/>
      <c r="BO112" s="2"/>
      <c r="BP112" s="2"/>
      <c r="BQ112" s="80" t="s">
        <v>21</v>
      </c>
      <c r="BR112" s="80"/>
      <c r="BS112" s="80"/>
      <c r="BV112" s="60"/>
      <c r="BW112" s="60"/>
      <c r="BX112" s="60"/>
      <c r="BY112" s="60"/>
      <c r="BZ112" s="62"/>
      <c r="CA112" s="62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</row>
    <row r="113" spans="2:91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1/7</f>
        <v>0.14285714285714285</v>
      </c>
      <c r="AD113" s="60"/>
      <c r="AE113" s="60">
        <v>7</v>
      </c>
      <c r="AF113" s="60"/>
      <c r="AG113" s="62">
        <v>1</v>
      </c>
      <c r="AH113" s="62"/>
      <c r="AI113" s="60">
        <f>1/7</f>
        <v>0.14285714285714285</v>
      </c>
      <c r="AJ113" s="60"/>
      <c r="AK113" s="60">
        <f>1/5</f>
        <v>0.2</v>
      </c>
      <c r="AL113" s="60"/>
      <c r="AM113" s="60">
        <f>1/3</f>
        <v>0.33333333333333331</v>
      </c>
      <c r="AN113" s="60"/>
      <c r="AO113" s="60">
        <v>3</v>
      </c>
      <c r="AP113" s="60"/>
      <c r="AQ113" s="60">
        <v>3</v>
      </c>
      <c r="AR113" s="60"/>
      <c r="AW113" s="80" t="s">
        <v>17</v>
      </c>
      <c r="AX113" s="80"/>
      <c r="AY113" s="80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3"/>
      <c r="BO113" s="2"/>
      <c r="BP113" s="2"/>
      <c r="BQ113" s="80" t="s">
        <v>22</v>
      </c>
      <c r="BR113" s="80"/>
      <c r="BS113" s="80"/>
      <c r="BV113" s="60" t="s">
        <v>19</v>
      </c>
      <c r="BW113" s="60"/>
      <c r="BX113" s="60">
        <v>5</v>
      </c>
      <c r="BY113" s="60"/>
      <c r="BZ113" s="60">
        <f>1/5</f>
        <v>0.2</v>
      </c>
      <c r="CA113" s="60"/>
      <c r="CB113" s="62">
        <v>1</v>
      </c>
      <c r="CC113" s="62"/>
      <c r="CD113" s="60">
        <f>1/7</f>
        <v>0.14285714285714285</v>
      </c>
      <c r="CE113" s="60"/>
      <c r="CF113" s="60">
        <f>1/9</f>
        <v>0.1111111111111111</v>
      </c>
      <c r="CG113" s="60"/>
      <c r="CH113" s="60">
        <v>7</v>
      </c>
      <c r="CI113" s="60"/>
      <c r="CJ113" s="60">
        <f>1/9</f>
        <v>0.1111111111111111</v>
      </c>
      <c r="CK113" s="60"/>
      <c r="CL113" s="60">
        <v>5</v>
      </c>
      <c r="CM113" s="60"/>
    </row>
    <row r="114" spans="2:91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W114" s="80" t="s">
        <v>17</v>
      </c>
      <c r="AX114" s="80"/>
      <c r="AY114" s="80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3"/>
      <c r="BK114" s="2"/>
      <c r="BL114" s="2"/>
      <c r="BM114" s="2"/>
      <c r="BN114" s="2"/>
      <c r="BO114" s="2"/>
      <c r="BP114" s="2"/>
      <c r="BQ114" s="80" t="s">
        <v>83</v>
      </c>
      <c r="BR114" s="80"/>
      <c r="BS114" s="80"/>
      <c r="BV114" s="60"/>
      <c r="BW114" s="60"/>
      <c r="BX114" s="60"/>
      <c r="BY114" s="60"/>
      <c r="BZ114" s="60"/>
      <c r="CA114" s="60"/>
      <c r="CB114" s="62"/>
      <c r="CC114" s="62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</row>
    <row r="115" spans="2:91" x14ac:dyDescent="0.35">
      <c r="AA115" s="60" t="s">
        <v>31</v>
      </c>
      <c r="AB115" s="60"/>
      <c r="AC115" s="60">
        <f>1/7</f>
        <v>0.14285714285714285</v>
      </c>
      <c r="AD115" s="60"/>
      <c r="AE115" s="60">
        <v>5</v>
      </c>
      <c r="AF115" s="60"/>
      <c r="AG115" s="60">
        <v>7</v>
      </c>
      <c r="AH115" s="60"/>
      <c r="AI115" s="62">
        <v>1</v>
      </c>
      <c r="AJ115" s="62"/>
      <c r="AK115" s="60">
        <f>1/7</f>
        <v>0.14285714285714285</v>
      </c>
      <c r="AL115" s="60"/>
      <c r="AM115" s="60">
        <v>3</v>
      </c>
      <c r="AN115" s="60"/>
      <c r="AO115" s="60">
        <v>5</v>
      </c>
      <c r="AP115" s="60"/>
      <c r="AQ115" s="60">
        <f>1/7</f>
        <v>0.14285714285714285</v>
      </c>
      <c r="AR115" s="60"/>
      <c r="BV115" s="60" t="s">
        <v>31</v>
      </c>
      <c r="BW115" s="60"/>
      <c r="BX115" s="60">
        <f>1/7</f>
        <v>0.14285714285714285</v>
      </c>
      <c r="BY115" s="60"/>
      <c r="BZ115" s="60">
        <f>1/3</f>
        <v>0.33333333333333331</v>
      </c>
      <c r="CA115" s="60"/>
      <c r="CB115" s="60">
        <v>7</v>
      </c>
      <c r="CC115" s="60"/>
      <c r="CD115" s="62">
        <v>1</v>
      </c>
      <c r="CE115" s="62"/>
      <c r="CF115" s="60">
        <f>1/7</f>
        <v>0.14285714285714285</v>
      </c>
      <c r="CG115" s="60"/>
      <c r="CH115" s="60">
        <f>1/9</f>
        <v>0.1111111111111111</v>
      </c>
      <c r="CI115" s="60"/>
      <c r="CJ115" s="60">
        <v>5</v>
      </c>
      <c r="CK115" s="60"/>
      <c r="CL115" s="60">
        <f>1/7</f>
        <v>0.14285714285714285</v>
      </c>
      <c r="CM115" s="60"/>
    </row>
    <row r="116" spans="2:91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  <c r="AW116" s="79" t="s">
        <v>2</v>
      </c>
      <c r="AX116" s="79"/>
      <c r="AY116" s="79"/>
      <c r="AZ116" s="2">
        <v>9</v>
      </c>
      <c r="BA116" s="2">
        <v>8</v>
      </c>
      <c r="BB116" s="2">
        <v>7</v>
      </c>
      <c r="BC116" s="2">
        <v>6</v>
      </c>
      <c r="BD116" s="2">
        <v>5</v>
      </c>
      <c r="BE116" s="2">
        <v>4</v>
      </c>
      <c r="BF116" s="2">
        <v>3</v>
      </c>
      <c r="BG116" s="2">
        <v>2</v>
      </c>
      <c r="BH116" s="2">
        <v>1</v>
      </c>
      <c r="BI116" s="2">
        <v>2</v>
      </c>
      <c r="BJ116" s="2">
        <v>3</v>
      </c>
      <c r="BK116" s="2">
        <v>4</v>
      </c>
      <c r="BL116" s="2">
        <v>5</v>
      </c>
      <c r="BM116" s="2">
        <v>6</v>
      </c>
      <c r="BN116" s="2">
        <v>7</v>
      </c>
      <c r="BO116" s="2">
        <v>8</v>
      </c>
      <c r="BP116" s="2">
        <v>9</v>
      </c>
      <c r="BQ116" s="79" t="s">
        <v>3</v>
      </c>
      <c r="BR116" s="79"/>
      <c r="BS116" s="79"/>
      <c r="BV116" s="60"/>
      <c r="BW116" s="60"/>
      <c r="BX116" s="60"/>
      <c r="BY116" s="60"/>
      <c r="BZ116" s="60"/>
      <c r="CA116" s="60"/>
      <c r="CB116" s="60"/>
      <c r="CC116" s="60"/>
      <c r="CD116" s="62"/>
      <c r="CE116" s="62"/>
      <c r="CF116" s="60"/>
      <c r="CG116" s="60"/>
      <c r="CH116" s="60"/>
      <c r="CI116" s="60"/>
      <c r="CJ116" s="60"/>
      <c r="CK116" s="60"/>
      <c r="CL116" s="60"/>
      <c r="CM116" s="60"/>
    </row>
    <row r="117" spans="2:91" x14ac:dyDescent="0.35">
      <c r="B117" s="80" t="s">
        <v>18</v>
      </c>
      <c r="C117" s="80"/>
      <c r="D117" s="80"/>
      <c r="E117" s="2"/>
      <c r="F117" s="2"/>
      <c r="G117" s="3"/>
      <c r="H117" s="2"/>
      <c r="I117" s="2"/>
      <c r="J117" s="2"/>
      <c r="K117" s="5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5</v>
      </c>
      <c r="AF117" s="60"/>
      <c r="AG117" s="60">
        <v>5</v>
      </c>
      <c r="AH117" s="60"/>
      <c r="AI117" s="60">
        <v>7</v>
      </c>
      <c r="AJ117" s="60"/>
      <c r="AK117" s="62">
        <v>1</v>
      </c>
      <c r="AL117" s="62"/>
      <c r="AM117" s="60">
        <v>7</v>
      </c>
      <c r="AN117" s="60"/>
      <c r="AO117" s="60">
        <v>9</v>
      </c>
      <c r="AP117" s="60"/>
      <c r="AQ117" s="60">
        <f>1/5</f>
        <v>0.2</v>
      </c>
      <c r="AR117" s="60"/>
      <c r="AW117" s="80" t="s">
        <v>18</v>
      </c>
      <c r="AX117" s="80"/>
      <c r="AY117" s="80"/>
      <c r="AZ117" s="2"/>
      <c r="BA117" s="2"/>
      <c r="BB117" s="2"/>
      <c r="BC117" s="2"/>
      <c r="BD117" s="2"/>
      <c r="BE117" s="2"/>
      <c r="BF117" s="2"/>
      <c r="BG117" s="5"/>
      <c r="BH117" s="2"/>
      <c r="BI117" s="2"/>
      <c r="BJ117" s="2"/>
      <c r="BK117" s="2"/>
      <c r="BL117" s="3"/>
      <c r="BM117" s="2"/>
      <c r="BN117" s="2"/>
      <c r="BO117" s="2"/>
      <c r="BP117" s="2"/>
      <c r="BQ117" s="80" t="s">
        <v>19</v>
      </c>
      <c r="BR117" s="80"/>
      <c r="BS117" s="80"/>
      <c r="BV117" s="60" t="s">
        <v>20</v>
      </c>
      <c r="BW117" s="60"/>
      <c r="BX117" s="60">
        <v>5</v>
      </c>
      <c r="BY117" s="60"/>
      <c r="BZ117" s="60">
        <v>5</v>
      </c>
      <c r="CA117" s="60"/>
      <c r="CB117" s="60">
        <v>9</v>
      </c>
      <c r="CC117" s="60"/>
      <c r="CD117" s="60">
        <v>7</v>
      </c>
      <c r="CE117" s="60"/>
      <c r="CF117" s="62">
        <v>1</v>
      </c>
      <c r="CG117" s="62"/>
      <c r="CH117" s="60">
        <v>7</v>
      </c>
      <c r="CI117" s="60"/>
      <c r="CJ117" s="60">
        <f>1/7</f>
        <v>0.14285714285714285</v>
      </c>
      <c r="CK117" s="60"/>
      <c r="CL117" s="60">
        <v>9</v>
      </c>
      <c r="CM117" s="60"/>
    </row>
    <row r="118" spans="2:91" x14ac:dyDescent="0.35">
      <c r="B118" s="80" t="s">
        <v>18</v>
      </c>
      <c r="C118" s="80"/>
      <c r="D118" s="80"/>
      <c r="E118" s="2"/>
      <c r="F118" s="2"/>
      <c r="G118" s="2"/>
      <c r="H118" s="2"/>
      <c r="I118" s="3"/>
      <c r="J118" s="2"/>
      <c r="K118" s="2"/>
      <c r="L118" s="5"/>
      <c r="M118" s="2"/>
      <c r="N118" s="2"/>
      <c r="O118" s="2"/>
      <c r="P118" s="2"/>
      <c r="Q118" s="2"/>
      <c r="R118" s="2"/>
      <c r="S118" s="2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  <c r="AW118" s="80" t="s">
        <v>18</v>
      </c>
      <c r="AX118" s="80"/>
      <c r="AY118" s="80"/>
      <c r="AZ118" s="2"/>
      <c r="BA118" s="2"/>
      <c r="BB118" s="2"/>
      <c r="BC118" s="2"/>
      <c r="BD118" s="2"/>
      <c r="BE118" s="2"/>
      <c r="BF118" s="2"/>
      <c r="BG118" s="5"/>
      <c r="BH118" s="2"/>
      <c r="BI118" s="2"/>
      <c r="BJ118" s="3"/>
      <c r="BK118" s="2"/>
      <c r="BL118" s="2"/>
      <c r="BM118" s="2"/>
      <c r="BN118" s="2"/>
      <c r="BO118" s="2"/>
      <c r="BP118" s="2"/>
      <c r="BQ118" s="80" t="s">
        <v>31</v>
      </c>
      <c r="BR118" s="80"/>
      <c r="BS118" s="8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2"/>
      <c r="CG118" s="62"/>
      <c r="CH118" s="60"/>
      <c r="CI118" s="60"/>
      <c r="CJ118" s="60"/>
      <c r="CK118" s="60"/>
      <c r="CL118" s="60"/>
      <c r="CM118" s="60"/>
    </row>
    <row r="119" spans="2:91" x14ac:dyDescent="0.35">
      <c r="B119" s="80" t="s">
        <v>18</v>
      </c>
      <c r="C119" s="80"/>
      <c r="D119" s="80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f>1/3</f>
        <v>0.33333333333333331</v>
      </c>
      <c r="AF119" s="60"/>
      <c r="AG119" s="60">
        <v>3</v>
      </c>
      <c r="AH119" s="60"/>
      <c r="AI119" s="60">
        <f>1/3</f>
        <v>0.33333333333333331</v>
      </c>
      <c r="AJ119" s="60"/>
      <c r="AK119" s="60">
        <f>1/7</f>
        <v>0.14285714285714285</v>
      </c>
      <c r="AL119" s="60"/>
      <c r="AM119" s="62">
        <v>1</v>
      </c>
      <c r="AN119" s="62"/>
      <c r="AO119" s="60">
        <v>8</v>
      </c>
      <c r="AP119" s="60"/>
      <c r="AQ119" s="60">
        <v>5</v>
      </c>
      <c r="AR119" s="60"/>
      <c r="AW119" s="80" t="s">
        <v>18</v>
      </c>
      <c r="AX119" s="80"/>
      <c r="AY119" s="80"/>
      <c r="AZ119" s="2"/>
      <c r="BA119" s="2"/>
      <c r="BB119" s="2"/>
      <c r="BC119" s="2"/>
      <c r="BD119" s="3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80" t="s">
        <v>20</v>
      </c>
      <c r="BR119" s="80"/>
      <c r="BS119" s="80"/>
      <c r="BV119" s="60" t="s">
        <v>21</v>
      </c>
      <c r="BW119" s="60"/>
      <c r="BX119" s="60">
        <f>1/5</f>
        <v>0.2</v>
      </c>
      <c r="BY119" s="60"/>
      <c r="BZ119" s="60">
        <f>1/7</f>
        <v>0.14285714285714285</v>
      </c>
      <c r="CA119" s="60"/>
      <c r="CB119" s="60">
        <f>1/7</f>
        <v>0.14285714285714285</v>
      </c>
      <c r="CC119" s="60"/>
      <c r="CD119" s="60">
        <v>9</v>
      </c>
      <c r="CE119" s="60"/>
      <c r="CF119" s="60">
        <f>1/7</f>
        <v>0.14285714285714285</v>
      </c>
      <c r="CG119" s="60"/>
      <c r="CH119" s="62">
        <v>1</v>
      </c>
      <c r="CI119" s="62"/>
      <c r="CJ119" s="60">
        <f>1/5</f>
        <v>0.2</v>
      </c>
      <c r="CK119" s="60"/>
      <c r="CL119" s="60">
        <v>6</v>
      </c>
      <c r="CM119" s="60"/>
    </row>
    <row r="120" spans="2:91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  <c r="AW120" s="80" t="s">
        <v>18</v>
      </c>
      <c r="AX120" s="80"/>
      <c r="AY120" s="80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5"/>
      <c r="BK120" s="2"/>
      <c r="BL120" s="2"/>
      <c r="BM120" s="2"/>
      <c r="BN120" s="3"/>
      <c r="BO120" s="2"/>
      <c r="BP120" s="2"/>
      <c r="BQ120" s="80" t="s">
        <v>21</v>
      </c>
      <c r="BR120" s="80"/>
      <c r="BS120" s="8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2"/>
      <c r="CI120" s="62"/>
      <c r="CJ120" s="60"/>
      <c r="CK120" s="60"/>
      <c r="CL120" s="60"/>
      <c r="CM120" s="60"/>
    </row>
    <row r="121" spans="2:91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1/7</f>
        <v>0.14285714285714285</v>
      </c>
      <c r="AF121" s="60"/>
      <c r="AG121" s="60">
        <f>1/3</f>
        <v>0.33333333333333331</v>
      </c>
      <c r="AH121" s="60"/>
      <c r="AI121" s="60">
        <f>1/5</f>
        <v>0.2</v>
      </c>
      <c r="AJ121" s="60"/>
      <c r="AK121" s="60">
        <f>1/9</f>
        <v>0.1111111111111111</v>
      </c>
      <c r="AL121" s="60"/>
      <c r="AM121" s="60">
        <f>1/8</f>
        <v>0.125</v>
      </c>
      <c r="AN121" s="60"/>
      <c r="AO121" s="62">
        <v>1</v>
      </c>
      <c r="AP121" s="62"/>
      <c r="AQ121" s="60">
        <f>1/7</f>
        <v>0.14285714285714285</v>
      </c>
      <c r="AR121" s="60"/>
      <c r="AW121" s="80" t="s">
        <v>18</v>
      </c>
      <c r="AX121" s="80"/>
      <c r="AY121" s="80"/>
      <c r="AZ121" s="3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5"/>
      <c r="BO121" s="2"/>
      <c r="BP121" s="2"/>
      <c r="BQ121" s="80" t="s">
        <v>22</v>
      </c>
      <c r="BR121" s="80"/>
      <c r="BS121" s="80"/>
      <c r="BV121" s="60" t="s">
        <v>22</v>
      </c>
      <c r="BW121" s="60"/>
      <c r="BX121" s="60">
        <f>1/7</f>
        <v>0.14285714285714285</v>
      </c>
      <c r="BY121" s="60"/>
      <c r="BZ121" s="60">
        <v>9</v>
      </c>
      <c r="CA121" s="60"/>
      <c r="CB121" s="60">
        <v>9</v>
      </c>
      <c r="CC121" s="60"/>
      <c r="CD121" s="60">
        <f>1/5</f>
        <v>0.2</v>
      </c>
      <c r="CE121" s="60"/>
      <c r="CF121" s="60">
        <v>7</v>
      </c>
      <c r="CG121" s="60"/>
      <c r="CH121" s="60">
        <v>5</v>
      </c>
      <c r="CI121" s="60"/>
      <c r="CJ121" s="62">
        <v>1</v>
      </c>
      <c r="CK121" s="62"/>
      <c r="CL121" s="60">
        <v>5</v>
      </c>
      <c r="CM121" s="60"/>
    </row>
    <row r="122" spans="2:91" x14ac:dyDescent="0.35">
      <c r="B122" s="80" t="s">
        <v>18</v>
      </c>
      <c r="C122" s="80"/>
      <c r="D122" s="80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  <c r="AW122" s="80" t="s">
        <v>18</v>
      </c>
      <c r="AX122" s="80"/>
      <c r="AY122" s="80"/>
      <c r="AZ122" s="2"/>
      <c r="BA122" s="2"/>
      <c r="BB122" s="2"/>
      <c r="BC122" s="2"/>
      <c r="BD122" s="3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80" t="s">
        <v>83</v>
      </c>
      <c r="BR122" s="80"/>
      <c r="BS122" s="8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2"/>
      <c r="CK122" s="62"/>
      <c r="CL122" s="60"/>
      <c r="CM122" s="60"/>
    </row>
    <row r="123" spans="2:91" x14ac:dyDescent="0.35">
      <c r="AA123" s="60" t="s">
        <v>83</v>
      </c>
      <c r="AB123" s="60"/>
      <c r="AC123" s="60">
        <f>1/3</f>
        <v>0.33333333333333331</v>
      </c>
      <c r="AD123" s="60"/>
      <c r="AE123" s="60">
        <v>3</v>
      </c>
      <c r="AF123" s="60"/>
      <c r="AG123" s="60">
        <f>1/3</f>
        <v>0.33333333333333331</v>
      </c>
      <c r="AH123" s="60"/>
      <c r="AI123" s="60">
        <v>7</v>
      </c>
      <c r="AJ123" s="60"/>
      <c r="AK123" s="60">
        <v>5</v>
      </c>
      <c r="AL123" s="60"/>
      <c r="AM123" s="60">
        <f>1/5</f>
        <v>0.2</v>
      </c>
      <c r="AN123" s="60"/>
      <c r="AO123" s="60">
        <v>7</v>
      </c>
      <c r="AP123" s="60"/>
      <c r="AQ123" s="62">
        <v>1</v>
      </c>
      <c r="AR123" s="62"/>
      <c r="BV123" s="60" t="s">
        <v>83</v>
      </c>
      <c r="BW123" s="60"/>
      <c r="BX123" s="60">
        <f>1/3</f>
        <v>0.33333333333333331</v>
      </c>
      <c r="BY123" s="60"/>
      <c r="BZ123" s="60">
        <v>5</v>
      </c>
      <c r="CA123" s="60"/>
      <c r="CB123" s="60">
        <f>1/5</f>
        <v>0.2</v>
      </c>
      <c r="CC123" s="60"/>
      <c r="CD123" s="60">
        <v>7</v>
      </c>
      <c r="CE123" s="60"/>
      <c r="CF123" s="60">
        <f>1/9</f>
        <v>0.1111111111111111</v>
      </c>
      <c r="CG123" s="60"/>
      <c r="CH123" s="60">
        <f>1/6</f>
        <v>0.16666666666666666</v>
      </c>
      <c r="CI123" s="60"/>
      <c r="CJ123" s="60">
        <f>1/5</f>
        <v>0.2</v>
      </c>
      <c r="CK123" s="60"/>
      <c r="CL123" s="62">
        <v>1</v>
      </c>
      <c r="CM123" s="62"/>
    </row>
    <row r="124" spans="2:91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  <c r="AW124" s="79" t="s">
        <v>2</v>
      </c>
      <c r="AX124" s="79"/>
      <c r="AY124" s="79"/>
      <c r="AZ124" s="2">
        <v>9</v>
      </c>
      <c r="BA124" s="2">
        <v>8</v>
      </c>
      <c r="BB124" s="2">
        <v>7</v>
      </c>
      <c r="BC124" s="2">
        <v>6</v>
      </c>
      <c r="BD124" s="2">
        <v>5</v>
      </c>
      <c r="BE124" s="2">
        <v>4</v>
      </c>
      <c r="BF124" s="2">
        <v>3</v>
      </c>
      <c r="BG124" s="2">
        <v>2</v>
      </c>
      <c r="BH124" s="2">
        <v>1</v>
      </c>
      <c r="BI124" s="2">
        <v>2</v>
      </c>
      <c r="BJ124" s="2">
        <v>3</v>
      </c>
      <c r="BK124" s="2">
        <v>4</v>
      </c>
      <c r="BL124" s="2">
        <v>5</v>
      </c>
      <c r="BM124" s="2">
        <v>6</v>
      </c>
      <c r="BN124" s="2">
        <v>7</v>
      </c>
      <c r="BO124" s="2">
        <v>8</v>
      </c>
      <c r="BP124" s="2">
        <v>9</v>
      </c>
      <c r="BQ124" s="79" t="s">
        <v>3</v>
      </c>
      <c r="BR124" s="79"/>
      <c r="BS124" s="79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2"/>
      <c r="CM124" s="62"/>
    </row>
    <row r="125" spans="2:91" x14ac:dyDescent="0.35">
      <c r="B125" s="80" t="s">
        <v>19</v>
      </c>
      <c r="C125" s="80"/>
      <c r="D125" s="80"/>
      <c r="E125" s="2"/>
      <c r="F125" s="2"/>
      <c r="G125" s="3"/>
      <c r="H125" s="2"/>
      <c r="I125" s="2"/>
      <c r="J125" s="2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0" t="s">
        <v>31</v>
      </c>
      <c r="W125" s="80"/>
      <c r="X125" s="80"/>
      <c r="AW125" s="80" t="s">
        <v>19</v>
      </c>
      <c r="AX125" s="80"/>
      <c r="AY125" s="80"/>
      <c r="AZ125" s="2"/>
      <c r="BA125" s="2"/>
      <c r="BB125" s="3"/>
      <c r="BC125" s="2"/>
      <c r="BD125" s="2"/>
      <c r="BE125" s="2"/>
      <c r="BF125" s="5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80" t="s">
        <v>31</v>
      </c>
      <c r="BR125" s="80"/>
      <c r="BS125" s="80"/>
    </row>
    <row r="126" spans="2:91" x14ac:dyDescent="0.35">
      <c r="B126" s="80" t="s">
        <v>19</v>
      </c>
      <c r="C126" s="80"/>
      <c r="D126" s="80"/>
      <c r="E126" s="2"/>
      <c r="F126" s="2"/>
      <c r="G126" s="2"/>
      <c r="H126" s="2"/>
      <c r="I126" s="3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  <c r="AW126" s="80" t="s">
        <v>19</v>
      </c>
      <c r="AX126" s="80"/>
      <c r="AY126" s="80"/>
      <c r="AZ126" s="3"/>
      <c r="BA126" s="2"/>
      <c r="BB126" s="2"/>
      <c r="BC126" s="2"/>
      <c r="BD126" s="2"/>
      <c r="BE126" s="2"/>
      <c r="BF126" s="5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80" t="s">
        <v>20</v>
      </c>
      <c r="BR126" s="80"/>
      <c r="BS126" s="80"/>
    </row>
    <row r="127" spans="2:91" x14ac:dyDescent="0.35">
      <c r="B127" s="80" t="s">
        <v>19</v>
      </c>
      <c r="C127" s="80"/>
      <c r="D127" s="80"/>
      <c r="E127" s="2"/>
      <c r="F127" s="2"/>
      <c r="G127" s="2"/>
      <c r="H127" s="2"/>
      <c r="I127" s="2"/>
      <c r="J127" s="2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  <c r="AW127" s="80" t="s">
        <v>19</v>
      </c>
      <c r="AX127" s="80"/>
      <c r="AY127" s="80"/>
      <c r="AZ127" s="2"/>
      <c r="BA127" s="2"/>
      <c r="BB127" s="2"/>
      <c r="BC127" s="2"/>
      <c r="BD127" s="2"/>
      <c r="BE127" s="2"/>
      <c r="BF127" s="5"/>
      <c r="BG127" s="2"/>
      <c r="BH127" s="2"/>
      <c r="BI127" s="2"/>
      <c r="BJ127" s="2"/>
      <c r="BK127" s="2"/>
      <c r="BL127" s="2"/>
      <c r="BM127" s="2"/>
      <c r="BN127" s="3"/>
      <c r="BO127" s="2"/>
      <c r="BP127" s="2"/>
      <c r="BQ127" s="80" t="s">
        <v>21</v>
      </c>
      <c r="BR127" s="80"/>
      <c r="BS127" s="80"/>
      <c r="BU127" s="6"/>
      <c r="BV127" s="6"/>
      <c r="BW127" s="6"/>
    </row>
    <row r="128" spans="2:91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5"/>
      <c r="R128" s="2"/>
      <c r="S128" s="2"/>
      <c r="T128" s="2"/>
      <c r="U128" s="3"/>
      <c r="V128" s="80" t="s">
        <v>22</v>
      </c>
      <c r="W128" s="80"/>
      <c r="X128" s="80"/>
      <c r="AW128" s="80" t="s">
        <v>19</v>
      </c>
      <c r="AX128" s="80"/>
      <c r="AY128" s="80"/>
      <c r="AZ128" s="3"/>
      <c r="BA128" s="2"/>
      <c r="BB128" s="2"/>
      <c r="BC128" s="5"/>
      <c r="BD128" s="5"/>
      <c r="BE128" s="2"/>
      <c r="BF128" s="2"/>
      <c r="BG128" s="2"/>
      <c r="BH128" s="2"/>
      <c r="BI128" s="2"/>
      <c r="BJ128" s="2"/>
      <c r="BK128" s="2"/>
      <c r="BL128" s="5"/>
      <c r="BM128" s="2"/>
      <c r="BN128" s="2"/>
      <c r="BO128" s="2"/>
      <c r="BP128" s="2"/>
      <c r="BQ128" s="80" t="s">
        <v>22</v>
      </c>
      <c r="BR128" s="80"/>
      <c r="BS128" s="80"/>
    </row>
    <row r="129" spans="2:71" x14ac:dyDescent="0.35">
      <c r="B129" s="80" t="s">
        <v>19</v>
      </c>
      <c r="C129" s="80"/>
      <c r="D129" s="8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5"/>
      <c r="P129" s="2"/>
      <c r="Q129" s="2"/>
      <c r="R129" s="2"/>
      <c r="S129" s="2"/>
      <c r="T129" s="2"/>
      <c r="U129" s="3"/>
      <c r="V129" s="80" t="s">
        <v>83</v>
      </c>
      <c r="W129" s="80"/>
      <c r="X129" s="80"/>
      <c r="AW129" s="80" t="s">
        <v>19</v>
      </c>
      <c r="AX129" s="80"/>
      <c r="AY129" s="80"/>
      <c r="AZ129" s="2"/>
      <c r="BA129" s="2"/>
      <c r="BB129" s="2"/>
      <c r="BC129" s="2"/>
      <c r="BD129" s="5"/>
      <c r="BE129" s="2"/>
      <c r="BF129" s="2"/>
      <c r="BG129" s="2"/>
      <c r="BH129" s="2"/>
      <c r="BI129" s="2"/>
      <c r="BJ129" s="5"/>
      <c r="BK129" s="2"/>
      <c r="BL129" s="3"/>
      <c r="BM129" s="2"/>
      <c r="BN129" s="2"/>
      <c r="BO129" s="2"/>
      <c r="BP129" s="2"/>
      <c r="BQ129" s="80" t="s">
        <v>83</v>
      </c>
      <c r="BR129" s="80"/>
      <c r="BS129" s="80"/>
    </row>
    <row r="131" spans="2:71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  <c r="AW131" s="79" t="s">
        <v>2</v>
      </c>
      <c r="AX131" s="79"/>
      <c r="AY131" s="79"/>
      <c r="AZ131" s="2">
        <v>9</v>
      </c>
      <c r="BA131" s="2">
        <v>8</v>
      </c>
      <c r="BB131" s="2">
        <v>7</v>
      </c>
      <c r="BC131" s="2">
        <v>6</v>
      </c>
      <c r="BD131" s="2">
        <v>5</v>
      </c>
      <c r="BE131" s="2">
        <v>4</v>
      </c>
      <c r="BF131" s="2">
        <v>3</v>
      </c>
      <c r="BG131" s="2">
        <v>2</v>
      </c>
      <c r="BH131" s="2">
        <v>1</v>
      </c>
      <c r="BI131" s="2">
        <v>2</v>
      </c>
      <c r="BJ131" s="2">
        <v>3</v>
      </c>
      <c r="BK131" s="2">
        <v>4</v>
      </c>
      <c r="BL131" s="2">
        <v>5</v>
      </c>
      <c r="BM131" s="2">
        <v>6</v>
      </c>
      <c r="BN131" s="2">
        <v>7</v>
      </c>
      <c r="BO131" s="2">
        <v>8</v>
      </c>
      <c r="BP131" s="2">
        <v>9</v>
      </c>
      <c r="BQ131" s="79" t="s">
        <v>3</v>
      </c>
      <c r="BR131" s="79"/>
      <c r="BS131" s="79"/>
    </row>
    <row r="132" spans="2:71" x14ac:dyDescent="0.35">
      <c r="B132" s="80" t="s">
        <v>31</v>
      </c>
      <c r="C132" s="80"/>
      <c r="D132" s="80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  <c r="AW132" s="80" t="s">
        <v>31</v>
      </c>
      <c r="AX132" s="80"/>
      <c r="AY132" s="80"/>
      <c r="AZ132" s="2"/>
      <c r="BA132" s="2"/>
      <c r="BB132" s="3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80" t="s">
        <v>20</v>
      </c>
      <c r="BR132" s="80"/>
      <c r="BS132" s="80"/>
    </row>
    <row r="133" spans="2:71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  <c r="AW133" s="80" t="s">
        <v>31</v>
      </c>
      <c r="AX133" s="80"/>
      <c r="AY133" s="80"/>
      <c r="AZ133" s="3"/>
      <c r="BA133" s="2"/>
      <c r="BB133" s="2"/>
      <c r="BC133" s="2"/>
      <c r="BD133" s="5"/>
      <c r="BE133" s="2"/>
      <c r="BF133" s="2"/>
      <c r="BG133" s="2"/>
      <c r="BH133" s="2"/>
      <c r="BI133" s="2"/>
      <c r="BJ133" s="5"/>
      <c r="BK133" s="2"/>
      <c r="BL133" s="2"/>
      <c r="BM133" s="2"/>
      <c r="BN133" s="5"/>
      <c r="BO133" s="2"/>
      <c r="BP133" s="2"/>
      <c r="BQ133" s="80" t="s">
        <v>21</v>
      </c>
      <c r="BR133" s="80"/>
      <c r="BS133" s="80"/>
    </row>
    <row r="134" spans="2:71" x14ac:dyDescent="0.35">
      <c r="B134" s="80" t="s">
        <v>31</v>
      </c>
      <c r="C134" s="80"/>
      <c r="D134" s="8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80" t="s">
        <v>22</v>
      </c>
      <c r="W134" s="80"/>
      <c r="X134" s="80"/>
      <c r="AW134" s="80" t="s">
        <v>31</v>
      </c>
      <c r="AX134" s="80"/>
      <c r="AY134" s="80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3"/>
      <c r="BM134" s="2"/>
      <c r="BN134" s="2"/>
      <c r="BO134" s="2"/>
      <c r="BP134" s="2"/>
      <c r="BQ134" s="80" t="s">
        <v>22</v>
      </c>
      <c r="BR134" s="80"/>
      <c r="BS134" s="80"/>
    </row>
    <row r="135" spans="2:71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  <c r="AW135" s="80" t="s">
        <v>31</v>
      </c>
      <c r="AX135" s="80"/>
      <c r="AY135" s="80"/>
      <c r="AZ135" s="2"/>
      <c r="BA135" s="2"/>
      <c r="BB135" s="3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80" t="s">
        <v>83</v>
      </c>
      <c r="BR135" s="80"/>
      <c r="BS135" s="80"/>
    </row>
    <row r="137" spans="2:71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  <c r="AW137" s="79" t="s">
        <v>2</v>
      </c>
      <c r="AX137" s="79"/>
      <c r="AY137" s="79"/>
      <c r="AZ137" s="2">
        <v>9</v>
      </c>
      <c r="BA137" s="2">
        <v>8</v>
      </c>
      <c r="BB137" s="2">
        <v>7</v>
      </c>
      <c r="BC137" s="2">
        <v>6</v>
      </c>
      <c r="BD137" s="2">
        <v>5</v>
      </c>
      <c r="BE137" s="2">
        <v>4</v>
      </c>
      <c r="BF137" s="2">
        <v>3</v>
      </c>
      <c r="BG137" s="2">
        <v>2</v>
      </c>
      <c r="BH137" s="2">
        <v>1</v>
      </c>
      <c r="BI137" s="2">
        <v>2</v>
      </c>
      <c r="BJ137" s="2">
        <v>3</v>
      </c>
      <c r="BK137" s="2">
        <v>4</v>
      </c>
      <c r="BL137" s="2">
        <v>5</v>
      </c>
      <c r="BM137" s="2">
        <v>6</v>
      </c>
      <c r="BN137" s="2">
        <v>7</v>
      </c>
      <c r="BO137" s="2">
        <v>8</v>
      </c>
      <c r="BP137" s="2">
        <v>9</v>
      </c>
      <c r="BQ137" s="79" t="s">
        <v>3</v>
      </c>
      <c r="BR137" s="79"/>
      <c r="BS137" s="79"/>
    </row>
    <row r="138" spans="2:71" x14ac:dyDescent="0.35">
      <c r="B138" s="80" t="s">
        <v>20</v>
      </c>
      <c r="C138" s="80"/>
      <c r="D138" s="8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5"/>
      <c r="P138" s="2"/>
      <c r="Q138" s="2"/>
      <c r="R138" s="2"/>
      <c r="S138" s="3"/>
      <c r="T138" s="2"/>
      <c r="U138" s="2"/>
      <c r="V138" s="80" t="s">
        <v>21</v>
      </c>
      <c r="W138" s="80"/>
      <c r="X138" s="80"/>
      <c r="AW138" s="80" t="s">
        <v>20</v>
      </c>
      <c r="AX138" s="80"/>
      <c r="AY138" s="80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3"/>
      <c r="BO138" s="2"/>
      <c r="BP138" s="2"/>
      <c r="BQ138" s="80" t="s">
        <v>21</v>
      </c>
      <c r="BR138" s="80"/>
      <c r="BS138" s="80"/>
    </row>
    <row r="139" spans="2:71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5"/>
      <c r="P139" s="2"/>
      <c r="Q139" s="2"/>
      <c r="R139" s="2"/>
      <c r="S139" s="2"/>
      <c r="T139" s="2"/>
      <c r="U139" s="3"/>
      <c r="V139" s="80" t="s">
        <v>22</v>
      </c>
      <c r="W139" s="80"/>
      <c r="X139" s="80"/>
      <c r="AW139" s="80" t="s">
        <v>20</v>
      </c>
      <c r="AX139" s="80"/>
      <c r="AY139" s="80"/>
      <c r="AZ139" s="2"/>
      <c r="BA139" s="2"/>
      <c r="BB139" s="3"/>
      <c r="BC139" s="2"/>
      <c r="BD139" s="2"/>
      <c r="BE139" s="2"/>
      <c r="BF139" s="2"/>
      <c r="BG139" s="2"/>
      <c r="BH139" s="2"/>
      <c r="BI139" s="2"/>
      <c r="BJ139" s="5"/>
      <c r="BK139" s="2"/>
      <c r="BL139" s="2"/>
      <c r="BM139" s="2"/>
      <c r="BN139" s="2"/>
      <c r="BO139" s="2"/>
      <c r="BP139" s="2"/>
      <c r="BQ139" s="80" t="s">
        <v>22</v>
      </c>
      <c r="BR139" s="80"/>
      <c r="BS139" s="80"/>
    </row>
    <row r="140" spans="2:71" x14ac:dyDescent="0.35">
      <c r="B140" s="80" t="s">
        <v>20</v>
      </c>
      <c r="C140" s="80"/>
      <c r="D140" s="80"/>
      <c r="E140" s="5"/>
      <c r="F140" s="2"/>
      <c r="G140" s="2"/>
      <c r="H140" s="2"/>
      <c r="I140" s="3"/>
      <c r="J140" s="2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0" t="s">
        <v>83</v>
      </c>
      <c r="W140" s="80"/>
      <c r="X140" s="80"/>
      <c r="AW140" s="80" t="s">
        <v>20</v>
      </c>
      <c r="AX140" s="80"/>
      <c r="AY140" s="80"/>
      <c r="AZ140" s="5"/>
      <c r="BA140" s="2"/>
      <c r="BB140" s="2"/>
      <c r="BC140" s="2"/>
      <c r="BD140" s="2"/>
      <c r="BE140" s="2"/>
      <c r="BF140" s="5"/>
      <c r="BG140" s="2"/>
      <c r="BH140" s="2"/>
      <c r="BI140" s="2"/>
      <c r="BJ140" s="2"/>
      <c r="BK140" s="2"/>
      <c r="BL140" s="2"/>
      <c r="BM140" s="2"/>
      <c r="BN140" s="2"/>
      <c r="BO140" s="2"/>
      <c r="BP140" s="3"/>
      <c r="BQ140" s="80" t="s">
        <v>83</v>
      </c>
      <c r="BR140" s="80"/>
      <c r="BS140" s="80"/>
    </row>
    <row r="142" spans="2:71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  <c r="AW142" s="79" t="s">
        <v>2</v>
      </c>
      <c r="AX142" s="79"/>
      <c r="AY142" s="79"/>
      <c r="AZ142" s="2">
        <v>9</v>
      </c>
      <c r="BA142" s="2">
        <v>8</v>
      </c>
      <c r="BB142" s="2">
        <v>7</v>
      </c>
      <c r="BC142" s="2">
        <v>6</v>
      </c>
      <c r="BD142" s="2">
        <v>5</v>
      </c>
      <c r="BE142" s="2">
        <v>4</v>
      </c>
      <c r="BF142" s="2">
        <v>3</v>
      </c>
      <c r="BG142" s="2">
        <v>2</v>
      </c>
      <c r="BH142" s="2">
        <v>1</v>
      </c>
      <c r="BI142" s="2">
        <v>2</v>
      </c>
      <c r="BJ142" s="2">
        <v>3</v>
      </c>
      <c r="BK142" s="2">
        <v>4</v>
      </c>
      <c r="BL142" s="2">
        <v>5</v>
      </c>
      <c r="BM142" s="2">
        <v>6</v>
      </c>
      <c r="BN142" s="2">
        <v>7</v>
      </c>
      <c r="BO142" s="2">
        <v>8</v>
      </c>
      <c r="BP142" s="2">
        <v>9</v>
      </c>
      <c r="BQ142" s="79" t="s">
        <v>3</v>
      </c>
      <c r="BR142" s="79"/>
      <c r="BS142" s="79"/>
    </row>
    <row r="143" spans="2:71" x14ac:dyDescent="0.35">
      <c r="B143" s="80" t="s">
        <v>21</v>
      </c>
      <c r="C143" s="80"/>
      <c r="D143" s="8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5"/>
      <c r="P143" s="2"/>
      <c r="Q143" s="2"/>
      <c r="R143" s="2"/>
      <c r="S143" s="2"/>
      <c r="T143" s="3"/>
      <c r="U143" s="2"/>
      <c r="V143" s="80" t="s">
        <v>22</v>
      </c>
      <c r="W143" s="80"/>
      <c r="X143" s="80"/>
      <c r="AW143" s="80" t="s">
        <v>21</v>
      </c>
      <c r="AX143" s="80"/>
      <c r="AY143" s="80"/>
      <c r="AZ143" s="2"/>
      <c r="BA143" s="2"/>
      <c r="BB143" s="2"/>
      <c r="BC143" s="2"/>
      <c r="BD143" s="3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80" t="s">
        <v>22</v>
      </c>
      <c r="BR143" s="80"/>
      <c r="BS143" s="80"/>
    </row>
    <row r="144" spans="2:71" x14ac:dyDescent="0.35">
      <c r="B144" s="80" t="s">
        <v>21</v>
      </c>
      <c r="C144" s="80"/>
      <c r="D144" s="80"/>
      <c r="E144" s="5"/>
      <c r="F144" s="2"/>
      <c r="G144" s="2"/>
      <c r="H144" s="2"/>
      <c r="I144" s="2"/>
      <c r="J144" s="2"/>
      <c r="K144" s="5"/>
      <c r="L144" s="2"/>
      <c r="M144" s="2"/>
      <c r="N144" s="2"/>
      <c r="O144" s="2"/>
      <c r="P144" s="2"/>
      <c r="Q144" s="3"/>
      <c r="R144" s="2"/>
      <c r="S144" s="2"/>
      <c r="T144" s="2"/>
      <c r="U144" s="2"/>
      <c r="V144" s="80" t="s">
        <v>83</v>
      </c>
      <c r="W144" s="80"/>
      <c r="X144" s="80"/>
      <c r="AW144" s="80" t="s">
        <v>21</v>
      </c>
      <c r="AX144" s="80"/>
      <c r="AY144" s="80"/>
      <c r="AZ144" s="5"/>
      <c r="BA144" s="2"/>
      <c r="BB144" s="2"/>
      <c r="BC144" s="2"/>
      <c r="BD144" s="2"/>
      <c r="BE144" s="2"/>
      <c r="BF144" s="5"/>
      <c r="BG144" s="2"/>
      <c r="BH144" s="2"/>
      <c r="BI144" s="2"/>
      <c r="BJ144" s="2"/>
      <c r="BK144" s="2"/>
      <c r="BL144" s="2"/>
      <c r="BM144" s="3"/>
      <c r="BN144" s="2"/>
      <c r="BO144" s="2"/>
      <c r="BP144" s="2"/>
      <c r="BQ144" s="80" t="s">
        <v>83</v>
      </c>
      <c r="BR144" s="80"/>
      <c r="BS144" s="80"/>
    </row>
    <row r="146" spans="2:81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  <c r="AW146" s="79" t="s">
        <v>2</v>
      </c>
      <c r="AX146" s="79"/>
      <c r="AY146" s="79"/>
      <c r="AZ146" s="2">
        <v>9</v>
      </c>
      <c r="BA146" s="2">
        <v>8</v>
      </c>
      <c r="BB146" s="2">
        <v>7</v>
      </c>
      <c r="BC146" s="2">
        <v>6</v>
      </c>
      <c r="BD146" s="2">
        <v>5</v>
      </c>
      <c r="BE146" s="2">
        <v>4</v>
      </c>
      <c r="BF146" s="2">
        <v>3</v>
      </c>
      <c r="BG146" s="2">
        <v>2</v>
      </c>
      <c r="BH146" s="2">
        <v>1</v>
      </c>
      <c r="BI146" s="2">
        <v>2</v>
      </c>
      <c r="BJ146" s="2">
        <v>3</v>
      </c>
      <c r="BK146" s="2">
        <v>4</v>
      </c>
      <c r="BL146" s="2">
        <v>5</v>
      </c>
      <c r="BM146" s="2">
        <v>6</v>
      </c>
      <c r="BN146" s="2">
        <v>7</v>
      </c>
      <c r="BO146" s="2">
        <v>8</v>
      </c>
      <c r="BP146" s="2">
        <v>9</v>
      </c>
      <c r="BQ146" s="79" t="s">
        <v>3</v>
      </c>
      <c r="BR146" s="79"/>
      <c r="BS146" s="79"/>
    </row>
    <row r="147" spans="2:81" x14ac:dyDescent="0.35">
      <c r="B147" s="80" t="s">
        <v>22</v>
      </c>
      <c r="C147" s="80"/>
      <c r="D147" s="80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5"/>
      <c r="P147" s="2"/>
      <c r="Q147" s="2"/>
      <c r="R147" s="2"/>
      <c r="S147" s="2"/>
      <c r="T147" s="2"/>
      <c r="U147" s="2"/>
      <c r="V147" s="80" t="s">
        <v>83</v>
      </c>
      <c r="W147" s="80"/>
      <c r="X147" s="80"/>
      <c r="AW147" s="80" t="s">
        <v>22</v>
      </c>
      <c r="AX147" s="80"/>
      <c r="AY147" s="80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3"/>
      <c r="BM147" s="2"/>
      <c r="BN147" s="2"/>
      <c r="BO147" s="2"/>
      <c r="BP147" s="2"/>
      <c r="BQ147" s="80" t="s">
        <v>83</v>
      </c>
      <c r="BR147" s="80"/>
      <c r="BS147" s="80"/>
    </row>
    <row r="148" spans="2:81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</row>
    <row r="149" spans="2:81" x14ac:dyDescent="0.35">
      <c r="B149" s="8" t="s">
        <v>23</v>
      </c>
      <c r="AW149" s="8" t="s">
        <v>23</v>
      </c>
    </row>
    <row r="151" spans="2:81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  <c r="AW151" s="79" t="s">
        <v>2</v>
      </c>
      <c r="AX151" s="79"/>
      <c r="AY151" s="79"/>
      <c r="AZ151" s="2">
        <v>9</v>
      </c>
      <c r="BA151" s="2">
        <v>8</v>
      </c>
      <c r="BB151" s="2">
        <v>7</v>
      </c>
      <c r="BC151" s="2">
        <v>6</v>
      </c>
      <c r="BD151" s="2">
        <v>5</v>
      </c>
      <c r="BE151" s="2">
        <v>4</v>
      </c>
      <c r="BF151" s="2">
        <v>3</v>
      </c>
      <c r="BG151" s="2">
        <v>2</v>
      </c>
      <c r="BH151" s="2">
        <v>1</v>
      </c>
      <c r="BI151" s="2">
        <v>2</v>
      </c>
      <c r="BJ151" s="2">
        <v>3</v>
      </c>
      <c r="BK151" s="2">
        <v>4</v>
      </c>
      <c r="BL151" s="2">
        <v>5</v>
      </c>
      <c r="BM151" s="2">
        <v>6</v>
      </c>
      <c r="BN151" s="2">
        <v>7</v>
      </c>
      <c r="BO151" s="2">
        <v>8</v>
      </c>
      <c r="BP151" s="2">
        <v>9</v>
      </c>
      <c r="BQ151" s="79" t="s">
        <v>3</v>
      </c>
      <c r="BR151" s="79"/>
      <c r="BS151" s="79"/>
      <c r="BV151" s="60"/>
      <c r="BW151" s="60"/>
      <c r="BX151" s="60" t="s">
        <v>92</v>
      </c>
      <c r="BY151" s="60"/>
      <c r="BZ151" s="60" t="s">
        <v>25</v>
      </c>
      <c r="CA151" s="60"/>
      <c r="CB151" s="60" t="s">
        <v>26</v>
      </c>
      <c r="CC151" s="60"/>
    </row>
    <row r="152" spans="2:81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3"/>
      <c r="K152" s="5"/>
      <c r="L152" s="2"/>
      <c r="M152" s="2"/>
      <c r="N152" s="2"/>
      <c r="O152" s="5"/>
      <c r="P152" s="2"/>
      <c r="Q152" s="2"/>
      <c r="R152" s="2"/>
      <c r="S152" s="2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  <c r="AW152" s="80" t="s">
        <v>24</v>
      </c>
      <c r="AX152" s="80"/>
      <c r="AY152" s="80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5"/>
      <c r="BK152" s="2"/>
      <c r="BL152" s="2"/>
      <c r="BM152" s="2"/>
      <c r="BN152" s="3"/>
      <c r="BO152" s="2"/>
      <c r="BP152" s="2"/>
      <c r="BQ152" s="80" t="s">
        <v>25</v>
      </c>
      <c r="BR152" s="80"/>
      <c r="BS152" s="80"/>
      <c r="BV152" s="60"/>
      <c r="BW152" s="60"/>
      <c r="BX152" s="60"/>
      <c r="BY152" s="60"/>
      <c r="BZ152" s="60"/>
      <c r="CA152" s="60"/>
      <c r="CB152" s="60"/>
      <c r="CC152" s="60"/>
    </row>
    <row r="153" spans="2:81" x14ac:dyDescent="0.35">
      <c r="B153" s="80" t="s">
        <v>24</v>
      </c>
      <c r="C153" s="80"/>
      <c r="D153" s="80"/>
      <c r="E153" s="2"/>
      <c r="F153" s="2"/>
      <c r="G153" s="2"/>
      <c r="H153" s="2"/>
      <c r="I153" s="5"/>
      <c r="J153" s="2"/>
      <c r="K153" s="2"/>
      <c r="L153" s="2"/>
      <c r="M153" s="2"/>
      <c r="N153" s="2"/>
      <c r="O153" s="2"/>
      <c r="P153" s="2"/>
      <c r="Q153" s="3"/>
      <c r="R153" s="2"/>
      <c r="S153" s="2"/>
      <c r="T153" s="2"/>
      <c r="U153" s="2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f>1/4</f>
        <v>0.25</v>
      </c>
      <c r="AF153" s="60"/>
      <c r="AG153" s="63">
        <v>5</v>
      </c>
      <c r="AH153" s="64"/>
      <c r="AW153" s="80" t="s">
        <v>24</v>
      </c>
      <c r="AX153" s="80"/>
      <c r="AY153" s="80"/>
      <c r="AZ153" s="2"/>
      <c r="BA153" s="2"/>
      <c r="BB153" s="2"/>
      <c r="BC153" s="2"/>
      <c r="BD153" s="3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80" t="s">
        <v>26</v>
      </c>
      <c r="BR153" s="80"/>
      <c r="BS153" s="80"/>
      <c r="BV153" s="60" t="s">
        <v>92</v>
      </c>
      <c r="BW153" s="60"/>
      <c r="BX153" s="62">
        <v>1</v>
      </c>
      <c r="BY153" s="62"/>
      <c r="BZ153" s="60">
        <v>7</v>
      </c>
      <c r="CA153" s="60"/>
      <c r="CB153" s="63">
        <f>1/5</f>
        <v>0.2</v>
      </c>
      <c r="CC153" s="64"/>
    </row>
    <row r="154" spans="2:81" x14ac:dyDescent="0.35">
      <c r="AA154" s="60"/>
      <c r="AB154" s="60"/>
      <c r="AC154" s="62"/>
      <c r="AD154" s="62"/>
      <c r="AE154" s="60"/>
      <c r="AF154" s="60"/>
      <c r="AG154" s="65"/>
      <c r="AH154" s="66"/>
      <c r="BV154" s="60"/>
      <c r="BW154" s="60"/>
      <c r="BX154" s="62"/>
      <c r="BY154" s="62"/>
      <c r="BZ154" s="60"/>
      <c r="CA154" s="60"/>
      <c r="CB154" s="65"/>
      <c r="CC154" s="66"/>
    </row>
    <row r="155" spans="2:81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v>4</v>
      </c>
      <c r="AD155" s="60"/>
      <c r="AE155" s="62">
        <v>1</v>
      </c>
      <c r="AF155" s="62"/>
      <c r="AG155" s="60">
        <f>1/9</f>
        <v>0.1111111111111111</v>
      </c>
      <c r="AH155" s="60"/>
      <c r="AW155" s="79" t="s">
        <v>2</v>
      </c>
      <c r="AX155" s="79"/>
      <c r="AY155" s="79"/>
      <c r="AZ155" s="2">
        <v>9</v>
      </c>
      <c r="BA155" s="2">
        <v>8</v>
      </c>
      <c r="BB155" s="2">
        <v>7</v>
      </c>
      <c r="BC155" s="2">
        <v>6</v>
      </c>
      <c r="BD155" s="2">
        <v>5</v>
      </c>
      <c r="BE155" s="2">
        <v>4</v>
      </c>
      <c r="BF155" s="2">
        <v>3</v>
      </c>
      <c r="BG155" s="2">
        <v>2</v>
      </c>
      <c r="BH155" s="2">
        <v>1</v>
      </c>
      <c r="BI155" s="2">
        <v>2</v>
      </c>
      <c r="BJ155" s="2">
        <v>3</v>
      </c>
      <c r="BK155" s="2">
        <v>4</v>
      </c>
      <c r="BL155" s="2">
        <v>5</v>
      </c>
      <c r="BM155" s="2">
        <v>6</v>
      </c>
      <c r="BN155" s="2">
        <v>7</v>
      </c>
      <c r="BO155" s="2">
        <v>8</v>
      </c>
      <c r="BP155" s="2">
        <v>9</v>
      </c>
      <c r="BQ155" s="79" t="s">
        <v>3</v>
      </c>
      <c r="BR155" s="79"/>
      <c r="BS155" s="79"/>
      <c r="BV155" s="60" t="s">
        <v>25</v>
      </c>
      <c r="BW155" s="60"/>
      <c r="BX155" s="60">
        <f>1/7</f>
        <v>0.14285714285714285</v>
      </c>
      <c r="BY155" s="60"/>
      <c r="BZ155" s="62">
        <v>1</v>
      </c>
      <c r="CA155" s="62"/>
      <c r="CB155" s="60">
        <v>5</v>
      </c>
      <c r="CC155" s="60"/>
    </row>
    <row r="156" spans="2:81" x14ac:dyDescent="0.35">
      <c r="B156" s="80" t="s">
        <v>25</v>
      </c>
      <c r="C156" s="80"/>
      <c r="D156" s="80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5"/>
      <c r="R156" s="2"/>
      <c r="S156" s="2"/>
      <c r="T156" s="2"/>
      <c r="U156" s="2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  <c r="AW156" s="80" t="s">
        <v>25</v>
      </c>
      <c r="AX156" s="80"/>
      <c r="AY156" s="80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3"/>
      <c r="BM156" s="2"/>
      <c r="BN156" s="2"/>
      <c r="BO156" s="2"/>
      <c r="BP156" s="2"/>
      <c r="BQ156" s="80" t="s">
        <v>26</v>
      </c>
      <c r="BR156" s="80"/>
      <c r="BS156" s="80"/>
      <c r="BV156" s="60"/>
      <c r="BW156" s="60"/>
      <c r="BX156" s="60"/>
      <c r="BY156" s="60"/>
      <c r="BZ156" s="62"/>
      <c r="CA156" s="62"/>
      <c r="CB156" s="60"/>
      <c r="CC156" s="60"/>
    </row>
    <row r="157" spans="2:81" x14ac:dyDescent="0.35">
      <c r="AA157" s="60" t="s">
        <v>26</v>
      </c>
      <c r="AB157" s="60"/>
      <c r="AC157" s="60">
        <f>1/5</f>
        <v>0.2</v>
      </c>
      <c r="AD157" s="60"/>
      <c r="AE157" s="60">
        <v>9</v>
      </c>
      <c r="AF157" s="60"/>
      <c r="AG157" s="62">
        <v>1</v>
      </c>
      <c r="AH157" s="62"/>
      <c r="BV157" s="60" t="s">
        <v>26</v>
      </c>
      <c r="BW157" s="60"/>
      <c r="BX157" s="60">
        <v>5</v>
      </c>
      <c r="BY157" s="60"/>
      <c r="BZ157" s="60">
        <f>1/5</f>
        <v>0.2</v>
      </c>
      <c r="CA157" s="60"/>
      <c r="CB157" s="62">
        <v>1</v>
      </c>
      <c r="CC157" s="62"/>
    </row>
    <row r="158" spans="2:81" x14ac:dyDescent="0.35">
      <c r="AA158" s="60"/>
      <c r="AB158" s="60"/>
      <c r="AC158" s="60"/>
      <c r="AD158" s="60"/>
      <c r="AE158" s="60"/>
      <c r="AF158" s="60"/>
      <c r="AG158" s="62"/>
      <c r="AH158" s="62"/>
      <c r="BV158" s="60"/>
      <c r="BW158" s="60"/>
      <c r="BX158" s="60"/>
      <c r="BY158" s="60"/>
      <c r="BZ158" s="60"/>
      <c r="CA158" s="60"/>
      <c r="CB158" s="62"/>
      <c r="CC158" s="62"/>
    </row>
  </sheetData>
  <mergeCells count="1051">
    <mergeCell ref="BV157:BW158"/>
    <mergeCell ref="BX157:BY158"/>
    <mergeCell ref="BZ157:CA158"/>
    <mergeCell ref="CB157:CC158"/>
    <mergeCell ref="BV151:BW152"/>
    <mergeCell ref="BX151:BY152"/>
    <mergeCell ref="BZ151:CA152"/>
    <mergeCell ref="CB151:CC152"/>
    <mergeCell ref="BV153:BW154"/>
    <mergeCell ref="BX153:BY154"/>
    <mergeCell ref="BZ153:CA154"/>
    <mergeCell ref="CB153:CC154"/>
    <mergeCell ref="BV155:BW156"/>
    <mergeCell ref="BX155:BY156"/>
    <mergeCell ref="BZ155:CA156"/>
    <mergeCell ref="CB155:CC156"/>
    <mergeCell ref="BV123:BW124"/>
    <mergeCell ref="BX123:BY124"/>
    <mergeCell ref="BZ123:CA124"/>
    <mergeCell ref="CB123:CC124"/>
    <mergeCell ref="CD123:CE124"/>
    <mergeCell ref="CF123:CG124"/>
    <mergeCell ref="CH123:CI124"/>
    <mergeCell ref="CJ123:CK124"/>
    <mergeCell ref="CL123:CM124"/>
    <mergeCell ref="BV121:BW122"/>
    <mergeCell ref="BX121:BY122"/>
    <mergeCell ref="BZ121:CA122"/>
    <mergeCell ref="CB121:CC122"/>
    <mergeCell ref="CD121:CE122"/>
    <mergeCell ref="CF121:CG122"/>
    <mergeCell ref="CH121:CI122"/>
    <mergeCell ref="CJ121:CK122"/>
    <mergeCell ref="CL121:CM122"/>
    <mergeCell ref="BV119:BW120"/>
    <mergeCell ref="BX119:BY120"/>
    <mergeCell ref="BZ119:CA120"/>
    <mergeCell ref="CB119:CC120"/>
    <mergeCell ref="CD119:CE120"/>
    <mergeCell ref="CF119:CG120"/>
    <mergeCell ref="CH119:CI120"/>
    <mergeCell ref="CJ119:CK120"/>
    <mergeCell ref="CL119:CM120"/>
    <mergeCell ref="BV117:BW118"/>
    <mergeCell ref="BX117:BY118"/>
    <mergeCell ref="BZ117:CA118"/>
    <mergeCell ref="CB117:CC118"/>
    <mergeCell ref="CD117:CE118"/>
    <mergeCell ref="CF117:CG118"/>
    <mergeCell ref="CH117:CI118"/>
    <mergeCell ref="CJ117:CK118"/>
    <mergeCell ref="CL117:CM118"/>
    <mergeCell ref="BV115:BW116"/>
    <mergeCell ref="BX115:BY116"/>
    <mergeCell ref="BZ115:CA116"/>
    <mergeCell ref="CB115:CC116"/>
    <mergeCell ref="CD115:CE116"/>
    <mergeCell ref="CF115:CG116"/>
    <mergeCell ref="CH115:CI116"/>
    <mergeCell ref="CJ115:CK116"/>
    <mergeCell ref="CL115:CM116"/>
    <mergeCell ref="BV113:BW114"/>
    <mergeCell ref="BX113:BY114"/>
    <mergeCell ref="BZ113:CA114"/>
    <mergeCell ref="CB113:CC114"/>
    <mergeCell ref="CD113:CE114"/>
    <mergeCell ref="CF113:CG114"/>
    <mergeCell ref="CH113:CI114"/>
    <mergeCell ref="CJ113:CK114"/>
    <mergeCell ref="CL113:CM114"/>
    <mergeCell ref="BV111:BW112"/>
    <mergeCell ref="BX111:BY112"/>
    <mergeCell ref="BZ111:CA112"/>
    <mergeCell ref="CB111:CC112"/>
    <mergeCell ref="CD111:CE112"/>
    <mergeCell ref="CF111:CG112"/>
    <mergeCell ref="CH111:CI112"/>
    <mergeCell ref="CJ111:CK112"/>
    <mergeCell ref="CL111:CM112"/>
    <mergeCell ref="CF107:CG108"/>
    <mergeCell ref="CH107:CI108"/>
    <mergeCell ref="CJ107:CK108"/>
    <mergeCell ref="CL107:CM108"/>
    <mergeCell ref="BV109:BW110"/>
    <mergeCell ref="BX109:BY110"/>
    <mergeCell ref="BZ109:CA110"/>
    <mergeCell ref="CB109:CC110"/>
    <mergeCell ref="CD109:CE110"/>
    <mergeCell ref="CF109:CG110"/>
    <mergeCell ref="CH109:CI110"/>
    <mergeCell ref="CJ109:CK110"/>
    <mergeCell ref="CL109:CM110"/>
    <mergeCell ref="BV103:BW104"/>
    <mergeCell ref="BX103:BY104"/>
    <mergeCell ref="BZ103:CA104"/>
    <mergeCell ref="CB103:CC104"/>
    <mergeCell ref="BV107:BW108"/>
    <mergeCell ref="BX107:BY108"/>
    <mergeCell ref="BZ107:CA108"/>
    <mergeCell ref="CB107:CC108"/>
    <mergeCell ref="CD107:CE108"/>
    <mergeCell ref="BV97:BW98"/>
    <mergeCell ref="BX97:BY98"/>
    <mergeCell ref="BZ97:CA98"/>
    <mergeCell ref="CB97:CC98"/>
    <mergeCell ref="BV99:BW100"/>
    <mergeCell ref="BX99:BY100"/>
    <mergeCell ref="BZ99:CA100"/>
    <mergeCell ref="CB99:CC100"/>
    <mergeCell ref="BV101:BW102"/>
    <mergeCell ref="BX101:BY102"/>
    <mergeCell ref="BZ101:CA102"/>
    <mergeCell ref="CB101:CC102"/>
    <mergeCell ref="BV77:BW78"/>
    <mergeCell ref="BX77:BY78"/>
    <mergeCell ref="BZ77:CA78"/>
    <mergeCell ref="CB77:CC78"/>
    <mergeCell ref="CD77:CE78"/>
    <mergeCell ref="CF77:CG78"/>
    <mergeCell ref="CH77:CI78"/>
    <mergeCell ref="CJ77:CK78"/>
    <mergeCell ref="CL77:CM78"/>
    <mergeCell ref="CF73:CG74"/>
    <mergeCell ref="CH73:CI74"/>
    <mergeCell ref="CJ73:CK74"/>
    <mergeCell ref="CL73:CM74"/>
    <mergeCell ref="BV75:BW76"/>
    <mergeCell ref="BX75:BY76"/>
    <mergeCell ref="BZ75:CA76"/>
    <mergeCell ref="CB75:CC76"/>
    <mergeCell ref="CD75:CE76"/>
    <mergeCell ref="CF75:CG76"/>
    <mergeCell ref="CH75:CI76"/>
    <mergeCell ref="CJ75:CK76"/>
    <mergeCell ref="CL75:CM76"/>
    <mergeCell ref="BV73:BW74"/>
    <mergeCell ref="BX73:BY74"/>
    <mergeCell ref="BZ73:CA74"/>
    <mergeCell ref="CB73:CC74"/>
    <mergeCell ref="CD73:CE74"/>
    <mergeCell ref="CF69:CG70"/>
    <mergeCell ref="CH69:CI70"/>
    <mergeCell ref="CJ69:CK70"/>
    <mergeCell ref="CL69:CM70"/>
    <mergeCell ref="BV71:BW72"/>
    <mergeCell ref="BX71:BY72"/>
    <mergeCell ref="BZ71:CA72"/>
    <mergeCell ref="CB71:CC72"/>
    <mergeCell ref="CD71:CE72"/>
    <mergeCell ref="CF71:CG72"/>
    <mergeCell ref="CH71:CI72"/>
    <mergeCell ref="CJ71:CK72"/>
    <mergeCell ref="CL71:CM72"/>
    <mergeCell ref="CF65:CG66"/>
    <mergeCell ref="CH65:CI66"/>
    <mergeCell ref="CJ65:CK66"/>
    <mergeCell ref="CL65:CM66"/>
    <mergeCell ref="BV67:BW68"/>
    <mergeCell ref="BX67:BY68"/>
    <mergeCell ref="BZ67:CA68"/>
    <mergeCell ref="CB67:CC68"/>
    <mergeCell ref="CD67:CE68"/>
    <mergeCell ref="CF67:CG68"/>
    <mergeCell ref="CH67:CI68"/>
    <mergeCell ref="CJ67:CK68"/>
    <mergeCell ref="CL67:CM68"/>
    <mergeCell ref="CF61:CG62"/>
    <mergeCell ref="CH61:CI62"/>
    <mergeCell ref="CJ61:CK62"/>
    <mergeCell ref="CL61:CM62"/>
    <mergeCell ref="BV63:BW64"/>
    <mergeCell ref="BX63:BY64"/>
    <mergeCell ref="BZ63:CA64"/>
    <mergeCell ref="CB63:CC64"/>
    <mergeCell ref="CD63:CE64"/>
    <mergeCell ref="CF63:CG64"/>
    <mergeCell ref="CH63:CI64"/>
    <mergeCell ref="CJ63:CK64"/>
    <mergeCell ref="CL63:CM64"/>
    <mergeCell ref="AA157:AB158"/>
    <mergeCell ref="AC157:AD158"/>
    <mergeCell ref="AE157:AF158"/>
    <mergeCell ref="AG157:AH158"/>
    <mergeCell ref="BV61:BW62"/>
    <mergeCell ref="BX61:BY62"/>
    <mergeCell ref="BZ61:CA62"/>
    <mergeCell ref="CB61:CC62"/>
    <mergeCell ref="CD61:CE62"/>
    <mergeCell ref="BV65:BW66"/>
    <mergeCell ref="BX65:BY66"/>
    <mergeCell ref="BZ65:CA66"/>
    <mergeCell ref="CB65:CC66"/>
    <mergeCell ref="CD65:CE66"/>
    <mergeCell ref="BV69:BW70"/>
    <mergeCell ref="BX69:BY70"/>
    <mergeCell ref="BZ69:CA70"/>
    <mergeCell ref="CB69:CC70"/>
    <mergeCell ref="CD69:CE70"/>
    <mergeCell ref="AQ115:AR116"/>
    <mergeCell ref="AI109:AJ110"/>
    <mergeCell ref="AK109:AL110"/>
    <mergeCell ref="AM109:AN110"/>
    <mergeCell ref="AO109:AP110"/>
    <mergeCell ref="AQ109:AR110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Q111:AR112"/>
    <mergeCell ref="AQ121:AR122"/>
    <mergeCell ref="AA123:AB124"/>
    <mergeCell ref="AC123:AD124"/>
    <mergeCell ref="AE123:AF124"/>
    <mergeCell ref="AG123:AH124"/>
    <mergeCell ref="AI123:AJ124"/>
    <mergeCell ref="AK123:AL124"/>
    <mergeCell ref="AM123:AN124"/>
    <mergeCell ref="AO123:AP124"/>
    <mergeCell ref="AQ123:AR124"/>
    <mergeCell ref="AQ117:AR118"/>
    <mergeCell ref="AA119:AB120"/>
    <mergeCell ref="AC119:AD120"/>
    <mergeCell ref="AE119:AF120"/>
    <mergeCell ref="AG119:AH120"/>
    <mergeCell ref="AI119:AJ120"/>
    <mergeCell ref="AK119:AL120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E2:U2"/>
    <mergeCell ref="AI22:AJ23"/>
    <mergeCell ref="AK22:AL23"/>
    <mergeCell ref="AM22:AN23"/>
    <mergeCell ref="AO22:AP23"/>
    <mergeCell ref="AA103:AB104"/>
    <mergeCell ref="AC103:AD104"/>
    <mergeCell ref="AE103:AF104"/>
    <mergeCell ref="AG103:AH104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5:AB76"/>
    <mergeCell ref="AC75:AD76"/>
    <mergeCell ref="AE75:AF76"/>
    <mergeCell ref="AG75:AH76"/>
    <mergeCell ref="AI75:AJ76"/>
    <mergeCell ref="AK75:AL76"/>
    <mergeCell ref="AM75:AN76"/>
    <mergeCell ref="AZ2:BP2"/>
    <mergeCell ref="B4:C4"/>
    <mergeCell ref="AW4:AX4"/>
    <mergeCell ref="B6:D6"/>
    <mergeCell ref="V6:X6"/>
    <mergeCell ref="AA6:AB7"/>
    <mergeCell ref="AC6:AD7"/>
    <mergeCell ref="AE6:AF7"/>
    <mergeCell ref="AG6:AH7"/>
    <mergeCell ref="B7:D7"/>
    <mergeCell ref="V7:X7"/>
    <mergeCell ref="AO6:AP7"/>
    <mergeCell ref="AQ6:AR7"/>
    <mergeCell ref="AS6:AT7"/>
    <mergeCell ref="AI6:AJ7"/>
    <mergeCell ref="AK6:AL7"/>
    <mergeCell ref="AM6:AN7"/>
    <mergeCell ref="BV8:BW9"/>
    <mergeCell ref="BX8:BY9"/>
    <mergeCell ref="BZ8:CA9"/>
    <mergeCell ref="CB8:CC9"/>
    <mergeCell ref="AW9:AY9"/>
    <mergeCell ref="BQ9:BS9"/>
    <mergeCell ref="CD6:CE7"/>
    <mergeCell ref="CF6:CG7"/>
    <mergeCell ref="CH6:CI7"/>
    <mergeCell ref="CJ6:CK7"/>
    <mergeCell ref="AI8:AJ9"/>
    <mergeCell ref="AK8:AL9"/>
    <mergeCell ref="AM8:AN9"/>
    <mergeCell ref="CL6:CM7"/>
    <mergeCell ref="CN6:CO7"/>
    <mergeCell ref="AW6:AY6"/>
    <mergeCell ref="BQ6:BS6"/>
    <mergeCell ref="BV6:BW7"/>
    <mergeCell ref="BX6:BY7"/>
    <mergeCell ref="BZ6:CA7"/>
    <mergeCell ref="CB6:CC7"/>
    <mergeCell ref="AW7:AY7"/>
    <mergeCell ref="BQ7:BS7"/>
    <mergeCell ref="CL10:CM11"/>
    <mergeCell ref="CN10:CO11"/>
    <mergeCell ref="AW10:AY10"/>
    <mergeCell ref="BQ10:BS10"/>
    <mergeCell ref="BV10:BW11"/>
    <mergeCell ref="BX10:BY11"/>
    <mergeCell ref="BZ10:CA11"/>
    <mergeCell ref="CB10:CC11"/>
    <mergeCell ref="AW11:AY11"/>
    <mergeCell ref="BQ11:BS11"/>
    <mergeCell ref="CD10:CE11"/>
    <mergeCell ref="AQ10:AR11"/>
    <mergeCell ref="AS10:AT11"/>
    <mergeCell ref="CL8:CM9"/>
    <mergeCell ref="CN8:CO9"/>
    <mergeCell ref="B8:D8"/>
    <mergeCell ref="V8:X8"/>
    <mergeCell ref="AA8:AB9"/>
    <mergeCell ref="AC8:AD9"/>
    <mergeCell ref="AE8:AF9"/>
    <mergeCell ref="AG8:AH9"/>
    <mergeCell ref="AO8:AP9"/>
    <mergeCell ref="AQ8:AR9"/>
    <mergeCell ref="AS8:AT9"/>
    <mergeCell ref="B9:D9"/>
    <mergeCell ref="V9:X9"/>
    <mergeCell ref="CD8:CE9"/>
    <mergeCell ref="CF8:CG9"/>
    <mergeCell ref="CH8:CI9"/>
    <mergeCell ref="CJ8:CK9"/>
    <mergeCell ref="AW8:AY8"/>
    <mergeCell ref="BQ8:BS8"/>
    <mergeCell ref="B12:D12"/>
    <mergeCell ref="V12:X12"/>
    <mergeCell ref="AA12:AB13"/>
    <mergeCell ref="AC12:AD13"/>
    <mergeCell ref="AE12:AF13"/>
    <mergeCell ref="AG12:AH13"/>
    <mergeCell ref="AI10:AJ11"/>
    <mergeCell ref="AK10:AL11"/>
    <mergeCell ref="AM10:AN11"/>
    <mergeCell ref="B10:D10"/>
    <mergeCell ref="V10:X10"/>
    <mergeCell ref="AA10:AB11"/>
    <mergeCell ref="AC10:AD11"/>
    <mergeCell ref="AE10:AF11"/>
    <mergeCell ref="AG10:AH11"/>
    <mergeCell ref="CH12:CI13"/>
    <mergeCell ref="CJ12:CK13"/>
    <mergeCell ref="BQ12:BS12"/>
    <mergeCell ref="BV12:BW13"/>
    <mergeCell ref="BX12:BY13"/>
    <mergeCell ref="BZ12:CA13"/>
    <mergeCell ref="CB12:CC13"/>
    <mergeCell ref="BQ13:BS13"/>
    <mergeCell ref="CH10:CI11"/>
    <mergeCell ref="CJ10:CK11"/>
    <mergeCell ref="CL12:CM13"/>
    <mergeCell ref="CN12:CO13"/>
    <mergeCell ref="CF10:CG11"/>
    <mergeCell ref="B14:D14"/>
    <mergeCell ref="V14:X14"/>
    <mergeCell ref="AA14:AB15"/>
    <mergeCell ref="AC14:AD15"/>
    <mergeCell ref="AE14:AF15"/>
    <mergeCell ref="AG14:AH15"/>
    <mergeCell ref="B13:D13"/>
    <mergeCell ref="V13:X13"/>
    <mergeCell ref="AO10:AP11"/>
    <mergeCell ref="B11:D11"/>
    <mergeCell ref="V11:X11"/>
    <mergeCell ref="CD12:CE13"/>
    <mergeCell ref="CF12:CG13"/>
    <mergeCell ref="AI12:AJ13"/>
    <mergeCell ref="AK12:AL13"/>
    <mergeCell ref="AM12:AN13"/>
    <mergeCell ref="AO12:AP13"/>
    <mergeCell ref="AQ12:AR13"/>
    <mergeCell ref="AS12:AT13"/>
    <mergeCell ref="AI14:AJ15"/>
    <mergeCell ref="AK14:AL15"/>
    <mergeCell ref="AM14:AN15"/>
    <mergeCell ref="AO14:AP15"/>
    <mergeCell ref="AQ14:AR15"/>
    <mergeCell ref="AS14:AT15"/>
    <mergeCell ref="AW13:AY13"/>
    <mergeCell ref="CD14:CE15"/>
    <mergeCell ref="CF14:CG15"/>
    <mergeCell ref="AW12:AY12"/>
    <mergeCell ref="CH14:CI15"/>
    <mergeCell ref="CJ14:CK15"/>
    <mergeCell ref="CL14:CM15"/>
    <mergeCell ref="CN14:CO15"/>
    <mergeCell ref="AW14:AY14"/>
    <mergeCell ref="BQ14:BS14"/>
    <mergeCell ref="BV14:BW15"/>
    <mergeCell ref="BX14:BY15"/>
    <mergeCell ref="BZ14:CA15"/>
    <mergeCell ref="CB14:CC15"/>
    <mergeCell ref="AI16:AJ17"/>
    <mergeCell ref="AK16:AL17"/>
    <mergeCell ref="AM16:AN17"/>
    <mergeCell ref="AO16:AP17"/>
    <mergeCell ref="AQ16:AR17"/>
    <mergeCell ref="AS16:AT17"/>
    <mergeCell ref="B16:D16"/>
    <mergeCell ref="V16:X16"/>
    <mergeCell ref="AA16:AB17"/>
    <mergeCell ref="AC16:AD17"/>
    <mergeCell ref="AE16:AF17"/>
    <mergeCell ref="AG16:AH17"/>
    <mergeCell ref="B17:D17"/>
    <mergeCell ref="V17:X17"/>
    <mergeCell ref="CD16:CE17"/>
    <mergeCell ref="CF16:CG17"/>
    <mergeCell ref="CH16:CI17"/>
    <mergeCell ref="CJ16:CK17"/>
    <mergeCell ref="CL16:CM17"/>
    <mergeCell ref="CN16:CO17"/>
    <mergeCell ref="AW16:AY16"/>
    <mergeCell ref="BQ16:BS16"/>
    <mergeCell ref="BV16:BW17"/>
    <mergeCell ref="BX16:BY17"/>
    <mergeCell ref="BZ16:CA17"/>
    <mergeCell ref="CB16:CC17"/>
    <mergeCell ref="AW17:AY17"/>
    <mergeCell ref="BQ17:BS17"/>
    <mergeCell ref="AI18:AJ19"/>
    <mergeCell ref="AK18:AL19"/>
    <mergeCell ref="AM18:AN19"/>
    <mergeCell ref="AO18:AP19"/>
    <mergeCell ref="AQ18:AR19"/>
    <mergeCell ref="AS18:AT19"/>
    <mergeCell ref="B18:D18"/>
    <mergeCell ref="V18:X18"/>
    <mergeCell ref="AA18:AB19"/>
    <mergeCell ref="AC18:AD19"/>
    <mergeCell ref="AE18:AF19"/>
    <mergeCell ref="AG18:AH19"/>
    <mergeCell ref="B19:D19"/>
    <mergeCell ref="V19:X19"/>
    <mergeCell ref="CD18:CE19"/>
    <mergeCell ref="CF18:CG19"/>
    <mergeCell ref="CH18:CI19"/>
    <mergeCell ref="CJ18:CK19"/>
    <mergeCell ref="CL18:CM19"/>
    <mergeCell ref="CN18:CO19"/>
    <mergeCell ref="AW18:AY18"/>
    <mergeCell ref="BQ18:BS18"/>
    <mergeCell ref="BV18:BW19"/>
    <mergeCell ref="BX18:BY19"/>
    <mergeCell ref="BZ18:CA19"/>
    <mergeCell ref="CB18:CC19"/>
    <mergeCell ref="AW19:AY19"/>
    <mergeCell ref="BQ19:BS19"/>
    <mergeCell ref="AI20:AJ21"/>
    <mergeCell ref="AK20:AL21"/>
    <mergeCell ref="AM20:AN21"/>
    <mergeCell ref="AO20:AP21"/>
    <mergeCell ref="AQ20:AR21"/>
    <mergeCell ref="AS20:AT21"/>
    <mergeCell ref="B20:D20"/>
    <mergeCell ref="V20:X20"/>
    <mergeCell ref="AA20:AB21"/>
    <mergeCell ref="AC20:AD21"/>
    <mergeCell ref="AE20:AF21"/>
    <mergeCell ref="AG20:AH21"/>
    <mergeCell ref="B21:D21"/>
    <mergeCell ref="V21:X21"/>
    <mergeCell ref="CD20:CE21"/>
    <mergeCell ref="CF20:CG21"/>
    <mergeCell ref="CH20:CI21"/>
    <mergeCell ref="CJ20:CK21"/>
    <mergeCell ref="CL20:CM21"/>
    <mergeCell ref="CN20:CO21"/>
    <mergeCell ref="AW20:AY20"/>
    <mergeCell ref="BQ20:BS20"/>
    <mergeCell ref="BV20:BW21"/>
    <mergeCell ref="BX20:BY21"/>
    <mergeCell ref="BZ20:CA21"/>
    <mergeCell ref="CB20:CC21"/>
    <mergeCell ref="AW21:AY21"/>
    <mergeCell ref="BQ21:BS21"/>
    <mergeCell ref="AQ22:AR23"/>
    <mergeCell ref="AS22:AT23"/>
    <mergeCell ref="B22:D22"/>
    <mergeCell ref="V22:X22"/>
    <mergeCell ref="AA22:AB23"/>
    <mergeCell ref="AC22:AD23"/>
    <mergeCell ref="AE22:AF23"/>
    <mergeCell ref="AG22:AH23"/>
    <mergeCell ref="B23:D23"/>
    <mergeCell ref="V23:X23"/>
    <mergeCell ref="CD22:CE23"/>
    <mergeCell ref="CF22:CG23"/>
    <mergeCell ref="CH22:CI23"/>
    <mergeCell ref="CJ22:CK23"/>
    <mergeCell ref="CL22:CM23"/>
    <mergeCell ref="CN22:CO23"/>
    <mergeCell ref="AW22:AY22"/>
    <mergeCell ref="BQ22:BS22"/>
    <mergeCell ref="BV22:BW23"/>
    <mergeCell ref="BX22:BY23"/>
    <mergeCell ref="BZ22:CA23"/>
    <mergeCell ref="CB22:CC23"/>
    <mergeCell ref="AW23:AY23"/>
    <mergeCell ref="BQ23:BS23"/>
    <mergeCell ref="CL24:CM25"/>
    <mergeCell ref="CN24:CO25"/>
    <mergeCell ref="B25:D25"/>
    <mergeCell ref="V25:X25"/>
    <mergeCell ref="AW25:AY25"/>
    <mergeCell ref="BQ25:BS25"/>
    <mergeCell ref="BZ24:CA25"/>
    <mergeCell ref="CB24:CC25"/>
    <mergeCell ref="CD24:CE25"/>
    <mergeCell ref="CF24:CG25"/>
    <mergeCell ref="CH24:CI25"/>
    <mergeCell ref="CJ24:CK25"/>
    <mergeCell ref="AM24:AN25"/>
    <mergeCell ref="AO24:AP25"/>
    <mergeCell ref="AQ24:AR25"/>
    <mergeCell ref="AS24:AT25"/>
    <mergeCell ref="BV24:BW25"/>
    <mergeCell ref="BX24:BY25"/>
    <mergeCell ref="AA24:AB25"/>
    <mergeCell ref="AC24:AD25"/>
    <mergeCell ref="AE24:AF25"/>
    <mergeCell ref="AG24:AH25"/>
    <mergeCell ref="AI24:AJ25"/>
    <mergeCell ref="AK24:AL25"/>
    <mergeCell ref="B28:D28"/>
    <mergeCell ref="V28:X28"/>
    <mergeCell ref="AW28:AY28"/>
    <mergeCell ref="BQ28:BS28"/>
    <mergeCell ref="B29:D29"/>
    <mergeCell ref="V29:X29"/>
    <mergeCell ref="AW29:AY29"/>
    <mergeCell ref="BQ29:BS29"/>
    <mergeCell ref="B26:D26"/>
    <mergeCell ref="V26:X26"/>
    <mergeCell ref="AW26:AY26"/>
    <mergeCell ref="BQ26:BS26"/>
    <mergeCell ref="B27:D27"/>
    <mergeCell ref="V27:X27"/>
    <mergeCell ref="AW27:AY27"/>
    <mergeCell ref="BQ27:BS27"/>
    <mergeCell ref="B33:D33"/>
    <mergeCell ref="V33:X33"/>
    <mergeCell ref="AW33:AY33"/>
    <mergeCell ref="BQ33:BS33"/>
    <mergeCell ref="B34:D34"/>
    <mergeCell ref="V34:X34"/>
    <mergeCell ref="AW34:AY34"/>
    <mergeCell ref="BQ34:BS34"/>
    <mergeCell ref="B30:D30"/>
    <mergeCell ref="V30:X30"/>
    <mergeCell ref="AW30:AY30"/>
    <mergeCell ref="BQ30:BS30"/>
    <mergeCell ref="B31:D31"/>
    <mergeCell ref="V31:X31"/>
    <mergeCell ref="AW31:AY31"/>
    <mergeCell ref="BQ31:BS31"/>
    <mergeCell ref="B37:D37"/>
    <mergeCell ref="V37:X37"/>
    <mergeCell ref="AW37:AY37"/>
    <mergeCell ref="BQ37:BS37"/>
    <mergeCell ref="B38:D38"/>
    <mergeCell ref="V38:X38"/>
    <mergeCell ref="AW38:AY38"/>
    <mergeCell ref="BQ38:BS38"/>
    <mergeCell ref="B35:D35"/>
    <mergeCell ref="V35:X35"/>
    <mergeCell ref="AW35:AY35"/>
    <mergeCell ref="BQ35:BS35"/>
    <mergeCell ref="B36:D36"/>
    <mergeCell ref="V36:X36"/>
    <mergeCell ref="AW36:AY36"/>
    <mergeCell ref="BQ36:BS36"/>
    <mergeCell ref="B42:D42"/>
    <mergeCell ref="V42:X42"/>
    <mergeCell ref="AW42:AY42"/>
    <mergeCell ref="BQ42:BS42"/>
    <mergeCell ref="B43:D43"/>
    <mergeCell ref="V43:X43"/>
    <mergeCell ref="AW43:AY43"/>
    <mergeCell ref="BQ43:BS43"/>
    <mergeCell ref="B40:D40"/>
    <mergeCell ref="V40:X40"/>
    <mergeCell ref="AW40:AY40"/>
    <mergeCell ref="BQ40:BS40"/>
    <mergeCell ref="B41:D41"/>
    <mergeCell ref="V41:X41"/>
    <mergeCell ref="AW41:AY41"/>
    <mergeCell ref="BQ41:BS41"/>
    <mergeCell ref="B47:D47"/>
    <mergeCell ref="V47:X47"/>
    <mergeCell ref="AW47:AY47"/>
    <mergeCell ref="BQ47:BS47"/>
    <mergeCell ref="B48:D48"/>
    <mergeCell ref="V48:X48"/>
    <mergeCell ref="AW48:AY48"/>
    <mergeCell ref="BQ48:BS48"/>
    <mergeCell ref="B44:D44"/>
    <mergeCell ref="V44:X44"/>
    <mergeCell ref="AW44:AY44"/>
    <mergeCell ref="BQ44:BS44"/>
    <mergeCell ref="B46:D46"/>
    <mergeCell ref="V46:X46"/>
    <mergeCell ref="AW46:AY46"/>
    <mergeCell ref="BQ46:BS46"/>
    <mergeCell ref="B52:D52"/>
    <mergeCell ref="V52:X52"/>
    <mergeCell ref="AW52:AY52"/>
    <mergeCell ref="BQ52:BS52"/>
    <mergeCell ref="B53:D53"/>
    <mergeCell ref="V53:X53"/>
    <mergeCell ref="AW53:AY53"/>
    <mergeCell ref="BQ53:BS53"/>
    <mergeCell ref="B49:D49"/>
    <mergeCell ref="V49:X49"/>
    <mergeCell ref="AW49:AY49"/>
    <mergeCell ref="BQ49:BS49"/>
    <mergeCell ref="B51:D51"/>
    <mergeCell ref="V51:X51"/>
    <mergeCell ref="AW51:AY51"/>
    <mergeCell ref="BQ51:BS51"/>
    <mergeCell ref="B59:C59"/>
    <mergeCell ref="AW59:AX59"/>
    <mergeCell ref="B61:D61"/>
    <mergeCell ref="V61:X61"/>
    <mergeCell ref="AW61:AY61"/>
    <mergeCell ref="BQ61:BS61"/>
    <mergeCell ref="B55:D55"/>
    <mergeCell ref="V55:X55"/>
    <mergeCell ref="AW55:AY55"/>
    <mergeCell ref="BQ55:BS55"/>
    <mergeCell ref="B56:D56"/>
    <mergeCell ref="V56:X56"/>
    <mergeCell ref="AW56:AY56"/>
    <mergeCell ref="BQ56:BS56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B64:D64"/>
    <mergeCell ref="V64:X64"/>
    <mergeCell ref="AW64:AY64"/>
    <mergeCell ref="BQ64:BS64"/>
    <mergeCell ref="B65:D65"/>
    <mergeCell ref="V65:X65"/>
    <mergeCell ref="AW65:AY65"/>
    <mergeCell ref="BQ65:BS65"/>
    <mergeCell ref="B62:D62"/>
    <mergeCell ref="V62:X62"/>
    <mergeCell ref="AW62:AY62"/>
    <mergeCell ref="BQ62:BS62"/>
    <mergeCell ref="B63:D63"/>
    <mergeCell ref="V63:X63"/>
    <mergeCell ref="AW63:AY63"/>
    <mergeCell ref="BQ63:BS63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B69:D69"/>
    <mergeCell ref="V69:X69"/>
    <mergeCell ref="AW69:AY69"/>
    <mergeCell ref="BQ69:BS69"/>
    <mergeCell ref="B70:D70"/>
    <mergeCell ref="V70:X70"/>
    <mergeCell ref="AW70:AY70"/>
    <mergeCell ref="BQ70:BS70"/>
    <mergeCell ref="B66:D66"/>
    <mergeCell ref="V66:X66"/>
    <mergeCell ref="AW66:AY66"/>
    <mergeCell ref="BQ66:BS66"/>
    <mergeCell ref="B67:D67"/>
    <mergeCell ref="V67:X67"/>
    <mergeCell ref="AW67:AY67"/>
    <mergeCell ref="BQ67:BS67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B73:D73"/>
    <mergeCell ref="V73:X73"/>
    <mergeCell ref="AW73:AY73"/>
    <mergeCell ref="BQ73:BS73"/>
    <mergeCell ref="B74:D74"/>
    <mergeCell ref="V74:X74"/>
    <mergeCell ref="AW74:AY74"/>
    <mergeCell ref="BQ74:BS74"/>
    <mergeCell ref="B71:D71"/>
    <mergeCell ref="V71:X71"/>
    <mergeCell ref="AW71:AY71"/>
    <mergeCell ref="BQ71:BS71"/>
    <mergeCell ref="B72:D72"/>
    <mergeCell ref="V72:X72"/>
    <mergeCell ref="AW72:AY72"/>
    <mergeCell ref="BQ72:BS72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B78:D78"/>
    <mergeCell ref="V78:X78"/>
    <mergeCell ref="AW78:AY78"/>
    <mergeCell ref="BQ78:BS78"/>
    <mergeCell ref="B79:D79"/>
    <mergeCell ref="V79:X79"/>
    <mergeCell ref="AW79:AY79"/>
    <mergeCell ref="BQ79:BS79"/>
    <mergeCell ref="B76:D76"/>
    <mergeCell ref="V76:X76"/>
    <mergeCell ref="AW76:AY76"/>
    <mergeCell ref="BQ76:BS76"/>
    <mergeCell ref="B77:D77"/>
    <mergeCell ref="V77:X77"/>
    <mergeCell ref="AW77:AY77"/>
    <mergeCell ref="BQ77:BS77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AO75:AP76"/>
    <mergeCell ref="B83:D83"/>
    <mergeCell ref="V83:X83"/>
    <mergeCell ref="AW83:AY83"/>
    <mergeCell ref="BQ83:BS83"/>
    <mergeCell ref="B84:D84"/>
    <mergeCell ref="V84:X84"/>
    <mergeCell ref="AW84:AY84"/>
    <mergeCell ref="BQ84:BS84"/>
    <mergeCell ref="B80:D80"/>
    <mergeCell ref="V80:X80"/>
    <mergeCell ref="AW80:AY80"/>
    <mergeCell ref="BQ80:BS80"/>
    <mergeCell ref="B82:D82"/>
    <mergeCell ref="V82:X82"/>
    <mergeCell ref="AW82:AY82"/>
    <mergeCell ref="BQ82:BS82"/>
    <mergeCell ref="B88:D88"/>
    <mergeCell ref="V88:X88"/>
    <mergeCell ref="AW88:AY88"/>
    <mergeCell ref="BQ88:BS88"/>
    <mergeCell ref="B89:D89"/>
    <mergeCell ref="V89:X89"/>
    <mergeCell ref="AW89:AY89"/>
    <mergeCell ref="BQ89:BS89"/>
    <mergeCell ref="B85:D85"/>
    <mergeCell ref="V85:X85"/>
    <mergeCell ref="AW85:AY85"/>
    <mergeCell ref="BQ85:BS85"/>
    <mergeCell ref="B87:D87"/>
    <mergeCell ref="V87:X87"/>
    <mergeCell ref="AW87:AY87"/>
    <mergeCell ref="BQ87:BS87"/>
    <mergeCell ref="B95:D95"/>
    <mergeCell ref="AW95:AY95"/>
    <mergeCell ref="B97:D97"/>
    <mergeCell ref="V97:X97"/>
    <mergeCell ref="AW97:AY97"/>
    <mergeCell ref="BQ97:BS97"/>
    <mergeCell ref="B91:D91"/>
    <mergeCell ref="V91:X91"/>
    <mergeCell ref="AW91:AY91"/>
    <mergeCell ref="BQ91:BS91"/>
    <mergeCell ref="B92:D92"/>
    <mergeCell ref="V92:X92"/>
    <mergeCell ref="AW92:AY92"/>
    <mergeCell ref="BQ92:BS92"/>
    <mergeCell ref="AA97:AB98"/>
    <mergeCell ref="AC97:AD98"/>
    <mergeCell ref="AE97:AF98"/>
    <mergeCell ref="AG97:AH98"/>
    <mergeCell ref="B101:D101"/>
    <mergeCell ref="V101:X101"/>
    <mergeCell ref="AW101:AY101"/>
    <mergeCell ref="BQ101:BS101"/>
    <mergeCell ref="B102:D102"/>
    <mergeCell ref="V102:X102"/>
    <mergeCell ref="AW102:AY102"/>
    <mergeCell ref="BQ102:BS102"/>
    <mergeCell ref="B98:D98"/>
    <mergeCell ref="V98:X98"/>
    <mergeCell ref="AW98:AY98"/>
    <mergeCell ref="BQ98:BS98"/>
    <mergeCell ref="B99:D99"/>
    <mergeCell ref="V99:X99"/>
    <mergeCell ref="AW99:AY99"/>
    <mergeCell ref="BQ99:BS99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B109:D109"/>
    <mergeCell ref="V109:X109"/>
    <mergeCell ref="AW109:AY109"/>
    <mergeCell ref="BQ109:BS109"/>
    <mergeCell ref="B110:D110"/>
    <mergeCell ref="V110:X110"/>
    <mergeCell ref="AW110:AY110"/>
    <mergeCell ref="BQ110:BS110"/>
    <mergeCell ref="B107:D107"/>
    <mergeCell ref="V107:X107"/>
    <mergeCell ref="AW107:AY107"/>
    <mergeCell ref="BQ107:BS107"/>
    <mergeCell ref="B108:D108"/>
    <mergeCell ref="V108:X108"/>
    <mergeCell ref="AW108:AY108"/>
    <mergeCell ref="BQ108:BS108"/>
    <mergeCell ref="AK107:AL108"/>
    <mergeCell ref="AM107:AN108"/>
    <mergeCell ref="AO107:AP108"/>
    <mergeCell ref="AQ107:AR108"/>
    <mergeCell ref="AA109:AB110"/>
    <mergeCell ref="AC109:AD110"/>
    <mergeCell ref="AE109:AF110"/>
    <mergeCell ref="AG109:AH110"/>
    <mergeCell ref="AA107:AB108"/>
    <mergeCell ref="AC107:AD108"/>
    <mergeCell ref="AE107:AF108"/>
    <mergeCell ref="AG107:AH108"/>
    <mergeCell ref="AI107:AJ108"/>
    <mergeCell ref="B113:D113"/>
    <mergeCell ref="V113:X113"/>
    <mergeCell ref="AW113:AY113"/>
    <mergeCell ref="BQ113:BS113"/>
    <mergeCell ref="B114:D114"/>
    <mergeCell ref="V114:X114"/>
    <mergeCell ref="AW114:AY114"/>
    <mergeCell ref="BQ114:BS114"/>
    <mergeCell ref="B111:D111"/>
    <mergeCell ref="V111:X111"/>
    <mergeCell ref="AW111:AY111"/>
    <mergeCell ref="BQ111:BS111"/>
    <mergeCell ref="B112:D112"/>
    <mergeCell ref="V112:X112"/>
    <mergeCell ref="AW112:AY112"/>
    <mergeCell ref="BQ112:BS112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Q113:AR114"/>
    <mergeCell ref="B118:D118"/>
    <mergeCell ref="V118:X118"/>
    <mergeCell ref="AW118:AY118"/>
    <mergeCell ref="BQ118:BS118"/>
    <mergeCell ref="B119:D119"/>
    <mergeCell ref="V119:X119"/>
    <mergeCell ref="AW119:AY119"/>
    <mergeCell ref="BQ119:BS119"/>
    <mergeCell ref="B116:D116"/>
    <mergeCell ref="V116:X116"/>
    <mergeCell ref="AW116:AY116"/>
    <mergeCell ref="BQ116:BS116"/>
    <mergeCell ref="B117:D117"/>
    <mergeCell ref="V117:X117"/>
    <mergeCell ref="AW117:AY117"/>
    <mergeCell ref="BQ117:BS117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B122:D122"/>
    <mergeCell ref="V122:X122"/>
    <mergeCell ref="AW122:AY122"/>
    <mergeCell ref="BQ122:BS122"/>
    <mergeCell ref="B124:D124"/>
    <mergeCell ref="V124:X124"/>
    <mergeCell ref="AW124:AY124"/>
    <mergeCell ref="BQ124:BS124"/>
    <mergeCell ref="B120:D120"/>
    <mergeCell ref="V120:X120"/>
    <mergeCell ref="AW120:AY120"/>
    <mergeCell ref="BQ120:BS120"/>
    <mergeCell ref="B121:D121"/>
    <mergeCell ref="V121:X121"/>
    <mergeCell ref="AW121:AY121"/>
    <mergeCell ref="BQ121:BS121"/>
    <mergeCell ref="AA121:AB122"/>
    <mergeCell ref="AC121:AD122"/>
    <mergeCell ref="AE121:AF122"/>
    <mergeCell ref="AG121:AH122"/>
    <mergeCell ref="AI121:AJ122"/>
    <mergeCell ref="AK121:AL122"/>
    <mergeCell ref="AM121:AN122"/>
    <mergeCell ref="AO121:AP122"/>
    <mergeCell ref="AM119:AN120"/>
    <mergeCell ref="AO119:AP120"/>
    <mergeCell ref="AQ119:AR120"/>
    <mergeCell ref="B125:D125"/>
    <mergeCell ref="V125:X125"/>
    <mergeCell ref="AW125:AY125"/>
    <mergeCell ref="BQ125:BS125"/>
    <mergeCell ref="B126:D126"/>
    <mergeCell ref="V126:X126"/>
    <mergeCell ref="AW126:AY126"/>
    <mergeCell ref="BQ126:BS126"/>
    <mergeCell ref="B128:D128"/>
    <mergeCell ref="V128:X128"/>
    <mergeCell ref="AW128:AY128"/>
    <mergeCell ref="BQ128:BS128"/>
    <mergeCell ref="B129:D129"/>
    <mergeCell ref="V129:X129"/>
    <mergeCell ref="AW129:AY129"/>
    <mergeCell ref="BQ129:BS129"/>
    <mergeCell ref="B127:D127"/>
    <mergeCell ref="V127:X127"/>
    <mergeCell ref="AW127:AY127"/>
    <mergeCell ref="BQ127:BS127"/>
    <mergeCell ref="B133:D133"/>
    <mergeCell ref="V133:X133"/>
    <mergeCell ref="AW133:AY133"/>
    <mergeCell ref="BQ133:BS133"/>
    <mergeCell ref="B134:D134"/>
    <mergeCell ref="V134:X134"/>
    <mergeCell ref="AW134:AY134"/>
    <mergeCell ref="BQ134:BS134"/>
    <mergeCell ref="B131:D131"/>
    <mergeCell ref="V131:X131"/>
    <mergeCell ref="AW131:AY131"/>
    <mergeCell ref="BQ131:BS131"/>
    <mergeCell ref="B132:D132"/>
    <mergeCell ref="V132:X132"/>
    <mergeCell ref="AW132:AY132"/>
    <mergeCell ref="BQ132:BS132"/>
    <mergeCell ref="B138:D138"/>
    <mergeCell ref="V138:X138"/>
    <mergeCell ref="AW138:AY138"/>
    <mergeCell ref="BQ138:BS138"/>
    <mergeCell ref="B139:D139"/>
    <mergeCell ref="V139:X139"/>
    <mergeCell ref="AW139:AY139"/>
    <mergeCell ref="BQ139:BS139"/>
    <mergeCell ref="B135:D135"/>
    <mergeCell ref="V135:X135"/>
    <mergeCell ref="AW135:AY135"/>
    <mergeCell ref="BQ135:BS135"/>
    <mergeCell ref="B137:D137"/>
    <mergeCell ref="V137:X137"/>
    <mergeCell ref="AW137:AY137"/>
    <mergeCell ref="BQ137:BS137"/>
    <mergeCell ref="B143:D143"/>
    <mergeCell ref="V143:X143"/>
    <mergeCell ref="AW143:AY143"/>
    <mergeCell ref="BQ143:BS143"/>
    <mergeCell ref="B144:D144"/>
    <mergeCell ref="V144:X144"/>
    <mergeCell ref="AW144:AY144"/>
    <mergeCell ref="BQ144:BS144"/>
    <mergeCell ref="B140:D140"/>
    <mergeCell ref="V140:X140"/>
    <mergeCell ref="AW140:AY140"/>
    <mergeCell ref="BQ140:BS140"/>
    <mergeCell ref="B142:D142"/>
    <mergeCell ref="V142:X142"/>
    <mergeCell ref="AW142:AY142"/>
    <mergeCell ref="BQ142:BS142"/>
    <mergeCell ref="B151:D151"/>
    <mergeCell ref="V151:X151"/>
    <mergeCell ref="AW151:AY151"/>
    <mergeCell ref="BQ151:BS151"/>
    <mergeCell ref="B152:D152"/>
    <mergeCell ref="V152:X152"/>
    <mergeCell ref="AW152:AY152"/>
    <mergeCell ref="BQ152:BS152"/>
    <mergeCell ref="B146:D146"/>
    <mergeCell ref="V146:X146"/>
    <mergeCell ref="AW146:AY146"/>
    <mergeCell ref="BQ146:BS146"/>
    <mergeCell ref="B147:D147"/>
    <mergeCell ref="V147:X147"/>
    <mergeCell ref="AW147:AY147"/>
    <mergeCell ref="BQ147:BS147"/>
    <mergeCell ref="AA151:AB152"/>
    <mergeCell ref="AC151:AD152"/>
    <mergeCell ref="AE151:AF152"/>
    <mergeCell ref="AG151:AH152"/>
    <mergeCell ref="B156:D156"/>
    <mergeCell ref="V156:X156"/>
    <mergeCell ref="AW156:AY156"/>
    <mergeCell ref="BQ156:BS156"/>
    <mergeCell ref="B153:D153"/>
    <mergeCell ref="V153:X153"/>
    <mergeCell ref="AW153:AY153"/>
    <mergeCell ref="BQ153:BS153"/>
    <mergeCell ref="B155:D155"/>
    <mergeCell ref="V155:X155"/>
    <mergeCell ref="AW155:AY155"/>
    <mergeCell ref="BQ155:BS155"/>
    <mergeCell ref="AA153:AB154"/>
    <mergeCell ref="AC153:AD154"/>
    <mergeCell ref="AE153:AF154"/>
    <mergeCell ref="AG153:AH154"/>
    <mergeCell ref="AA155:AB156"/>
    <mergeCell ref="AC155:AD156"/>
    <mergeCell ref="AE155:AF156"/>
    <mergeCell ref="AG155:AH1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7978-0AC1-4176-90A4-06F14D56D684}">
  <dimension ref="B2:AT158"/>
  <sheetViews>
    <sheetView topLeftCell="E1" zoomScale="46" workbookViewId="0">
      <selection activeCell="AA6" sqref="AA6:AT158"/>
    </sheetView>
  </sheetViews>
  <sheetFormatPr defaultRowHeight="14.5" x14ac:dyDescent="0.35"/>
  <cols>
    <col min="5" max="21" width="2.453125" customWidth="1"/>
  </cols>
  <sheetData>
    <row r="2" spans="2:46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</row>
    <row r="4" spans="2:46" x14ac:dyDescent="0.35">
      <c r="B4" s="85" t="s">
        <v>1</v>
      </c>
      <c r="C4" s="85"/>
    </row>
    <row r="6" spans="2:46" ht="15" customHeight="1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79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80</v>
      </c>
      <c r="AR6" s="60"/>
      <c r="AS6" s="60" t="s">
        <v>33</v>
      </c>
      <c r="AT6" s="60"/>
    </row>
    <row r="7" spans="2:46" x14ac:dyDescent="0.35">
      <c r="B7" s="80" t="s">
        <v>78</v>
      </c>
      <c r="C7" s="80"/>
      <c r="D7" s="8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2"/>
      <c r="S7" s="2"/>
      <c r="T7" s="2"/>
      <c r="U7" s="2"/>
      <c r="V7" s="80" t="s">
        <v>85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</row>
    <row r="8" spans="2:46" ht="15" customHeight="1" x14ac:dyDescent="0.35">
      <c r="B8" s="80" t="s">
        <v>78</v>
      </c>
      <c r="C8" s="80"/>
      <c r="D8" s="8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v>5</v>
      </c>
      <c r="AF8" s="60"/>
      <c r="AG8" s="63">
        <v>7</v>
      </c>
      <c r="AH8" s="64"/>
      <c r="AI8" s="60">
        <v>7</v>
      </c>
      <c r="AJ8" s="60"/>
      <c r="AK8" s="60">
        <f>1/5</f>
        <v>0.2</v>
      </c>
      <c r="AL8" s="60"/>
      <c r="AM8" s="60">
        <f>1/3</f>
        <v>0.33333333333333331</v>
      </c>
      <c r="AN8" s="60"/>
      <c r="AO8" s="60">
        <v>7</v>
      </c>
      <c r="AP8" s="60"/>
      <c r="AQ8" s="60">
        <v>3</v>
      </c>
      <c r="AR8" s="60"/>
      <c r="AS8" s="60">
        <f>1/5</f>
        <v>0.2</v>
      </c>
      <c r="AT8" s="60"/>
    </row>
    <row r="9" spans="2:46" x14ac:dyDescent="0.35">
      <c r="B9" s="80" t="s">
        <v>78</v>
      </c>
      <c r="C9" s="80"/>
      <c r="D9" s="8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</row>
    <row r="10" spans="2:46" ht="15" customHeight="1" x14ac:dyDescent="0.35">
      <c r="B10" s="80" t="s">
        <v>78</v>
      </c>
      <c r="C10" s="80"/>
      <c r="D10" s="80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0" t="s">
        <v>6</v>
      </c>
      <c r="W10" s="80"/>
      <c r="X10" s="80"/>
      <c r="AA10" s="60" t="s">
        <v>79</v>
      </c>
      <c r="AB10" s="60"/>
      <c r="AC10" s="60">
        <f>1/5</f>
        <v>0.2</v>
      </c>
      <c r="AD10" s="60"/>
      <c r="AE10" s="62">
        <v>1</v>
      </c>
      <c r="AF10" s="62"/>
      <c r="AG10" s="60">
        <f>1/5</f>
        <v>0.2</v>
      </c>
      <c r="AH10" s="60"/>
      <c r="AI10" s="60">
        <f>1/7</f>
        <v>0.14285714285714285</v>
      </c>
      <c r="AJ10" s="60"/>
      <c r="AK10" s="60">
        <f>1/4</f>
        <v>0.25</v>
      </c>
      <c r="AL10" s="60"/>
      <c r="AM10" s="60">
        <v>7</v>
      </c>
      <c r="AN10" s="60"/>
      <c r="AO10" s="60">
        <v>3</v>
      </c>
      <c r="AP10" s="60"/>
      <c r="AQ10" s="60">
        <v>5</v>
      </c>
      <c r="AR10" s="60"/>
      <c r="AS10" s="60">
        <v>9</v>
      </c>
      <c r="AT10" s="60"/>
    </row>
    <row r="11" spans="2:46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</row>
    <row r="12" spans="2:46" ht="15" customHeight="1" x14ac:dyDescent="0.35">
      <c r="B12" s="80" t="s">
        <v>78</v>
      </c>
      <c r="C12" s="80"/>
      <c r="D12" s="8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f>1/7</f>
        <v>0.14285714285714285</v>
      </c>
      <c r="AD12" s="60"/>
      <c r="AE12" s="60">
        <v>5</v>
      </c>
      <c r="AF12" s="60"/>
      <c r="AG12" s="62">
        <v>1</v>
      </c>
      <c r="AH12" s="62"/>
      <c r="AI12" s="60">
        <v>7</v>
      </c>
      <c r="AJ12" s="60"/>
      <c r="AK12" s="60">
        <f>1/5</f>
        <v>0.2</v>
      </c>
      <c r="AL12" s="60"/>
      <c r="AM12" s="60">
        <v>3</v>
      </c>
      <c r="AN12" s="60"/>
      <c r="AO12" s="60">
        <v>5</v>
      </c>
      <c r="AP12" s="60"/>
      <c r="AQ12" s="60">
        <f>1/3</f>
        <v>0.33333333333333331</v>
      </c>
      <c r="AR12" s="60"/>
      <c r="AS12" s="60">
        <f>1/7</f>
        <v>0.14285714285714285</v>
      </c>
      <c r="AT12" s="60"/>
    </row>
    <row r="13" spans="2:46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80" t="s">
        <v>86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</row>
    <row r="14" spans="2:46" ht="15" customHeight="1" x14ac:dyDescent="0.35">
      <c r="B14" s="80" t="s">
        <v>78</v>
      </c>
      <c r="C14" s="80"/>
      <c r="D14" s="80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5"/>
      <c r="T14" s="2"/>
      <c r="U14" s="2"/>
      <c r="V14" s="80" t="s">
        <v>9</v>
      </c>
      <c r="W14" s="80"/>
      <c r="X14" s="80"/>
      <c r="AA14" s="60" t="s">
        <v>5</v>
      </c>
      <c r="AB14" s="60"/>
      <c r="AC14" s="60">
        <f>1/7</f>
        <v>0.14285714285714285</v>
      </c>
      <c r="AD14" s="60"/>
      <c r="AE14" s="60">
        <v>7</v>
      </c>
      <c r="AF14" s="60"/>
      <c r="AG14" s="60">
        <f>1/7</f>
        <v>0.14285714285714285</v>
      </c>
      <c r="AH14" s="60"/>
      <c r="AI14" s="62">
        <v>1</v>
      </c>
      <c r="AJ14" s="62"/>
      <c r="AK14" s="60">
        <f>1/5</f>
        <v>0.2</v>
      </c>
      <c r="AL14" s="60"/>
      <c r="AM14" s="60">
        <v>7</v>
      </c>
      <c r="AN14" s="60"/>
      <c r="AO14" s="60">
        <v>5</v>
      </c>
      <c r="AP14" s="60"/>
      <c r="AQ14" s="60">
        <v>3</v>
      </c>
      <c r="AR14" s="60"/>
      <c r="AS14" s="60">
        <f>1/7</f>
        <v>0.14285714285714285</v>
      </c>
      <c r="AT14" s="60"/>
    </row>
    <row r="15" spans="2:46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</row>
    <row r="16" spans="2:46" ht="15" customHeight="1" x14ac:dyDescent="0.35">
      <c r="B16" s="79" t="s">
        <v>2</v>
      </c>
      <c r="C16" s="79"/>
      <c r="D16" s="79"/>
      <c r="E16" s="2">
        <v>9</v>
      </c>
      <c r="F16" s="2">
        <v>8</v>
      </c>
      <c r="G16" s="2">
        <v>7</v>
      </c>
      <c r="H16" s="2">
        <v>6</v>
      </c>
      <c r="I16" s="2">
        <v>5</v>
      </c>
      <c r="J16" s="2">
        <v>4</v>
      </c>
      <c r="K16" s="2">
        <v>3</v>
      </c>
      <c r="L16" s="2">
        <v>2</v>
      </c>
      <c r="M16" s="2">
        <v>1</v>
      </c>
      <c r="N16" s="2">
        <v>2</v>
      </c>
      <c r="O16" s="2">
        <v>3</v>
      </c>
      <c r="P16" s="2">
        <v>4</v>
      </c>
      <c r="Q16" s="2">
        <v>5</v>
      </c>
      <c r="R16" s="2">
        <v>6</v>
      </c>
      <c r="S16" s="2">
        <v>7</v>
      </c>
      <c r="T16" s="2">
        <v>8</v>
      </c>
      <c r="U16" s="2">
        <v>9</v>
      </c>
      <c r="V16" s="79" t="s">
        <v>3</v>
      </c>
      <c r="W16" s="79"/>
      <c r="X16" s="79"/>
      <c r="AA16" s="60" t="s">
        <v>32</v>
      </c>
      <c r="AB16" s="60"/>
      <c r="AC16" s="60">
        <v>5</v>
      </c>
      <c r="AD16" s="60"/>
      <c r="AE16" s="60">
        <v>4</v>
      </c>
      <c r="AF16" s="60"/>
      <c r="AG16" s="60">
        <v>5</v>
      </c>
      <c r="AH16" s="60"/>
      <c r="AI16" s="60">
        <v>5</v>
      </c>
      <c r="AJ16" s="60"/>
      <c r="AK16" s="62">
        <v>1</v>
      </c>
      <c r="AL16" s="62"/>
      <c r="AM16" s="60">
        <f>1/7</f>
        <v>0.14285714285714285</v>
      </c>
      <c r="AN16" s="60"/>
      <c r="AO16" s="60">
        <v>7</v>
      </c>
      <c r="AP16" s="60"/>
      <c r="AQ16" s="60">
        <v>7</v>
      </c>
      <c r="AR16" s="60"/>
      <c r="AS16" s="60">
        <f>1/9</f>
        <v>0.1111111111111111</v>
      </c>
      <c r="AT16" s="60"/>
    </row>
    <row r="17" spans="2:46" x14ac:dyDescent="0.35">
      <c r="B17" s="80" t="s">
        <v>85</v>
      </c>
      <c r="C17" s="80"/>
      <c r="D17" s="80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</row>
    <row r="18" spans="2:46" ht="15" customHeight="1" x14ac:dyDescent="0.35">
      <c r="B18" s="80" t="s">
        <v>85</v>
      </c>
      <c r="C18" s="80"/>
      <c r="D18" s="80"/>
      <c r="E18" s="2"/>
      <c r="F18" s="2"/>
      <c r="G18" s="3"/>
      <c r="H18" s="2"/>
      <c r="I18" s="2"/>
      <c r="J18" s="2"/>
      <c r="K18" s="5"/>
      <c r="L18" s="2"/>
      <c r="M18" s="2"/>
      <c r="N18" s="2"/>
      <c r="O18" s="2"/>
      <c r="P18" s="2"/>
      <c r="Q18" s="2"/>
      <c r="R18" s="2"/>
      <c r="S18" s="2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v>3</v>
      </c>
      <c r="AD18" s="60"/>
      <c r="AE18" s="60">
        <f>1/7</f>
        <v>0.14285714285714285</v>
      </c>
      <c r="AF18" s="60"/>
      <c r="AG18" s="60">
        <f>1/3</f>
        <v>0.33333333333333331</v>
      </c>
      <c r="AH18" s="60"/>
      <c r="AI18" s="60">
        <f>1/7</f>
        <v>0.14285714285714285</v>
      </c>
      <c r="AJ18" s="60"/>
      <c r="AK18" s="60">
        <v>7</v>
      </c>
      <c r="AL18" s="60"/>
      <c r="AM18" s="62">
        <v>1</v>
      </c>
      <c r="AN18" s="62"/>
      <c r="AO18" s="60">
        <f>1/3</f>
        <v>0.33333333333333331</v>
      </c>
      <c r="AP18" s="60"/>
      <c r="AQ18" s="60">
        <v>5</v>
      </c>
      <c r="AR18" s="60"/>
      <c r="AS18" s="60">
        <v>7</v>
      </c>
      <c r="AT18" s="60"/>
    </row>
    <row r="19" spans="2:46" x14ac:dyDescent="0.35">
      <c r="B19" s="80" t="s">
        <v>85</v>
      </c>
      <c r="C19" s="80"/>
      <c r="D19" s="80"/>
      <c r="E19" s="2"/>
      <c r="F19" s="2"/>
      <c r="G19" s="2"/>
      <c r="H19" s="2"/>
      <c r="I19" s="2"/>
      <c r="J19" s="3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</row>
    <row r="20" spans="2:46" ht="15" customHeight="1" x14ac:dyDescent="0.35">
      <c r="B20" s="80" t="s">
        <v>85</v>
      </c>
      <c r="C20" s="80"/>
      <c r="D20" s="8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f>1/7</f>
        <v>0.14285714285714285</v>
      </c>
      <c r="AD20" s="60"/>
      <c r="AE20" s="60">
        <f>1/3</f>
        <v>0.33333333333333331</v>
      </c>
      <c r="AF20" s="60"/>
      <c r="AG20" s="60">
        <f>1/5</f>
        <v>0.2</v>
      </c>
      <c r="AH20" s="60"/>
      <c r="AI20" s="60">
        <f>1/5</f>
        <v>0.2</v>
      </c>
      <c r="AJ20" s="60"/>
      <c r="AK20" s="60">
        <f>1/7</f>
        <v>0.14285714285714285</v>
      </c>
      <c r="AL20" s="60"/>
      <c r="AM20" s="60">
        <v>3</v>
      </c>
      <c r="AN20" s="60"/>
      <c r="AO20" s="62">
        <v>1</v>
      </c>
      <c r="AP20" s="62"/>
      <c r="AQ20" s="60">
        <v>5</v>
      </c>
      <c r="AR20" s="60"/>
      <c r="AS20" s="60">
        <f>1/3</f>
        <v>0.33333333333333331</v>
      </c>
      <c r="AT20" s="60"/>
    </row>
    <row r="21" spans="2:46" x14ac:dyDescent="0.35">
      <c r="B21" s="80" t="s">
        <v>85</v>
      </c>
      <c r="C21" s="80"/>
      <c r="D21" s="80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5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0"/>
      <c r="AT21" s="60"/>
    </row>
    <row r="22" spans="2:46" ht="15" customHeight="1" x14ac:dyDescent="0.35">
      <c r="B22" s="80" t="s">
        <v>85</v>
      </c>
      <c r="C22" s="80"/>
      <c r="D22" s="8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  <c r="R22" s="2"/>
      <c r="S22" s="2"/>
      <c r="T22" s="2"/>
      <c r="U22" s="2"/>
      <c r="V22" s="80" t="s">
        <v>86</v>
      </c>
      <c r="W22" s="80"/>
      <c r="X22" s="80"/>
      <c r="AA22" s="60" t="s">
        <v>80</v>
      </c>
      <c r="AB22" s="60"/>
      <c r="AC22" s="60">
        <f>1/3</f>
        <v>0.33333333333333331</v>
      </c>
      <c r="AD22" s="60"/>
      <c r="AE22" s="60">
        <f>1/5</f>
        <v>0.2</v>
      </c>
      <c r="AF22" s="60"/>
      <c r="AG22" s="60">
        <v>3</v>
      </c>
      <c r="AH22" s="60"/>
      <c r="AI22" s="60">
        <f>1/3</f>
        <v>0.33333333333333331</v>
      </c>
      <c r="AJ22" s="60"/>
      <c r="AK22" s="60">
        <f>1/7</f>
        <v>0.14285714285714285</v>
      </c>
      <c r="AL22" s="60"/>
      <c r="AM22" s="60">
        <f>1/5</f>
        <v>0.2</v>
      </c>
      <c r="AN22" s="60"/>
      <c r="AO22" s="60">
        <f>1/5</f>
        <v>0.2</v>
      </c>
      <c r="AP22" s="60"/>
      <c r="AQ22" s="62">
        <v>1</v>
      </c>
      <c r="AR22" s="62"/>
      <c r="AS22" s="60">
        <v>9</v>
      </c>
      <c r="AT22" s="60"/>
    </row>
    <row r="23" spans="2:46" x14ac:dyDescent="0.35">
      <c r="B23" s="80" t="s">
        <v>85</v>
      </c>
      <c r="C23" s="80"/>
      <c r="D23" s="80"/>
      <c r="E23" s="2"/>
      <c r="F23" s="2"/>
      <c r="G23" s="2"/>
      <c r="H23" s="2"/>
      <c r="I23" s="2"/>
      <c r="J23" s="2"/>
      <c r="K23" s="2"/>
      <c r="L23" s="2"/>
      <c r="M23" s="2"/>
      <c r="N23" s="2"/>
      <c r="O23" s="5"/>
      <c r="P23" s="2"/>
      <c r="Q23" s="2"/>
      <c r="R23" s="2"/>
      <c r="S23" s="2"/>
      <c r="T23" s="2"/>
      <c r="U23" s="3"/>
      <c r="V23" s="80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</row>
    <row r="24" spans="2:46" ht="15" customHeight="1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v>5</v>
      </c>
      <c r="AD24" s="60"/>
      <c r="AE24" s="60">
        <f>1/9</f>
        <v>0.1111111111111111</v>
      </c>
      <c r="AF24" s="60"/>
      <c r="AG24" s="60">
        <v>7</v>
      </c>
      <c r="AH24" s="60"/>
      <c r="AI24" s="60">
        <v>7</v>
      </c>
      <c r="AJ24" s="60"/>
      <c r="AK24" s="60">
        <v>9</v>
      </c>
      <c r="AL24" s="60"/>
      <c r="AM24" s="60">
        <f>1/7</f>
        <v>0.14285714285714285</v>
      </c>
      <c r="AN24" s="60"/>
      <c r="AO24" s="60">
        <v>3</v>
      </c>
      <c r="AP24" s="60"/>
      <c r="AQ24" s="60">
        <f>1/9</f>
        <v>0.1111111111111111</v>
      </c>
      <c r="AR24" s="60"/>
      <c r="AS24" s="62">
        <v>1</v>
      </c>
      <c r="AT24" s="62"/>
    </row>
    <row r="25" spans="2:46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</row>
    <row r="26" spans="2:46" x14ac:dyDescent="0.35">
      <c r="B26" s="80" t="s">
        <v>4</v>
      </c>
      <c r="C26" s="80"/>
      <c r="D26" s="8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2"/>
      <c r="U26" s="2"/>
      <c r="V26" s="80" t="s">
        <v>5</v>
      </c>
      <c r="W26" s="80"/>
      <c r="X26" s="80"/>
    </row>
    <row r="27" spans="2:46" x14ac:dyDescent="0.35">
      <c r="B27" s="80" t="s">
        <v>4</v>
      </c>
      <c r="C27" s="80"/>
      <c r="D27" s="80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</row>
    <row r="28" spans="2:46" x14ac:dyDescent="0.35">
      <c r="B28" s="80" t="s">
        <v>4</v>
      </c>
      <c r="C28" s="80"/>
      <c r="D28" s="80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  <c r="V28" s="80" t="s">
        <v>7</v>
      </c>
      <c r="W28" s="80"/>
      <c r="X28" s="80"/>
    </row>
    <row r="29" spans="2:46" x14ac:dyDescent="0.35">
      <c r="B29" s="80" t="s">
        <v>4</v>
      </c>
      <c r="C29" s="80"/>
      <c r="D29" s="8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2"/>
      <c r="S29" s="2"/>
      <c r="T29" s="2"/>
      <c r="U29" s="2"/>
      <c r="V29" s="80" t="s">
        <v>8</v>
      </c>
      <c r="W29" s="80"/>
      <c r="X29" s="80"/>
    </row>
    <row r="30" spans="2:46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80" t="s">
        <v>86</v>
      </c>
      <c r="W30" s="80"/>
      <c r="X30" s="80"/>
    </row>
    <row r="31" spans="2:46" x14ac:dyDescent="0.35">
      <c r="B31" s="80" t="s">
        <v>4</v>
      </c>
      <c r="C31" s="80"/>
      <c r="D31" s="80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0" t="s">
        <v>9</v>
      </c>
      <c r="W31" s="80"/>
      <c r="X31" s="80"/>
    </row>
    <row r="32" spans="2:46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</row>
    <row r="34" spans="2:24" x14ac:dyDescent="0.35">
      <c r="B34" s="80" t="s">
        <v>5</v>
      </c>
      <c r="C34" s="80"/>
      <c r="D34" s="80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</row>
    <row r="35" spans="2:24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2"/>
      <c r="U35" s="2"/>
      <c r="V35" s="80" t="s">
        <v>7</v>
      </c>
      <c r="W35" s="80"/>
      <c r="X35" s="80"/>
    </row>
    <row r="36" spans="2:24" x14ac:dyDescent="0.35">
      <c r="B36" s="80" t="s">
        <v>5</v>
      </c>
      <c r="C36" s="80"/>
      <c r="D36" s="8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2"/>
      <c r="S36" s="2"/>
      <c r="T36" s="2"/>
      <c r="U36" s="5"/>
      <c r="V36" s="80" t="s">
        <v>8</v>
      </c>
      <c r="W36" s="80"/>
      <c r="X36" s="80"/>
    </row>
    <row r="37" spans="2:24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80" t="s">
        <v>86</v>
      </c>
      <c r="W37" s="80"/>
      <c r="X37" s="80"/>
    </row>
    <row r="38" spans="2:24" x14ac:dyDescent="0.35">
      <c r="B38" s="80" t="s">
        <v>5</v>
      </c>
      <c r="C38" s="80"/>
      <c r="D38" s="80"/>
      <c r="E38" s="2"/>
      <c r="F38" s="2"/>
      <c r="G38" s="3"/>
      <c r="H38" s="2"/>
      <c r="I38" s="2"/>
      <c r="J38" s="2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80" t="s">
        <v>9</v>
      </c>
      <c r="W38" s="80"/>
      <c r="X38" s="80"/>
    </row>
    <row r="39" spans="2:24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2:24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</row>
    <row r="41" spans="2:24" x14ac:dyDescent="0.35">
      <c r="B41" s="80" t="s">
        <v>6</v>
      </c>
      <c r="C41" s="80"/>
      <c r="D41" s="80"/>
      <c r="E41" s="2"/>
      <c r="F41" s="2"/>
      <c r="G41" s="3"/>
      <c r="H41" s="2"/>
      <c r="I41" s="2"/>
      <c r="J41" s="2"/>
      <c r="K41" s="2"/>
      <c r="L41" s="2"/>
      <c r="M41" s="2"/>
      <c r="N41" s="2"/>
      <c r="O41" s="5"/>
      <c r="P41" s="2"/>
      <c r="Q41" s="5"/>
      <c r="R41" s="2"/>
      <c r="S41" s="2"/>
      <c r="T41" s="2"/>
      <c r="U41" s="2"/>
      <c r="V41" s="80" t="s">
        <v>7</v>
      </c>
      <c r="W41" s="80"/>
      <c r="X41" s="80"/>
    </row>
    <row r="42" spans="2:24" ht="15" customHeight="1" x14ac:dyDescent="0.35">
      <c r="B42" s="80" t="s">
        <v>6</v>
      </c>
      <c r="C42" s="80"/>
      <c r="D42" s="8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"/>
      <c r="Q42" s="5"/>
      <c r="R42" s="2"/>
      <c r="S42" s="3"/>
      <c r="T42" s="2"/>
      <c r="U42" s="2"/>
      <c r="V42" s="80" t="s">
        <v>8</v>
      </c>
      <c r="W42" s="80"/>
      <c r="X42" s="80"/>
    </row>
    <row r="43" spans="2:24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5"/>
      <c r="L43" s="2"/>
      <c r="M43" s="2"/>
      <c r="N43" s="2"/>
      <c r="O43" s="5"/>
      <c r="P43" s="2"/>
      <c r="Q43" s="2"/>
      <c r="R43" s="2"/>
      <c r="S43" s="3"/>
      <c r="T43" s="2"/>
      <c r="U43" s="2"/>
      <c r="V43" s="80" t="s">
        <v>86</v>
      </c>
      <c r="W43" s="80"/>
      <c r="X43" s="80"/>
    </row>
    <row r="44" spans="2:24" ht="15" customHeight="1" x14ac:dyDescent="0.35">
      <c r="B44" s="80" t="s">
        <v>6</v>
      </c>
      <c r="C44" s="80"/>
      <c r="D44" s="80"/>
      <c r="E44" s="3"/>
      <c r="F44" s="2"/>
      <c r="G44" s="2"/>
      <c r="H44" s="2"/>
      <c r="I44" s="2"/>
      <c r="J44" s="2"/>
      <c r="K44" s="2"/>
      <c r="L44" s="2"/>
      <c r="M44" s="2"/>
      <c r="N44" s="2"/>
      <c r="O44" s="5"/>
      <c r="P44" s="2"/>
      <c r="Q44" s="2"/>
      <c r="R44" s="2"/>
      <c r="S44" s="2"/>
      <c r="T44" s="2"/>
      <c r="U44" s="5"/>
      <c r="V44" s="80" t="s">
        <v>9</v>
      </c>
      <c r="W44" s="80"/>
      <c r="X44" s="80"/>
    </row>
    <row r="45" spans="2:24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ht="15" customHeight="1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</row>
    <row r="47" spans="2:24" x14ac:dyDescent="0.35">
      <c r="B47" s="80" t="s">
        <v>7</v>
      </c>
      <c r="C47" s="80"/>
      <c r="D47" s="80"/>
      <c r="E47" s="2"/>
      <c r="F47" s="2"/>
      <c r="G47" s="5"/>
      <c r="H47" s="2"/>
      <c r="I47" s="2"/>
      <c r="J47" s="2"/>
      <c r="K47" s="3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</row>
    <row r="48" spans="2:24" ht="15" customHeight="1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5"/>
      <c r="P48" s="2"/>
      <c r="Q48" s="3"/>
      <c r="R48" s="2"/>
      <c r="S48" s="2"/>
      <c r="T48" s="2"/>
      <c r="U48" s="2"/>
      <c r="V48" s="80" t="s">
        <v>86</v>
      </c>
      <c r="W48" s="80"/>
      <c r="X48" s="80"/>
    </row>
    <row r="49" spans="2:44" x14ac:dyDescent="0.35">
      <c r="B49" s="80" t="s">
        <v>7</v>
      </c>
      <c r="C49" s="80"/>
      <c r="D49" s="80"/>
      <c r="E49" s="5"/>
      <c r="F49" s="2"/>
      <c r="G49" s="2"/>
      <c r="H49" s="2"/>
      <c r="I49" s="2"/>
      <c r="J49" s="2"/>
      <c r="K49" s="2"/>
      <c r="L49" s="2"/>
      <c r="M49" s="2"/>
      <c r="N49" s="2"/>
      <c r="O49" s="5"/>
      <c r="P49" s="2"/>
      <c r="Q49" s="2"/>
      <c r="R49" s="2"/>
      <c r="S49" s="3"/>
      <c r="T49" s="2"/>
      <c r="U49" s="2"/>
      <c r="V49" s="80" t="s">
        <v>9</v>
      </c>
      <c r="W49" s="80"/>
      <c r="X49" s="80"/>
    </row>
    <row r="50" spans="2:44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2:44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</row>
    <row r="52" spans="2:44" ht="15" customHeight="1" x14ac:dyDescent="0.35">
      <c r="B52" s="80" t="s">
        <v>8</v>
      </c>
      <c r="C52" s="80"/>
      <c r="D52" s="80"/>
      <c r="E52" s="2"/>
      <c r="F52" s="2"/>
      <c r="G52" s="2"/>
      <c r="H52" s="2"/>
      <c r="I52" s="2"/>
      <c r="J52" s="2"/>
      <c r="K52" s="5"/>
      <c r="L52" s="2"/>
      <c r="M52" s="2"/>
      <c r="N52" s="2"/>
      <c r="O52" s="2"/>
      <c r="P52" s="2"/>
      <c r="Q52" s="3"/>
      <c r="R52" s="2"/>
      <c r="S52" s="2"/>
      <c r="T52" s="2"/>
      <c r="U52" s="2"/>
      <c r="V52" s="80" t="s">
        <v>86</v>
      </c>
      <c r="W52" s="80"/>
      <c r="X52" s="80"/>
    </row>
    <row r="53" spans="2:44" x14ac:dyDescent="0.35">
      <c r="B53" s="80" t="s">
        <v>8</v>
      </c>
      <c r="C53" s="80"/>
      <c r="D53" s="80"/>
      <c r="E53" s="2"/>
      <c r="F53" s="2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80" t="s">
        <v>9</v>
      </c>
      <c r="W53" s="80"/>
      <c r="X53" s="80"/>
    </row>
    <row r="54" spans="2:44" ht="15" customHeight="1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2:44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</row>
    <row r="56" spans="2:44" ht="15" customHeight="1" x14ac:dyDescent="0.35">
      <c r="B56" s="80" t="s">
        <v>86</v>
      </c>
      <c r="C56" s="80"/>
      <c r="D56" s="80"/>
      <c r="E56" s="2"/>
      <c r="F56" s="5"/>
      <c r="G56" s="2"/>
      <c r="H56" s="2"/>
      <c r="I56" s="2"/>
      <c r="J56" s="2"/>
      <c r="K56" s="2"/>
      <c r="L56" s="5"/>
      <c r="M56" s="2"/>
      <c r="N56" s="2"/>
      <c r="O56" s="2"/>
      <c r="P56" s="2"/>
      <c r="Q56" s="2"/>
      <c r="R56" s="2"/>
      <c r="S56" s="2"/>
      <c r="T56" s="2"/>
      <c r="U56" s="3"/>
      <c r="V56" s="80" t="s">
        <v>9</v>
      </c>
      <c r="W56" s="80"/>
      <c r="X56" s="80"/>
    </row>
    <row r="59" spans="2:44" x14ac:dyDescent="0.35">
      <c r="B59" s="85" t="s">
        <v>10</v>
      </c>
      <c r="C59" s="85"/>
    </row>
    <row r="61" spans="2:44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75"/>
      <c r="AQ61" s="74"/>
      <c r="AR61" s="69"/>
    </row>
    <row r="62" spans="2:44" ht="15" customHeight="1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75"/>
      <c r="AQ62" s="74"/>
      <c r="AR62" s="69"/>
    </row>
    <row r="63" spans="2:44" x14ac:dyDescent="0.35">
      <c r="B63" s="80" t="s">
        <v>11</v>
      </c>
      <c r="C63" s="80"/>
      <c r="D63" s="8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5"/>
      <c r="R63" s="2"/>
      <c r="S63" s="3"/>
      <c r="T63" s="2"/>
      <c r="U63" s="2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3</v>
      </c>
      <c r="AF63" s="64"/>
      <c r="AG63" s="63">
        <v>7</v>
      </c>
      <c r="AH63" s="64"/>
      <c r="AI63" s="63">
        <v>7</v>
      </c>
      <c r="AJ63" s="64"/>
      <c r="AK63" s="63">
        <v>5</v>
      </c>
      <c r="AL63" s="64"/>
      <c r="AM63" s="63">
        <f>1/9</f>
        <v>0.1111111111111111</v>
      </c>
      <c r="AN63" s="64"/>
      <c r="AO63" s="63">
        <f>1/5</f>
        <v>0.2</v>
      </c>
      <c r="AP63" s="68"/>
      <c r="AQ63" s="74"/>
      <c r="AR63" s="69"/>
    </row>
    <row r="64" spans="2:44" ht="15" customHeight="1" x14ac:dyDescent="0.35">
      <c r="B64" s="80" t="s">
        <v>11</v>
      </c>
      <c r="C64" s="80"/>
      <c r="D64" s="80"/>
      <c r="E64" s="2"/>
      <c r="F64" s="2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78"/>
      <c r="AQ64" s="74"/>
      <c r="AR64" s="69"/>
    </row>
    <row r="65" spans="2:44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5"/>
      <c r="V65" s="81" t="s">
        <v>29</v>
      </c>
      <c r="W65" s="82"/>
      <c r="X65" s="83"/>
      <c r="AA65" s="60" t="s">
        <v>81</v>
      </c>
      <c r="AB65" s="60"/>
      <c r="AC65" s="60">
        <f>1/3</f>
        <v>0.33333333333333331</v>
      </c>
      <c r="AD65" s="60"/>
      <c r="AE65" s="62">
        <v>1</v>
      </c>
      <c r="AF65" s="62"/>
      <c r="AG65" s="60">
        <f>1/3</f>
        <v>0.33333333333333331</v>
      </c>
      <c r="AH65" s="60"/>
      <c r="AI65" s="60">
        <f>1/5</f>
        <v>0.2</v>
      </c>
      <c r="AJ65" s="60"/>
      <c r="AK65" s="60">
        <v>7</v>
      </c>
      <c r="AL65" s="60"/>
      <c r="AM65" s="60">
        <v>3</v>
      </c>
      <c r="AN65" s="60"/>
      <c r="AO65" s="60">
        <v>3</v>
      </c>
      <c r="AP65" s="75"/>
      <c r="AQ65" s="74"/>
      <c r="AR65" s="69"/>
    </row>
    <row r="66" spans="2:44" ht="15" customHeight="1" x14ac:dyDescent="0.35">
      <c r="B66" s="80" t="s">
        <v>11</v>
      </c>
      <c r="C66" s="80"/>
      <c r="D66" s="80"/>
      <c r="E66" s="3"/>
      <c r="F66" s="2"/>
      <c r="G66" s="2"/>
      <c r="H66" s="2"/>
      <c r="I66" s="2"/>
      <c r="J66" s="2"/>
      <c r="K66" s="2"/>
      <c r="L66" s="2"/>
      <c r="M66" s="2"/>
      <c r="N66" s="2"/>
      <c r="O66" s="5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75"/>
      <c r="AQ66" s="74"/>
      <c r="AR66" s="69"/>
    </row>
    <row r="67" spans="2:44" x14ac:dyDescent="0.35">
      <c r="B67" s="80" t="s">
        <v>11</v>
      </c>
      <c r="C67" s="80"/>
      <c r="D67" s="80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1" t="s">
        <v>30</v>
      </c>
      <c r="W67" s="82"/>
      <c r="X67" s="83"/>
      <c r="AA67" s="60" t="s">
        <v>27</v>
      </c>
      <c r="AB67" s="60"/>
      <c r="AC67" s="60">
        <f>1/7</f>
        <v>0.14285714285714285</v>
      </c>
      <c r="AD67" s="60"/>
      <c r="AE67" s="60">
        <v>3</v>
      </c>
      <c r="AF67" s="60"/>
      <c r="AG67" s="62">
        <v>1</v>
      </c>
      <c r="AH67" s="62"/>
      <c r="AI67" s="60">
        <f>1/9</f>
        <v>0.1111111111111111</v>
      </c>
      <c r="AJ67" s="60"/>
      <c r="AK67" s="60">
        <v>5</v>
      </c>
      <c r="AL67" s="60"/>
      <c r="AM67" s="60">
        <f>1/7</f>
        <v>0.14285714285714285</v>
      </c>
      <c r="AN67" s="60"/>
      <c r="AO67" s="60">
        <f>1/6</f>
        <v>0.16666666666666666</v>
      </c>
      <c r="AP67" s="75"/>
      <c r="AQ67" s="74"/>
      <c r="AR67" s="69"/>
    </row>
    <row r="68" spans="2:44" ht="15" customHeight="1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75"/>
      <c r="AQ68" s="74"/>
      <c r="AR68" s="69"/>
    </row>
    <row r="69" spans="2:44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f>1/7</f>
        <v>0.14285714285714285</v>
      </c>
      <c r="AD69" s="60"/>
      <c r="AE69" s="60">
        <v>5</v>
      </c>
      <c r="AF69" s="60"/>
      <c r="AG69" s="60">
        <v>9</v>
      </c>
      <c r="AH69" s="60"/>
      <c r="AI69" s="62">
        <v>1</v>
      </c>
      <c r="AJ69" s="62"/>
      <c r="AK69" s="60">
        <v>7</v>
      </c>
      <c r="AL69" s="60"/>
      <c r="AM69" s="60">
        <f>1/9</f>
        <v>0.1111111111111111</v>
      </c>
      <c r="AN69" s="60"/>
      <c r="AO69" s="60">
        <v>5</v>
      </c>
      <c r="AP69" s="75"/>
      <c r="AQ69" s="74"/>
      <c r="AR69" s="69"/>
    </row>
    <row r="70" spans="2:44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75"/>
      <c r="AQ70" s="74"/>
      <c r="AR70" s="69"/>
    </row>
    <row r="71" spans="2:44" x14ac:dyDescent="0.35">
      <c r="B71" s="80" t="s">
        <v>81</v>
      </c>
      <c r="C71" s="80"/>
      <c r="D71" s="80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1/7</f>
        <v>0.14285714285714285</v>
      </c>
      <c r="AF71" s="60"/>
      <c r="AG71" s="60">
        <f>1/5</f>
        <v>0.2</v>
      </c>
      <c r="AH71" s="60"/>
      <c r="AI71" s="60">
        <f>1/7</f>
        <v>0.14285714285714285</v>
      </c>
      <c r="AJ71" s="60"/>
      <c r="AK71" s="62">
        <v>1</v>
      </c>
      <c r="AL71" s="62"/>
      <c r="AM71" s="60">
        <f>1/5</f>
        <v>0.2</v>
      </c>
      <c r="AN71" s="60"/>
      <c r="AO71" s="60">
        <f>1/7</f>
        <v>0.14285714285714285</v>
      </c>
      <c r="AP71" s="75"/>
      <c r="AQ71" s="74"/>
      <c r="AR71" s="69"/>
    </row>
    <row r="72" spans="2:44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2"/>
      <c r="U72" s="2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75"/>
      <c r="AQ72" s="74"/>
      <c r="AR72" s="69"/>
    </row>
    <row r="73" spans="2:44" x14ac:dyDescent="0.35">
      <c r="B73" s="80" t="s">
        <v>81</v>
      </c>
      <c r="C73" s="80"/>
      <c r="D73" s="80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v>9</v>
      </c>
      <c r="AD73" s="60"/>
      <c r="AE73" s="60">
        <f>1/3</f>
        <v>0.33333333333333331</v>
      </c>
      <c r="AF73" s="60"/>
      <c r="AG73" s="60">
        <v>7</v>
      </c>
      <c r="AH73" s="60"/>
      <c r="AI73" s="60">
        <v>9</v>
      </c>
      <c r="AJ73" s="60"/>
      <c r="AK73" s="60">
        <v>5</v>
      </c>
      <c r="AL73" s="60"/>
      <c r="AM73" s="62">
        <v>1</v>
      </c>
      <c r="AN73" s="62"/>
      <c r="AO73" s="60">
        <v>5</v>
      </c>
      <c r="AP73" s="75"/>
      <c r="AQ73" s="74"/>
      <c r="AR73" s="69"/>
    </row>
    <row r="74" spans="2:44" x14ac:dyDescent="0.35">
      <c r="B74" s="80" t="s">
        <v>81</v>
      </c>
      <c r="C74" s="80"/>
      <c r="D74" s="80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75"/>
      <c r="AQ74" s="74"/>
      <c r="AR74" s="69"/>
    </row>
    <row r="75" spans="2:44" x14ac:dyDescent="0.35">
      <c r="AA75" s="60" t="s">
        <v>91</v>
      </c>
      <c r="AB75" s="60"/>
      <c r="AC75" s="60">
        <v>5</v>
      </c>
      <c r="AD75" s="60"/>
      <c r="AE75" s="60">
        <f>1/3</f>
        <v>0.33333333333333331</v>
      </c>
      <c r="AF75" s="60"/>
      <c r="AG75" s="60">
        <v>5</v>
      </c>
      <c r="AH75" s="60"/>
      <c r="AI75" s="60">
        <f>1/5</f>
        <v>0.2</v>
      </c>
      <c r="AJ75" s="60"/>
      <c r="AK75" s="60">
        <v>7</v>
      </c>
      <c r="AL75" s="60"/>
      <c r="AM75" s="60">
        <f>1/5</f>
        <v>0.2</v>
      </c>
      <c r="AN75" s="60"/>
      <c r="AO75" s="62">
        <v>1</v>
      </c>
      <c r="AP75" s="76"/>
      <c r="AQ75" s="74"/>
      <c r="AR75" s="69"/>
    </row>
    <row r="76" spans="2:44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77"/>
      <c r="AP76" s="70"/>
      <c r="AQ76" s="74"/>
      <c r="AR76" s="69"/>
    </row>
    <row r="77" spans="2:44" x14ac:dyDescent="0.35">
      <c r="B77" s="81" t="s">
        <v>27</v>
      </c>
      <c r="C77" s="82"/>
      <c r="D77" s="8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9"/>
      <c r="AR77" s="69"/>
    </row>
    <row r="78" spans="2:44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5"/>
      <c r="P78" s="2"/>
      <c r="Q78" s="3"/>
      <c r="R78" s="2"/>
      <c r="S78" s="2"/>
      <c r="T78" s="2"/>
      <c r="U78" s="5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</row>
    <row r="79" spans="2:44" x14ac:dyDescent="0.35">
      <c r="B79" s="81" t="s">
        <v>27</v>
      </c>
      <c r="C79" s="82"/>
      <c r="D79" s="83"/>
      <c r="E79" s="2"/>
      <c r="F79" s="2"/>
      <c r="G79" s="3"/>
      <c r="H79" s="2"/>
      <c r="I79" s="5"/>
      <c r="J79" s="2"/>
      <c r="K79" s="2"/>
      <c r="L79" s="2"/>
      <c r="M79" s="2"/>
      <c r="N79" s="2"/>
      <c r="O79" s="5"/>
      <c r="P79" s="2"/>
      <c r="Q79" s="2"/>
      <c r="R79" s="2"/>
      <c r="S79" s="2"/>
      <c r="T79" s="2"/>
      <c r="U79" s="2"/>
      <c r="V79" s="81" t="s">
        <v>82</v>
      </c>
      <c r="W79" s="82"/>
      <c r="X79" s="83"/>
    </row>
    <row r="80" spans="2:44" x14ac:dyDescent="0.35">
      <c r="B80" s="81" t="s">
        <v>27</v>
      </c>
      <c r="C80" s="82"/>
      <c r="D80" s="83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81" t="s">
        <v>30</v>
      </c>
      <c r="W80" s="82"/>
      <c r="X80" s="83"/>
    </row>
    <row r="82" spans="2:24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</row>
    <row r="83" spans="2:24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2"/>
      <c r="Q83" s="2"/>
      <c r="R83" s="2"/>
      <c r="S83" s="3"/>
      <c r="T83" s="2"/>
      <c r="U83" s="2"/>
      <c r="V83" s="81" t="s">
        <v>29</v>
      </c>
      <c r="W83" s="82"/>
      <c r="X83" s="83"/>
    </row>
    <row r="84" spans="2:24" x14ac:dyDescent="0.35">
      <c r="B84" s="81" t="s">
        <v>28</v>
      </c>
      <c r="C84" s="82"/>
      <c r="D84" s="83"/>
      <c r="E84" s="3"/>
      <c r="F84" s="2"/>
      <c r="G84" s="2"/>
      <c r="H84" s="2"/>
      <c r="I84" s="2"/>
      <c r="J84" s="2"/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  <c r="V84" s="81" t="s">
        <v>82</v>
      </c>
      <c r="W84" s="82"/>
      <c r="X84" s="83"/>
    </row>
    <row r="85" spans="2:24" x14ac:dyDescent="0.35">
      <c r="B85" s="81" t="s">
        <v>28</v>
      </c>
      <c r="C85" s="82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5"/>
      <c r="P85" s="2"/>
      <c r="Q85" s="3"/>
      <c r="R85" s="2"/>
      <c r="S85" s="2"/>
      <c r="T85" s="2"/>
      <c r="U85" s="2"/>
      <c r="V85" s="81" t="s">
        <v>30</v>
      </c>
      <c r="W85" s="82"/>
      <c r="X85" s="83"/>
    </row>
    <row r="87" spans="2:24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</row>
    <row r="88" spans="2:24" x14ac:dyDescent="0.35">
      <c r="B88" s="81" t="s">
        <v>29</v>
      </c>
      <c r="C88" s="82"/>
      <c r="D88" s="83"/>
      <c r="E88" s="2"/>
      <c r="F88" s="2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1" t="s">
        <v>82</v>
      </c>
      <c r="W88" s="82"/>
      <c r="X88" s="83"/>
    </row>
    <row r="89" spans="2:24" x14ac:dyDescent="0.35">
      <c r="B89" s="81" t="s">
        <v>29</v>
      </c>
      <c r="C89" s="82"/>
      <c r="D89" s="83"/>
      <c r="E89" s="3"/>
      <c r="F89" s="2"/>
      <c r="G89" s="2"/>
      <c r="H89" s="2"/>
      <c r="I89" s="2"/>
      <c r="J89" s="2"/>
      <c r="K89" s="2"/>
      <c r="L89" s="2"/>
      <c r="M89" s="2"/>
      <c r="N89" s="2"/>
      <c r="O89" s="5"/>
      <c r="P89" s="2"/>
      <c r="Q89" s="2"/>
      <c r="R89" s="2"/>
      <c r="S89" s="2"/>
      <c r="T89" s="2"/>
      <c r="U89" s="2"/>
      <c r="V89" s="81" t="s">
        <v>30</v>
      </c>
      <c r="W89" s="82"/>
      <c r="X89" s="83"/>
    </row>
    <row r="91" spans="2:24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</row>
    <row r="92" spans="2:24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81" t="s">
        <v>30</v>
      </c>
      <c r="W92" s="82"/>
      <c r="X92" s="83"/>
    </row>
    <row r="95" spans="2:24" x14ac:dyDescent="0.35">
      <c r="B95" s="84" t="s">
        <v>12</v>
      </c>
      <c r="C95" s="84"/>
      <c r="D95" s="84"/>
    </row>
    <row r="96" spans="2:24" ht="15" customHeight="1" x14ac:dyDescent="0.35">
      <c r="B96" s="7"/>
      <c r="C96" s="7"/>
      <c r="D96" s="7"/>
    </row>
    <row r="97" spans="2:44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</row>
    <row r="98" spans="2:44" ht="15" customHeight="1" x14ac:dyDescent="0.35">
      <c r="B98" s="80" t="s">
        <v>13</v>
      </c>
      <c r="C98" s="80"/>
      <c r="D98" s="80"/>
      <c r="E98" s="2"/>
      <c r="F98" s="2"/>
      <c r="G98" s="5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</row>
    <row r="99" spans="2:44" x14ac:dyDescent="0.35">
      <c r="B99" s="80" t="s">
        <v>13</v>
      </c>
      <c r="C99" s="80"/>
      <c r="D99" s="80"/>
      <c r="E99" s="2"/>
      <c r="F99" s="2"/>
      <c r="G99" s="2"/>
      <c r="H99" s="2"/>
      <c r="I99" s="2"/>
      <c r="J99" s="2"/>
      <c r="K99" s="5"/>
      <c r="L99" s="2"/>
      <c r="M99" s="2"/>
      <c r="N99" s="2"/>
      <c r="O99" s="2"/>
      <c r="P99" s="2"/>
      <c r="Q99" s="2"/>
      <c r="R99" s="2"/>
      <c r="S99" s="2"/>
      <c r="T99" s="2"/>
      <c r="U99" s="3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v>5</v>
      </c>
      <c r="AF99" s="60"/>
      <c r="AG99" s="63">
        <f>1/9</f>
        <v>0.1111111111111111</v>
      </c>
      <c r="AH99" s="64"/>
    </row>
    <row r="100" spans="2:44" x14ac:dyDescent="0.35">
      <c r="AA100" s="60"/>
      <c r="AB100" s="60"/>
      <c r="AC100" s="62"/>
      <c r="AD100" s="62"/>
      <c r="AE100" s="60"/>
      <c r="AF100" s="60"/>
      <c r="AG100" s="65"/>
      <c r="AH100" s="66"/>
    </row>
    <row r="101" spans="2:44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f>1/5</f>
        <v>0.2</v>
      </c>
      <c r="AD101" s="60"/>
      <c r="AE101" s="62">
        <v>1</v>
      </c>
      <c r="AF101" s="62"/>
      <c r="AG101" s="60">
        <f>1/3</f>
        <v>0.33333333333333331</v>
      </c>
      <c r="AH101" s="60"/>
    </row>
    <row r="102" spans="2:44" ht="15" customHeight="1" x14ac:dyDescent="0.35">
      <c r="B102" s="80" t="s">
        <v>14</v>
      </c>
      <c r="C102" s="80"/>
      <c r="D102" s="80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</row>
    <row r="103" spans="2:44" x14ac:dyDescent="0.35">
      <c r="AA103" s="60" t="s">
        <v>15</v>
      </c>
      <c r="AB103" s="60"/>
      <c r="AC103" s="60">
        <v>9</v>
      </c>
      <c r="AD103" s="60"/>
      <c r="AE103" s="60">
        <v>3</v>
      </c>
      <c r="AF103" s="60"/>
      <c r="AG103" s="62">
        <v>1</v>
      </c>
      <c r="AH103" s="62"/>
    </row>
    <row r="104" spans="2:44" x14ac:dyDescent="0.35">
      <c r="AA104" s="60"/>
      <c r="AB104" s="60"/>
      <c r="AC104" s="60"/>
      <c r="AD104" s="60"/>
      <c r="AE104" s="60"/>
      <c r="AF104" s="60"/>
      <c r="AG104" s="62"/>
      <c r="AH104" s="62"/>
    </row>
    <row r="105" spans="2:44" x14ac:dyDescent="0.35">
      <c r="B105" s="8" t="s">
        <v>16</v>
      </c>
    </row>
    <row r="107" spans="2:44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</row>
    <row r="108" spans="2:44" x14ac:dyDescent="0.35">
      <c r="B108" s="80" t="s">
        <v>17</v>
      </c>
      <c r="C108" s="80"/>
      <c r="D108" s="8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2:44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2"/>
      <c r="U109" s="2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v>5</v>
      </c>
      <c r="AF109" s="60"/>
      <c r="AG109" s="63">
        <v>7</v>
      </c>
      <c r="AH109" s="64"/>
      <c r="AI109" s="60">
        <v>7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v>3</v>
      </c>
      <c r="AR109" s="60"/>
    </row>
    <row r="110" spans="2:44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2:44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f>1/5</f>
        <v>0.2</v>
      </c>
      <c r="AD111" s="60"/>
      <c r="AE111" s="62">
        <v>1</v>
      </c>
      <c r="AF111" s="62"/>
      <c r="AG111" s="60">
        <f>1/6</f>
        <v>0.16666666666666666</v>
      </c>
      <c r="AH111" s="60"/>
      <c r="AI111" s="60">
        <v>7</v>
      </c>
      <c r="AJ111" s="60"/>
      <c r="AK111" s="60">
        <f>1/5</f>
        <v>0.2</v>
      </c>
      <c r="AL111" s="60"/>
      <c r="AM111" s="60">
        <v>3</v>
      </c>
      <c r="AN111" s="60"/>
      <c r="AO111" s="60">
        <v>7</v>
      </c>
      <c r="AP111" s="60"/>
      <c r="AQ111" s="60">
        <f>1/9</f>
        <v>0.1111111111111111</v>
      </c>
      <c r="AR111" s="60"/>
    </row>
    <row r="112" spans="2:44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2:44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1/7</f>
        <v>0.14285714285714285</v>
      </c>
      <c r="AD113" s="60"/>
      <c r="AE113" s="60">
        <v>6</v>
      </c>
      <c r="AF113" s="60"/>
      <c r="AG113" s="62">
        <v>1</v>
      </c>
      <c r="AH113" s="62"/>
      <c r="AI113" s="60">
        <f>1/4</f>
        <v>0.25</v>
      </c>
      <c r="AJ113" s="60"/>
      <c r="AK113" s="60">
        <f>1/9</f>
        <v>0.1111111111111111</v>
      </c>
      <c r="AL113" s="60"/>
      <c r="AM113" s="60">
        <f>1/5</f>
        <v>0.2</v>
      </c>
      <c r="AN113" s="60"/>
      <c r="AO113" s="60">
        <v>5</v>
      </c>
      <c r="AP113" s="60"/>
      <c r="AQ113" s="60">
        <v>3</v>
      </c>
      <c r="AR113" s="60"/>
    </row>
    <row r="114" spans="2:44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2:44" x14ac:dyDescent="0.35">
      <c r="AA115" s="60" t="s">
        <v>31</v>
      </c>
      <c r="AB115" s="60"/>
      <c r="AC115" s="60">
        <f>1/7</f>
        <v>0.14285714285714285</v>
      </c>
      <c r="AD115" s="60"/>
      <c r="AE115" s="60">
        <f>1/7</f>
        <v>0.14285714285714285</v>
      </c>
      <c r="AF115" s="60"/>
      <c r="AG115" s="60">
        <v>4</v>
      </c>
      <c r="AH115" s="60"/>
      <c r="AI115" s="62">
        <v>1</v>
      </c>
      <c r="AJ115" s="62"/>
      <c r="AK115" s="60">
        <f>1/5</f>
        <v>0.2</v>
      </c>
      <c r="AL115" s="60"/>
      <c r="AM115" s="60">
        <v>3</v>
      </c>
      <c r="AN115" s="60"/>
      <c r="AO115" s="60">
        <v>5</v>
      </c>
      <c r="AP115" s="60"/>
      <c r="AQ115" s="60">
        <v>7</v>
      </c>
      <c r="AR115" s="60"/>
    </row>
    <row r="116" spans="2:44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</row>
    <row r="117" spans="2:44" x14ac:dyDescent="0.35">
      <c r="B117" s="80" t="s">
        <v>18</v>
      </c>
      <c r="C117" s="80"/>
      <c r="D117" s="80"/>
      <c r="E117" s="2"/>
      <c r="F117" s="2"/>
      <c r="G117" s="2"/>
      <c r="H117" s="3"/>
      <c r="I117" s="2"/>
      <c r="J117" s="2"/>
      <c r="K117" s="2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5</v>
      </c>
      <c r="AF117" s="60"/>
      <c r="AG117" s="60">
        <v>9</v>
      </c>
      <c r="AH117" s="60"/>
      <c r="AI117" s="60">
        <v>5</v>
      </c>
      <c r="AJ117" s="60"/>
      <c r="AK117" s="62">
        <v>1</v>
      </c>
      <c r="AL117" s="62"/>
      <c r="AM117" s="60">
        <v>5</v>
      </c>
      <c r="AN117" s="60"/>
      <c r="AO117" s="60">
        <v>9</v>
      </c>
      <c r="AP117" s="60"/>
      <c r="AQ117" s="60">
        <v>7</v>
      </c>
      <c r="AR117" s="60"/>
    </row>
    <row r="118" spans="2:44" x14ac:dyDescent="0.35">
      <c r="B118" s="80" t="s">
        <v>18</v>
      </c>
      <c r="C118" s="80"/>
      <c r="D118" s="80"/>
      <c r="E118" s="2"/>
      <c r="F118" s="2"/>
      <c r="G118" s="2"/>
      <c r="H118" s="2"/>
      <c r="I118" s="2"/>
      <c r="J118" s="2"/>
      <c r="K118" s="2"/>
      <c r="L118" s="5"/>
      <c r="M118" s="2"/>
      <c r="N118" s="2"/>
      <c r="O118" s="2"/>
      <c r="P118" s="2"/>
      <c r="Q118" s="2"/>
      <c r="R118" s="2"/>
      <c r="S118" s="3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</row>
    <row r="119" spans="2:44" x14ac:dyDescent="0.35">
      <c r="B119" s="80" t="s">
        <v>18</v>
      </c>
      <c r="C119" s="80"/>
      <c r="D119" s="80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f>1/3</f>
        <v>0.33333333333333331</v>
      </c>
      <c r="AF119" s="60"/>
      <c r="AG119" s="60">
        <v>5</v>
      </c>
      <c r="AH119" s="60"/>
      <c r="AI119" s="60">
        <f>1/3</f>
        <v>0.33333333333333331</v>
      </c>
      <c r="AJ119" s="60"/>
      <c r="AK119" s="60">
        <f>1/5</f>
        <v>0.2</v>
      </c>
      <c r="AL119" s="60"/>
      <c r="AM119" s="62">
        <v>1</v>
      </c>
      <c r="AN119" s="62"/>
      <c r="AO119" s="60">
        <v>7</v>
      </c>
      <c r="AP119" s="60"/>
      <c r="AQ119" s="60">
        <f>1/5</f>
        <v>0.2</v>
      </c>
      <c r="AR119" s="60"/>
    </row>
    <row r="120" spans="2:44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</row>
    <row r="121" spans="2:44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1/7</f>
        <v>0.14285714285714285</v>
      </c>
      <c r="AF121" s="60"/>
      <c r="AG121" s="60">
        <f>1/5</f>
        <v>0.2</v>
      </c>
      <c r="AH121" s="60"/>
      <c r="AI121" s="60">
        <f>1/5</f>
        <v>0.2</v>
      </c>
      <c r="AJ121" s="60"/>
      <c r="AK121" s="60">
        <f>1/9</f>
        <v>0.1111111111111111</v>
      </c>
      <c r="AL121" s="60"/>
      <c r="AM121" s="60">
        <f>1/7</f>
        <v>0.14285714285714285</v>
      </c>
      <c r="AN121" s="60"/>
      <c r="AO121" s="62">
        <v>1</v>
      </c>
      <c r="AP121" s="62"/>
      <c r="AQ121" s="60">
        <f>1/5</f>
        <v>0.2</v>
      </c>
      <c r="AR121" s="60"/>
    </row>
    <row r="122" spans="2:44" x14ac:dyDescent="0.35">
      <c r="B122" s="80" t="s">
        <v>18</v>
      </c>
      <c r="C122" s="80"/>
      <c r="D122" s="80"/>
      <c r="E122" s="3"/>
      <c r="F122" s="2"/>
      <c r="G122" s="2"/>
      <c r="H122" s="2"/>
      <c r="I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</row>
    <row r="123" spans="2:44" x14ac:dyDescent="0.35">
      <c r="AA123" s="60" t="s">
        <v>83</v>
      </c>
      <c r="AB123" s="60"/>
      <c r="AC123" s="60">
        <f>1/3</f>
        <v>0.33333333333333331</v>
      </c>
      <c r="AD123" s="60"/>
      <c r="AE123" s="60">
        <v>9</v>
      </c>
      <c r="AF123" s="60"/>
      <c r="AG123" s="60">
        <f>1/3</f>
        <v>0.33333333333333331</v>
      </c>
      <c r="AH123" s="60"/>
      <c r="AI123" s="60">
        <f>1/7</f>
        <v>0.14285714285714285</v>
      </c>
      <c r="AJ123" s="60"/>
      <c r="AK123" s="60">
        <f>1/7</f>
        <v>0.14285714285714285</v>
      </c>
      <c r="AL123" s="60"/>
      <c r="AM123" s="60">
        <v>5</v>
      </c>
      <c r="AN123" s="60"/>
      <c r="AO123" s="60">
        <v>5</v>
      </c>
      <c r="AP123" s="60"/>
      <c r="AQ123" s="62">
        <v>1</v>
      </c>
      <c r="AR123" s="62"/>
    </row>
    <row r="124" spans="2:44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</row>
    <row r="125" spans="2:44" x14ac:dyDescent="0.35">
      <c r="B125" s="80" t="s">
        <v>19</v>
      </c>
      <c r="C125" s="80"/>
      <c r="D125" s="80"/>
      <c r="E125" s="2"/>
      <c r="F125" s="2"/>
      <c r="G125" s="2"/>
      <c r="H125" s="2"/>
      <c r="I125" s="2"/>
      <c r="J125" s="3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0" t="s">
        <v>31</v>
      </c>
      <c r="W125" s="80"/>
      <c r="X125" s="80"/>
    </row>
    <row r="126" spans="2:44" x14ac:dyDescent="0.35">
      <c r="B126" s="80" t="s">
        <v>19</v>
      </c>
      <c r="C126" s="80"/>
      <c r="D126" s="80"/>
      <c r="E126" s="3"/>
      <c r="F126" s="2"/>
      <c r="G126" s="2"/>
      <c r="H126" s="2"/>
      <c r="I126" s="2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</row>
    <row r="127" spans="2:44" x14ac:dyDescent="0.35">
      <c r="B127" s="80" t="s">
        <v>19</v>
      </c>
      <c r="C127" s="80"/>
      <c r="D127" s="80"/>
      <c r="E127" s="2"/>
      <c r="F127" s="2"/>
      <c r="G127" s="2"/>
      <c r="H127" s="2"/>
      <c r="I127" s="3"/>
      <c r="J127" s="2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</row>
    <row r="128" spans="2:44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2"/>
      <c r="T128" s="2"/>
      <c r="U128" s="2"/>
      <c r="V128" s="80" t="s">
        <v>22</v>
      </c>
      <c r="W128" s="80"/>
      <c r="X128" s="80"/>
    </row>
    <row r="129" spans="2:24" x14ac:dyDescent="0.35">
      <c r="B129" s="80" t="s">
        <v>19</v>
      </c>
      <c r="C129" s="80"/>
      <c r="D129" s="8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80" t="s">
        <v>83</v>
      </c>
      <c r="W129" s="80"/>
      <c r="X129" s="80"/>
    </row>
    <row r="131" spans="2:24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</row>
    <row r="132" spans="2:24" x14ac:dyDescent="0.35">
      <c r="B132" s="80" t="s">
        <v>31</v>
      </c>
      <c r="C132" s="80"/>
      <c r="D132" s="80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</row>
    <row r="133" spans="2:24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</row>
    <row r="134" spans="2:24" x14ac:dyDescent="0.35">
      <c r="B134" s="80" t="s">
        <v>31</v>
      </c>
      <c r="C134" s="80"/>
      <c r="D134" s="8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80" t="s">
        <v>22</v>
      </c>
      <c r="W134" s="80"/>
      <c r="X134" s="80"/>
    </row>
    <row r="135" spans="2:24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</row>
    <row r="137" spans="2:24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</row>
    <row r="138" spans="2:24" x14ac:dyDescent="0.35">
      <c r="B138" s="80" t="s">
        <v>20</v>
      </c>
      <c r="C138" s="80"/>
      <c r="D138" s="80"/>
      <c r="E138" s="2"/>
      <c r="F138" s="2"/>
      <c r="G138" s="2"/>
      <c r="H138" s="2"/>
      <c r="I138" s="5"/>
      <c r="J138" s="2"/>
      <c r="K138" s="2"/>
      <c r="L138" s="2"/>
      <c r="M138" s="2"/>
      <c r="N138" s="2"/>
      <c r="O138" s="2"/>
      <c r="P138" s="2"/>
      <c r="Q138" s="3"/>
      <c r="R138" s="2"/>
      <c r="S138" s="2"/>
      <c r="T138" s="2"/>
      <c r="U138" s="2"/>
      <c r="V138" s="80" t="s">
        <v>21</v>
      </c>
      <c r="W138" s="80"/>
      <c r="X138" s="80"/>
    </row>
    <row r="139" spans="2:24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5"/>
      <c r="P139" s="2"/>
      <c r="Q139" s="2"/>
      <c r="R139" s="2"/>
      <c r="S139" s="2"/>
      <c r="T139" s="2"/>
      <c r="U139" s="3"/>
      <c r="V139" s="80" t="s">
        <v>22</v>
      </c>
      <c r="W139" s="80"/>
      <c r="X139" s="80"/>
    </row>
    <row r="140" spans="2:24" x14ac:dyDescent="0.35">
      <c r="B140" s="80" t="s">
        <v>20</v>
      </c>
      <c r="C140" s="80"/>
      <c r="D140" s="80"/>
      <c r="E140" s="5"/>
      <c r="F140" s="2"/>
      <c r="G140" s="2"/>
      <c r="H140" s="2"/>
      <c r="I140" s="2"/>
      <c r="J140" s="2"/>
      <c r="K140" s="5"/>
      <c r="L140" s="2"/>
      <c r="M140" s="2"/>
      <c r="N140" s="2"/>
      <c r="O140" s="2"/>
      <c r="P140" s="2"/>
      <c r="Q140" s="2"/>
      <c r="R140" s="2"/>
      <c r="S140" s="3"/>
      <c r="T140" s="2"/>
      <c r="U140" s="2"/>
      <c r="V140" s="80" t="s">
        <v>83</v>
      </c>
      <c r="W140" s="80"/>
      <c r="X140" s="80"/>
    </row>
    <row r="142" spans="2:24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</row>
    <row r="143" spans="2:24" x14ac:dyDescent="0.35">
      <c r="B143" s="80" t="s">
        <v>21</v>
      </c>
      <c r="C143" s="80"/>
      <c r="D143" s="8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5"/>
      <c r="P143" s="2"/>
      <c r="Q143" s="2"/>
      <c r="R143" s="2"/>
      <c r="S143" s="3"/>
      <c r="T143" s="2"/>
      <c r="U143" s="2"/>
      <c r="V143" s="80" t="s">
        <v>22</v>
      </c>
      <c r="W143" s="80"/>
      <c r="X143" s="80"/>
    </row>
    <row r="144" spans="2:24" x14ac:dyDescent="0.35">
      <c r="B144" s="80" t="s">
        <v>21</v>
      </c>
      <c r="C144" s="80"/>
      <c r="D144" s="80"/>
      <c r="E144" s="5"/>
      <c r="F144" s="2"/>
      <c r="G144" s="2"/>
      <c r="H144" s="2"/>
      <c r="I144" s="3"/>
      <c r="J144" s="2"/>
      <c r="K144" s="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80" t="s">
        <v>83</v>
      </c>
      <c r="W144" s="80"/>
      <c r="X144" s="80"/>
    </row>
    <row r="146" spans="2:34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</row>
    <row r="147" spans="2:34" x14ac:dyDescent="0.35">
      <c r="B147" s="80" t="s">
        <v>22</v>
      </c>
      <c r="C147" s="80"/>
      <c r="D147" s="80"/>
      <c r="E147" s="2"/>
      <c r="F147" s="2"/>
      <c r="G147" s="2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80" t="s">
        <v>83</v>
      </c>
      <c r="W147" s="80"/>
      <c r="X147" s="80"/>
    </row>
    <row r="148" spans="2:34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2:34" x14ac:dyDescent="0.35">
      <c r="B149" s="8" t="s">
        <v>23</v>
      </c>
    </row>
    <row r="151" spans="2:34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</row>
    <row r="152" spans="2:34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5"/>
      <c r="P152" s="2"/>
      <c r="Q152" s="2"/>
      <c r="R152" s="2"/>
      <c r="S152" s="3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</row>
    <row r="153" spans="2:34" x14ac:dyDescent="0.35">
      <c r="B153" s="80" t="s">
        <v>24</v>
      </c>
      <c r="C153" s="80"/>
      <c r="D153" s="80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v>7</v>
      </c>
      <c r="AF153" s="60"/>
      <c r="AG153" s="63">
        <f>1/5</f>
        <v>0.2</v>
      </c>
      <c r="AH153" s="64"/>
    </row>
    <row r="154" spans="2:34" x14ac:dyDescent="0.35">
      <c r="AA154" s="60"/>
      <c r="AB154" s="60"/>
      <c r="AC154" s="62"/>
      <c r="AD154" s="62"/>
      <c r="AE154" s="60"/>
      <c r="AF154" s="60"/>
      <c r="AG154" s="65"/>
      <c r="AH154" s="66"/>
    </row>
    <row r="155" spans="2:34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f>1/7</f>
        <v>0.14285714285714285</v>
      </c>
      <c r="AD155" s="60"/>
      <c r="AE155" s="62">
        <v>1</v>
      </c>
      <c r="AF155" s="62"/>
      <c r="AG155" s="60">
        <v>5</v>
      </c>
      <c r="AH155" s="60"/>
    </row>
    <row r="156" spans="2:34" x14ac:dyDescent="0.35">
      <c r="B156" s="80" t="s">
        <v>25</v>
      </c>
      <c r="C156" s="80"/>
      <c r="D156" s="8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2"/>
      <c r="T156" s="2"/>
      <c r="U156" s="2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</row>
    <row r="157" spans="2:34" x14ac:dyDescent="0.35">
      <c r="AA157" s="60" t="s">
        <v>26</v>
      </c>
      <c r="AB157" s="60"/>
      <c r="AC157" s="60">
        <v>5</v>
      </c>
      <c r="AD157" s="60"/>
      <c r="AE157" s="60">
        <f>1/5</f>
        <v>0.2</v>
      </c>
      <c r="AF157" s="60"/>
      <c r="AG157" s="62">
        <v>1</v>
      </c>
      <c r="AH157" s="62"/>
    </row>
    <row r="158" spans="2:34" x14ac:dyDescent="0.35">
      <c r="AA158" s="60"/>
      <c r="AB158" s="60"/>
      <c r="AC158" s="60"/>
      <c r="AD158" s="60"/>
      <c r="AE158" s="60"/>
      <c r="AF158" s="60"/>
      <c r="AG158" s="62"/>
      <c r="AH158" s="62"/>
    </row>
  </sheetData>
  <mergeCells count="530">
    <mergeCell ref="AC123:AD124"/>
    <mergeCell ref="AE123:AF124"/>
    <mergeCell ref="AG123:AH124"/>
    <mergeCell ref="AI123:AJ124"/>
    <mergeCell ref="AK123:AL124"/>
    <mergeCell ref="AM123:AN124"/>
    <mergeCell ref="AO123:AP124"/>
    <mergeCell ref="AQ123:AR124"/>
    <mergeCell ref="AA157:AB158"/>
    <mergeCell ref="AC157:AD158"/>
    <mergeCell ref="AE157:AF158"/>
    <mergeCell ref="AG157:AH158"/>
    <mergeCell ref="AA151:AB152"/>
    <mergeCell ref="AC151:AD152"/>
    <mergeCell ref="AE151:AF152"/>
    <mergeCell ref="AG151:AH152"/>
    <mergeCell ref="AA153:AB154"/>
    <mergeCell ref="AC153:AD154"/>
    <mergeCell ref="AE153:AF154"/>
    <mergeCell ref="AG153:AH154"/>
    <mergeCell ref="AA155:AB156"/>
    <mergeCell ref="AC155:AD156"/>
    <mergeCell ref="AE155:AF156"/>
    <mergeCell ref="AG155:AH156"/>
    <mergeCell ref="AC119:AD120"/>
    <mergeCell ref="AE119:AF120"/>
    <mergeCell ref="AG119:AH120"/>
    <mergeCell ref="AI119:AJ120"/>
    <mergeCell ref="AK119:AL120"/>
    <mergeCell ref="AM119:AN120"/>
    <mergeCell ref="AO119:AP120"/>
    <mergeCell ref="AQ119:AR120"/>
    <mergeCell ref="AC121:AD122"/>
    <mergeCell ref="AE121:AF122"/>
    <mergeCell ref="AG121:AH122"/>
    <mergeCell ref="AI121:AJ122"/>
    <mergeCell ref="AK121:AL122"/>
    <mergeCell ref="AM121:AN122"/>
    <mergeCell ref="AO121:AP122"/>
    <mergeCell ref="AQ121:AR122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Q117:AR118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AQ115:AR116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Q113:AR114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Q111:AR112"/>
    <mergeCell ref="AK107:AL108"/>
    <mergeCell ref="AM107:AN108"/>
    <mergeCell ref="AO107:AP108"/>
    <mergeCell ref="AQ107:AR108"/>
    <mergeCell ref="AA109:AB110"/>
    <mergeCell ref="AC109:AD110"/>
    <mergeCell ref="AE109:AF110"/>
    <mergeCell ref="AG109:AH110"/>
    <mergeCell ref="AI109:AJ110"/>
    <mergeCell ref="AK109:AL110"/>
    <mergeCell ref="AM109:AN110"/>
    <mergeCell ref="AO109:AP110"/>
    <mergeCell ref="AQ109:AR110"/>
    <mergeCell ref="AA103:AB104"/>
    <mergeCell ref="AC103:AD104"/>
    <mergeCell ref="AE103:AF104"/>
    <mergeCell ref="AG103:AH104"/>
    <mergeCell ref="AA107:AB108"/>
    <mergeCell ref="AC107:AD108"/>
    <mergeCell ref="AE107:AF108"/>
    <mergeCell ref="AG107:AH108"/>
    <mergeCell ref="AI107:AJ108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AQ77:AR78"/>
    <mergeCell ref="AA75:AB76"/>
    <mergeCell ref="AC75:AD76"/>
    <mergeCell ref="AE75:AF76"/>
    <mergeCell ref="AG75:AH76"/>
    <mergeCell ref="AI75:AJ76"/>
    <mergeCell ref="AK75:AL76"/>
    <mergeCell ref="AM75:AN76"/>
    <mergeCell ref="AO75:AP76"/>
    <mergeCell ref="AQ75:AR76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Q73:AR74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AQ71:AR72"/>
    <mergeCell ref="AA61:AB62"/>
    <mergeCell ref="AC61:AD62"/>
    <mergeCell ref="AE61:AF62"/>
    <mergeCell ref="AG61:AH62"/>
    <mergeCell ref="AI61:AJ62"/>
    <mergeCell ref="AA63:AB64"/>
    <mergeCell ref="AC63:AD64"/>
    <mergeCell ref="AE63:AF64"/>
    <mergeCell ref="AG63:AH64"/>
    <mergeCell ref="AI63:AJ64"/>
    <mergeCell ref="AA65:AB66"/>
    <mergeCell ref="AC65:AD66"/>
    <mergeCell ref="AE65:AF66"/>
    <mergeCell ref="AG65:AH66"/>
    <mergeCell ref="AI65:AJ66"/>
    <mergeCell ref="AA67:AB68"/>
    <mergeCell ref="AC67:AD68"/>
    <mergeCell ref="AE67:AF68"/>
    <mergeCell ref="AG67:AH68"/>
    <mergeCell ref="AI67:AJ68"/>
    <mergeCell ref="AA97:AB98"/>
    <mergeCell ref="AC97:AD98"/>
    <mergeCell ref="AE97:AF98"/>
    <mergeCell ref="AG97:AH98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AK67:AL68"/>
    <mergeCell ref="AM67:AN68"/>
    <mergeCell ref="AO67:AP68"/>
    <mergeCell ref="AQ67:AR68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Q69:AR70"/>
    <mergeCell ref="AK65:AL66"/>
    <mergeCell ref="AM65:AN66"/>
    <mergeCell ref="AO65:AP66"/>
    <mergeCell ref="AQ65:AR66"/>
    <mergeCell ref="AK63:AL64"/>
    <mergeCell ref="AM63:AN64"/>
    <mergeCell ref="AO63:AP64"/>
    <mergeCell ref="AQ63:AR64"/>
    <mergeCell ref="AK61:AL62"/>
    <mergeCell ref="AM61:AN62"/>
    <mergeCell ref="AO61:AP62"/>
    <mergeCell ref="AQ61:AR62"/>
    <mergeCell ref="E2:U2"/>
    <mergeCell ref="B4:C4"/>
    <mergeCell ref="B6:D6"/>
    <mergeCell ref="V6:X6"/>
    <mergeCell ref="AA6:AB7"/>
    <mergeCell ref="AC6:AD7"/>
    <mergeCell ref="AO8:AP9"/>
    <mergeCell ref="AQ8:AR9"/>
    <mergeCell ref="AS8:AT9"/>
    <mergeCell ref="AQ6:AR7"/>
    <mergeCell ref="AS6:AT7"/>
    <mergeCell ref="B7:D7"/>
    <mergeCell ref="V7:X7"/>
    <mergeCell ref="B8:D8"/>
    <mergeCell ref="V8:X8"/>
    <mergeCell ref="AA8:AB9"/>
    <mergeCell ref="AC8:AD9"/>
    <mergeCell ref="AE8:AF9"/>
    <mergeCell ref="AG8:AH9"/>
    <mergeCell ref="AE6:AF7"/>
    <mergeCell ref="AG6:AH7"/>
    <mergeCell ref="AI6:AJ7"/>
    <mergeCell ref="AK6:AL7"/>
    <mergeCell ref="AM6:AN7"/>
    <mergeCell ref="AO6:AP7"/>
    <mergeCell ref="B9:D9"/>
    <mergeCell ref="V9:X9"/>
    <mergeCell ref="B10:D10"/>
    <mergeCell ref="V10:X10"/>
    <mergeCell ref="AA10:AB11"/>
    <mergeCell ref="AC10:AD11"/>
    <mergeCell ref="AI8:AJ9"/>
    <mergeCell ref="AK8:AL9"/>
    <mergeCell ref="AM8:AN9"/>
    <mergeCell ref="B11:D11"/>
    <mergeCell ref="V11:X11"/>
    <mergeCell ref="B12:D12"/>
    <mergeCell ref="V12:X12"/>
    <mergeCell ref="AA12:AB13"/>
    <mergeCell ref="AC12:AD13"/>
    <mergeCell ref="AE12:AF13"/>
    <mergeCell ref="AG12:AH13"/>
    <mergeCell ref="AE10:AF11"/>
    <mergeCell ref="AG10:AH11"/>
    <mergeCell ref="B13:D13"/>
    <mergeCell ref="V13:X13"/>
    <mergeCell ref="AI12:AJ13"/>
    <mergeCell ref="AK12:AL13"/>
    <mergeCell ref="AM12:AN13"/>
    <mergeCell ref="AM16:AN17"/>
    <mergeCell ref="AO16:AP17"/>
    <mergeCell ref="AO12:AP13"/>
    <mergeCell ref="AQ12:AR13"/>
    <mergeCell ref="AS12:AT13"/>
    <mergeCell ref="AQ10:AR11"/>
    <mergeCell ref="AS10:AT11"/>
    <mergeCell ref="AI10:AJ11"/>
    <mergeCell ref="AK10:AL11"/>
    <mergeCell ref="AM10:AN11"/>
    <mergeCell ref="AO10:AP11"/>
    <mergeCell ref="AQ16:AR17"/>
    <mergeCell ref="AS16:AT17"/>
    <mergeCell ref="B17:D17"/>
    <mergeCell ref="V17:X17"/>
    <mergeCell ref="AQ14:AR15"/>
    <mergeCell ref="AS14:AT15"/>
    <mergeCell ref="B16:D16"/>
    <mergeCell ref="V16:X16"/>
    <mergeCell ref="AA16:AB17"/>
    <mergeCell ref="AC16:AD17"/>
    <mergeCell ref="AE16:AF17"/>
    <mergeCell ref="AG16:AH17"/>
    <mergeCell ref="AI16:AJ17"/>
    <mergeCell ref="AK16:AL17"/>
    <mergeCell ref="AE14:AF15"/>
    <mergeCell ref="AG14:AH15"/>
    <mergeCell ref="AI14:AJ15"/>
    <mergeCell ref="AK14:AL15"/>
    <mergeCell ref="AM14:AN15"/>
    <mergeCell ref="AO14:AP15"/>
    <mergeCell ref="B14:D14"/>
    <mergeCell ref="V14:X14"/>
    <mergeCell ref="AA14:AB15"/>
    <mergeCell ref="AC14:AD15"/>
    <mergeCell ref="AI18:AJ19"/>
    <mergeCell ref="AK18:AL19"/>
    <mergeCell ref="AM18:AN19"/>
    <mergeCell ref="AO18:AP19"/>
    <mergeCell ref="AQ18:AR19"/>
    <mergeCell ref="AS18:AT19"/>
    <mergeCell ref="B18:D18"/>
    <mergeCell ref="V18:X18"/>
    <mergeCell ref="AA18:AB19"/>
    <mergeCell ref="AC18:AD19"/>
    <mergeCell ref="AE18:AF19"/>
    <mergeCell ref="AG18:AH19"/>
    <mergeCell ref="B19:D19"/>
    <mergeCell ref="V19:X19"/>
    <mergeCell ref="AI20:AJ21"/>
    <mergeCell ref="AK20:AL21"/>
    <mergeCell ref="AM20:AN21"/>
    <mergeCell ref="AO20:AP21"/>
    <mergeCell ref="AQ20:AR21"/>
    <mergeCell ref="AS20:AT21"/>
    <mergeCell ref="B20:D20"/>
    <mergeCell ref="V20:X20"/>
    <mergeCell ref="AA20:AB21"/>
    <mergeCell ref="AC20:AD21"/>
    <mergeCell ref="AE20:AF21"/>
    <mergeCell ref="AG20:AH21"/>
    <mergeCell ref="B21:D21"/>
    <mergeCell ref="V21:X21"/>
    <mergeCell ref="AI22:AJ23"/>
    <mergeCell ref="AK22:AL23"/>
    <mergeCell ref="AM22:AN23"/>
    <mergeCell ref="AO22:AP23"/>
    <mergeCell ref="AQ22:AR23"/>
    <mergeCell ref="AS22:AT23"/>
    <mergeCell ref="B22:D22"/>
    <mergeCell ref="V22:X22"/>
    <mergeCell ref="AA22:AB23"/>
    <mergeCell ref="AC22:AD23"/>
    <mergeCell ref="AE22:AF23"/>
    <mergeCell ref="AG22:AH23"/>
    <mergeCell ref="B23:D23"/>
    <mergeCell ref="V23:X23"/>
    <mergeCell ref="AS24:AT25"/>
    <mergeCell ref="B25:D25"/>
    <mergeCell ref="V25:X25"/>
    <mergeCell ref="AA24:AB25"/>
    <mergeCell ref="AC24:AD25"/>
    <mergeCell ref="AE24:AF25"/>
    <mergeCell ref="AG24:AH25"/>
    <mergeCell ref="AI24:AJ25"/>
    <mergeCell ref="AK24:AL25"/>
    <mergeCell ref="B26:D26"/>
    <mergeCell ref="V26:X26"/>
    <mergeCell ref="B27:D27"/>
    <mergeCell ref="V27:X27"/>
    <mergeCell ref="B28:D28"/>
    <mergeCell ref="V28:X28"/>
    <mergeCell ref="AM24:AN25"/>
    <mergeCell ref="AO24:AP25"/>
    <mergeCell ref="AQ24:AR25"/>
    <mergeCell ref="B33:D33"/>
    <mergeCell ref="V33:X33"/>
    <mergeCell ref="B34:D34"/>
    <mergeCell ref="V34:X34"/>
    <mergeCell ref="B35:D35"/>
    <mergeCell ref="V35:X35"/>
    <mergeCell ref="B29:D29"/>
    <mergeCell ref="V29:X29"/>
    <mergeCell ref="B30:D30"/>
    <mergeCell ref="V30:X30"/>
    <mergeCell ref="B31:D31"/>
    <mergeCell ref="V31:X31"/>
    <mergeCell ref="B40:D40"/>
    <mergeCell ref="V40:X40"/>
    <mergeCell ref="B41:D41"/>
    <mergeCell ref="V41:X41"/>
    <mergeCell ref="B42:D42"/>
    <mergeCell ref="V42:X42"/>
    <mergeCell ref="B36:D36"/>
    <mergeCell ref="V36:X36"/>
    <mergeCell ref="B37:D37"/>
    <mergeCell ref="V37:X37"/>
    <mergeCell ref="B38:D38"/>
    <mergeCell ref="V38:X38"/>
    <mergeCell ref="B47:D47"/>
    <mergeCell ref="V47:X47"/>
    <mergeCell ref="B48:D48"/>
    <mergeCell ref="V48:X48"/>
    <mergeCell ref="B49:D49"/>
    <mergeCell ref="V49:X49"/>
    <mergeCell ref="B43:D43"/>
    <mergeCell ref="V43:X43"/>
    <mergeCell ref="B44:D44"/>
    <mergeCell ref="V44:X44"/>
    <mergeCell ref="B46:D46"/>
    <mergeCell ref="V46:X46"/>
    <mergeCell ref="B55:D55"/>
    <mergeCell ref="V55:X55"/>
    <mergeCell ref="B56:D56"/>
    <mergeCell ref="V56:X56"/>
    <mergeCell ref="B59:C59"/>
    <mergeCell ref="B61:D61"/>
    <mergeCell ref="V61:X61"/>
    <mergeCell ref="B51:D51"/>
    <mergeCell ref="V51:X51"/>
    <mergeCell ref="B52:D52"/>
    <mergeCell ref="V52:X52"/>
    <mergeCell ref="B53:D53"/>
    <mergeCell ref="V53:X53"/>
    <mergeCell ref="B65:D65"/>
    <mergeCell ref="V65:X65"/>
    <mergeCell ref="B66:D66"/>
    <mergeCell ref="V66:X66"/>
    <mergeCell ref="B67:D67"/>
    <mergeCell ref="V67:X67"/>
    <mergeCell ref="B62:D62"/>
    <mergeCell ref="V62:X62"/>
    <mergeCell ref="B63:D63"/>
    <mergeCell ref="V63:X63"/>
    <mergeCell ref="B64:D64"/>
    <mergeCell ref="V64:X64"/>
    <mergeCell ref="B72:D72"/>
    <mergeCell ref="V72:X72"/>
    <mergeCell ref="B73:D73"/>
    <mergeCell ref="V73:X73"/>
    <mergeCell ref="B74:D74"/>
    <mergeCell ref="V74:X74"/>
    <mergeCell ref="B69:D69"/>
    <mergeCell ref="V69:X69"/>
    <mergeCell ref="B70:D70"/>
    <mergeCell ref="V70:X70"/>
    <mergeCell ref="B71:D71"/>
    <mergeCell ref="V71:X71"/>
    <mergeCell ref="B79:D79"/>
    <mergeCell ref="V79:X79"/>
    <mergeCell ref="B80:D80"/>
    <mergeCell ref="V80:X80"/>
    <mergeCell ref="B82:D82"/>
    <mergeCell ref="V82:X82"/>
    <mergeCell ref="B76:D76"/>
    <mergeCell ref="V76:X76"/>
    <mergeCell ref="B77:D77"/>
    <mergeCell ref="V77:X77"/>
    <mergeCell ref="B78:D78"/>
    <mergeCell ref="V78:X78"/>
    <mergeCell ref="B87:D87"/>
    <mergeCell ref="V87:X87"/>
    <mergeCell ref="B88:D88"/>
    <mergeCell ref="V88:X88"/>
    <mergeCell ref="B89:D89"/>
    <mergeCell ref="V89:X89"/>
    <mergeCell ref="B83:D83"/>
    <mergeCell ref="V83:X83"/>
    <mergeCell ref="B84:D84"/>
    <mergeCell ref="V84:X84"/>
    <mergeCell ref="B85:D85"/>
    <mergeCell ref="V85:X85"/>
    <mergeCell ref="B98:D98"/>
    <mergeCell ref="V98:X98"/>
    <mergeCell ref="B99:D99"/>
    <mergeCell ref="V99:X99"/>
    <mergeCell ref="B101:D101"/>
    <mergeCell ref="V101:X101"/>
    <mergeCell ref="B91:D91"/>
    <mergeCell ref="V91:X91"/>
    <mergeCell ref="B92:D92"/>
    <mergeCell ref="V92:X92"/>
    <mergeCell ref="B95:D95"/>
    <mergeCell ref="B97:D97"/>
    <mergeCell ref="V97:X97"/>
    <mergeCell ref="B109:D109"/>
    <mergeCell ref="V109:X109"/>
    <mergeCell ref="B110:D110"/>
    <mergeCell ref="V110:X110"/>
    <mergeCell ref="B111:D111"/>
    <mergeCell ref="V111:X111"/>
    <mergeCell ref="B102:D102"/>
    <mergeCell ref="V102:X102"/>
    <mergeCell ref="B107:D107"/>
    <mergeCell ref="V107:X107"/>
    <mergeCell ref="B108:D108"/>
    <mergeCell ref="V108:X108"/>
    <mergeCell ref="B116:D116"/>
    <mergeCell ref="V116:X116"/>
    <mergeCell ref="B117:D117"/>
    <mergeCell ref="V117:X117"/>
    <mergeCell ref="B118:D118"/>
    <mergeCell ref="V118:X118"/>
    <mergeCell ref="B112:D112"/>
    <mergeCell ref="V112:X112"/>
    <mergeCell ref="B113:D113"/>
    <mergeCell ref="V113:X113"/>
    <mergeCell ref="B114:D114"/>
    <mergeCell ref="V114:X114"/>
    <mergeCell ref="B122:D122"/>
    <mergeCell ref="V122:X122"/>
    <mergeCell ref="B124:D124"/>
    <mergeCell ref="V124:X124"/>
    <mergeCell ref="B125:D125"/>
    <mergeCell ref="V125:X125"/>
    <mergeCell ref="AA121:AB122"/>
    <mergeCell ref="B119:D119"/>
    <mergeCell ref="V119:X119"/>
    <mergeCell ref="B120:D120"/>
    <mergeCell ref="V120:X120"/>
    <mergeCell ref="B121:D121"/>
    <mergeCell ref="V121:X121"/>
    <mergeCell ref="AA119:AB120"/>
    <mergeCell ref="AA123:AB124"/>
    <mergeCell ref="B129:D129"/>
    <mergeCell ref="V129:X129"/>
    <mergeCell ref="B131:D131"/>
    <mergeCell ref="V131:X131"/>
    <mergeCell ref="B132:D132"/>
    <mergeCell ref="V132:X132"/>
    <mergeCell ref="B126:D126"/>
    <mergeCell ref="V126:X126"/>
    <mergeCell ref="B127:D127"/>
    <mergeCell ref="V127:X127"/>
    <mergeCell ref="B128:D128"/>
    <mergeCell ref="V128:X128"/>
    <mergeCell ref="B137:D137"/>
    <mergeCell ref="V137:X137"/>
    <mergeCell ref="B138:D138"/>
    <mergeCell ref="V138:X138"/>
    <mergeCell ref="B139:D139"/>
    <mergeCell ref="V139:X139"/>
    <mergeCell ref="B133:D133"/>
    <mergeCell ref="V133:X133"/>
    <mergeCell ref="B134:D134"/>
    <mergeCell ref="V134:X134"/>
    <mergeCell ref="B135:D135"/>
    <mergeCell ref="V135:X135"/>
    <mergeCell ref="B144:D144"/>
    <mergeCell ref="V144:X144"/>
    <mergeCell ref="B146:D146"/>
    <mergeCell ref="V146:X146"/>
    <mergeCell ref="B147:D147"/>
    <mergeCell ref="V147:X147"/>
    <mergeCell ref="B140:D140"/>
    <mergeCell ref="V140:X140"/>
    <mergeCell ref="B142:D142"/>
    <mergeCell ref="V142:X142"/>
    <mergeCell ref="B143:D143"/>
    <mergeCell ref="V143:X143"/>
    <mergeCell ref="B155:D155"/>
    <mergeCell ref="V155:X155"/>
    <mergeCell ref="B156:D156"/>
    <mergeCell ref="V156:X156"/>
    <mergeCell ref="B151:D151"/>
    <mergeCell ref="V151:X151"/>
    <mergeCell ref="B152:D152"/>
    <mergeCell ref="V152:X152"/>
    <mergeCell ref="B153:D153"/>
    <mergeCell ref="V153:X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7C2B-496D-4A62-9407-6E188ABB38AA}">
  <dimension ref="B2:CO158"/>
  <sheetViews>
    <sheetView topLeftCell="D106" zoomScale="63" workbookViewId="0">
      <selection activeCell="BV6" sqref="BV6:CO158"/>
    </sheetView>
  </sheetViews>
  <sheetFormatPr defaultRowHeight="14.5" x14ac:dyDescent="0.35"/>
  <cols>
    <col min="5" max="21" width="2.453125" customWidth="1"/>
    <col min="52" max="68" width="2.453125" customWidth="1"/>
  </cols>
  <sheetData>
    <row r="2" spans="2:93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AZ2" s="86" t="s">
        <v>34</v>
      </c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  <c r="BM2" s="86"/>
      <c r="BN2" s="86"/>
      <c r="BO2" s="86"/>
      <c r="BP2" s="86"/>
    </row>
    <row r="4" spans="2:93" x14ac:dyDescent="0.35">
      <c r="B4" s="85" t="s">
        <v>1</v>
      </c>
      <c r="C4" s="85"/>
      <c r="AW4" s="85" t="s">
        <v>1</v>
      </c>
      <c r="AX4" s="85"/>
    </row>
    <row r="6" spans="2:93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85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80</v>
      </c>
      <c r="AR6" s="60"/>
      <c r="AS6" s="60" t="s">
        <v>33</v>
      </c>
      <c r="AT6" s="60"/>
      <c r="AW6" s="79" t="s">
        <v>2</v>
      </c>
      <c r="AX6" s="79"/>
      <c r="AY6" s="79"/>
      <c r="AZ6" s="2">
        <v>9</v>
      </c>
      <c r="BA6" s="2">
        <v>8</v>
      </c>
      <c r="BB6" s="2">
        <v>7</v>
      </c>
      <c r="BC6" s="2">
        <v>6</v>
      </c>
      <c r="BD6" s="2">
        <v>5</v>
      </c>
      <c r="BE6" s="2">
        <v>4</v>
      </c>
      <c r="BF6" s="2">
        <v>3</v>
      </c>
      <c r="BG6" s="2">
        <v>2</v>
      </c>
      <c r="BH6" s="2">
        <v>1</v>
      </c>
      <c r="BI6" s="2">
        <v>2</v>
      </c>
      <c r="BJ6" s="2">
        <v>3</v>
      </c>
      <c r="BK6" s="2">
        <v>4</v>
      </c>
      <c r="BL6" s="2">
        <v>5</v>
      </c>
      <c r="BM6" s="2">
        <v>6</v>
      </c>
      <c r="BN6" s="2">
        <v>7</v>
      </c>
      <c r="BO6" s="2">
        <v>8</v>
      </c>
      <c r="BP6" s="2">
        <v>9</v>
      </c>
      <c r="BQ6" s="79" t="s">
        <v>3</v>
      </c>
      <c r="BR6" s="79"/>
      <c r="BS6" s="79"/>
      <c r="BV6" s="60"/>
      <c r="BW6" s="60"/>
      <c r="BX6" s="60" t="s">
        <v>78</v>
      </c>
      <c r="BY6" s="60"/>
      <c r="BZ6" s="60" t="s">
        <v>85</v>
      </c>
      <c r="CA6" s="60"/>
      <c r="CB6" s="60" t="s">
        <v>4</v>
      </c>
      <c r="CC6" s="60"/>
      <c r="CD6" s="60" t="s">
        <v>5</v>
      </c>
      <c r="CE6" s="60"/>
      <c r="CF6" s="60" t="s">
        <v>32</v>
      </c>
      <c r="CG6" s="60"/>
      <c r="CH6" s="60" t="s">
        <v>7</v>
      </c>
      <c r="CI6" s="60"/>
      <c r="CJ6" s="60" t="s">
        <v>8</v>
      </c>
      <c r="CK6" s="60"/>
      <c r="CL6" s="60" t="s">
        <v>80</v>
      </c>
      <c r="CM6" s="60"/>
      <c r="CN6" s="60" t="s">
        <v>33</v>
      </c>
      <c r="CO6" s="60"/>
    </row>
    <row r="7" spans="2:93" x14ac:dyDescent="0.35">
      <c r="B7" s="80" t="s">
        <v>78</v>
      </c>
      <c r="C7" s="80"/>
      <c r="D7" s="80"/>
      <c r="E7" s="2"/>
      <c r="F7" s="2"/>
      <c r="G7" s="2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80" t="s">
        <v>85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W7" s="80" t="s">
        <v>78</v>
      </c>
      <c r="AX7" s="80"/>
      <c r="AY7" s="80"/>
      <c r="AZ7" s="2"/>
      <c r="BA7" s="2"/>
      <c r="BB7" s="2"/>
      <c r="BC7" s="2"/>
      <c r="BD7" s="2"/>
      <c r="BE7" s="2"/>
      <c r="BF7" s="10"/>
      <c r="BG7" s="2"/>
      <c r="BH7" s="2"/>
      <c r="BI7" s="2"/>
      <c r="BJ7" s="4"/>
      <c r="BK7" s="2"/>
      <c r="BL7" s="2"/>
      <c r="BM7" s="2"/>
      <c r="BN7" s="2"/>
      <c r="BO7" s="2"/>
      <c r="BP7" s="2"/>
      <c r="BQ7" s="80" t="s">
        <v>85</v>
      </c>
      <c r="BR7" s="80"/>
      <c r="BS7" s="8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</row>
    <row r="8" spans="2:93" x14ac:dyDescent="0.35">
      <c r="B8" s="80" t="s">
        <v>78</v>
      </c>
      <c r="C8" s="80"/>
      <c r="D8" s="80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f>1/5</f>
        <v>0.2</v>
      </c>
      <c r="AF8" s="60"/>
      <c r="AG8" s="63">
        <f>1/3</f>
        <v>0.33333333333333331</v>
      </c>
      <c r="AH8" s="64"/>
      <c r="AI8" s="60">
        <v>3</v>
      </c>
      <c r="AJ8" s="60"/>
      <c r="AK8" s="60">
        <f>1/3</f>
        <v>0.33333333333333331</v>
      </c>
      <c r="AL8" s="60"/>
      <c r="AM8" s="60">
        <v>5</v>
      </c>
      <c r="AN8" s="60"/>
      <c r="AO8" s="60">
        <f>1/3</f>
        <v>0.33333333333333331</v>
      </c>
      <c r="AP8" s="60"/>
      <c r="AQ8" s="60">
        <v>3</v>
      </c>
      <c r="AR8" s="60"/>
      <c r="AS8" s="60">
        <v>5</v>
      </c>
      <c r="AT8" s="60"/>
      <c r="AW8" s="80" t="s">
        <v>78</v>
      </c>
      <c r="AX8" s="80"/>
      <c r="AY8" s="80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3"/>
      <c r="BM8" s="2"/>
      <c r="BN8" s="2"/>
      <c r="BO8" s="2"/>
      <c r="BP8" s="2"/>
      <c r="BQ8" s="80" t="s">
        <v>4</v>
      </c>
      <c r="BR8" s="80"/>
      <c r="BS8" s="80"/>
      <c r="BV8" s="60" t="s">
        <v>78</v>
      </c>
      <c r="BW8" s="60"/>
      <c r="BX8" s="62">
        <v>1</v>
      </c>
      <c r="BY8" s="62"/>
      <c r="BZ8" s="60">
        <f>1/3</f>
        <v>0.33333333333333331</v>
      </c>
      <c r="CA8" s="60"/>
      <c r="CB8" s="63">
        <v>5</v>
      </c>
      <c r="CC8" s="64"/>
      <c r="CD8" s="60">
        <f>1/7</f>
        <v>0.14285714285714285</v>
      </c>
      <c r="CE8" s="60"/>
      <c r="CF8" s="60">
        <f>1/9</f>
        <v>0.1111111111111111</v>
      </c>
      <c r="CG8" s="60"/>
      <c r="CH8" s="60">
        <v>3</v>
      </c>
      <c r="CI8" s="60"/>
      <c r="CJ8" s="60">
        <v>5</v>
      </c>
      <c r="CK8" s="60"/>
      <c r="CL8" s="60">
        <f>1/2</f>
        <v>0.5</v>
      </c>
      <c r="CM8" s="60"/>
      <c r="CN8" s="60">
        <f>1/5</f>
        <v>0.2</v>
      </c>
      <c r="CO8" s="60"/>
    </row>
    <row r="9" spans="2:93" x14ac:dyDescent="0.35">
      <c r="B9" s="80" t="s">
        <v>78</v>
      </c>
      <c r="C9" s="80"/>
      <c r="D9" s="80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W9" s="80" t="s">
        <v>78</v>
      </c>
      <c r="AX9" s="80"/>
      <c r="AY9" s="80"/>
      <c r="AZ9" s="2"/>
      <c r="BA9" s="2"/>
      <c r="BB9" s="3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80" t="s">
        <v>5</v>
      </c>
      <c r="BR9" s="80"/>
      <c r="BS9" s="80"/>
      <c r="BV9" s="60"/>
      <c r="BW9" s="60"/>
      <c r="BX9" s="62"/>
      <c r="BY9" s="62"/>
      <c r="BZ9" s="60"/>
      <c r="CA9" s="60"/>
      <c r="CB9" s="65"/>
      <c r="CC9" s="66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</row>
    <row r="10" spans="2:93" x14ac:dyDescent="0.35">
      <c r="B10" s="80" t="s">
        <v>78</v>
      </c>
      <c r="C10" s="80"/>
      <c r="D10" s="80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80" t="s">
        <v>6</v>
      </c>
      <c r="W10" s="80"/>
      <c r="X10" s="80"/>
      <c r="AA10" s="60" t="s">
        <v>85</v>
      </c>
      <c r="AB10" s="60"/>
      <c r="AC10" s="60">
        <v>5</v>
      </c>
      <c r="AD10" s="60"/>
      <c r="AE10" s="62">
        <v>1</v>
      </c>
      <c r="AF10" s="62"/>
      <c r="AG10" s="60">
        <v>3</v>
      </c>
      <c r="AH10" s="60"/>
      <c r="AI10" s="60">
        <v>5</v>
      </c>
      <c r="AJ10" s="60"/>
      <c r="AK10" s="60">
        <f>1/7</f>
        <v>0.14285714285714285</v>
      </c>
      <c r="AL10" s="60"/>
      <c r="AM10" s="60">
        <f>1/3</f>
        <v>0.33333333333333331</v>
      </c>
      <c r="AN10" s="60"/>
      <c r="AO10" s="60">
        <v>3</v>
      </c>
      <c r="AP10" s="60"/>
      <c r="AQ10" s="60">
        <v>7</v>
      </c>
      <c r="AR10" s="60"/>
      <c r="AS10" s="60">
        <v>7</v>
      </c>
      <c r="AT10" s="60"/>
      <c r="AW10" s="80" t="s">
        <v>78</v>
      </c>
      <c r="AX10" s="80"/>
      <c r="AY10" s="80"/>
      <c r="AZ10" s="3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80" t="s">
        <v>6</v>
      </c>
      <c r="BR10" s="80"/>
      <c r="BS10" s="80"/>
      <c r="BV10" s="60" t="s">
        <v>85</v>
      </c>
      <c r="BW10" s="60"/>
      <c r="BX10" s="60">
        <v>3</v>
      </c>
      <c r="BY10" s="60"/>
      <c r="BZ10" s="62">
        <v>1</v>
      </c>
      <c r="CA10" s="62"/>
      <c r="CB10" s="60">
        <f>1/5</f>
        <v>0.2</v>
      </c>
      <c r="CC10" s="60"/>
      <c r="CD10" s="60">
        <f>1/7</f>
        <v>0.14285714285714285</v>
      </c>
      <c r="CE10" s="60"/>
      <c r="CF10" s="60">
        <f>1/7</f>
        <v>0.14285714285714285</v>
      </c>
      <c r="CG10" s="60"/>
      <c r="CH10" s="60">
        <v>7</v>
      </c>
      <c r="CI10" s="60"/>
      <c r="CJ10" s="60">
        <v>3</v>
      </c>
      <c r="CK10" s="60"/>
      <c r="CL10" s="60">
        <v>5</v>
      </c>
      <c r="CM10" s="60"/>
      <c r="CN10" s="60">
        <v>3</v>
      </c>
      <c r="CO10" s="60"/>
    </row>
    <row r="11" spans="2:93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3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W11" s="80" t="s">
        <v>78</v>
      </c>
      <c r="AX11" s="80"/>
      <c r="AY11" s="80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3"/>
      <c r="BK11" s="2"/>
      <c r="BL11" s="2"/>
      <c r="BM11" s="2"/>
      <c r="BN11" s="2"/>
      <c r="BO11" s="2"/>
      <c r="BP11" s="2"/>
      <c r="BQ11" s="80" t="s">
        <v>7</v>
      </c>
      <c r="BR11" s="80"/>
      <c r="BS11" s="80"/>
      <c r="BV11" s="60"/>
      <c r="BW11" s="60"/>
      <c r="BX11" s="60"/>
      <c r="BY11" s="60"/>
      <c r="BZ11" s="62"/>
      <c r="CA11" s="62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</row>
    <row r="12" spans="2:93" x14ac:dyDescent="0.35">
      <c r="B12" s="80" t="s">
        <v>78</v>
      </c>
      <c r="C12" s="80"/>
      <c r="D12" s="80"/>
      <c r="E12" s="2"/>
      <c r="F12" s="2"/>
      <c r="G12" s="2"/>
      <c r="H12" s="2"/>
      <c r="I12" s="2"/>
      <c r="J12" s="2"/>
      <c r="K12" s="2"/>
      <c r="L12" s="3"/>
      <c r="M12" s="2"/>
      <c r="N12" s="2"/>
      <c r="O12" s="2"/>
      <c r="P12" s="2"/>
      <c r="Q12" s="2"/>
      <c r="R12" s="2"/>
      <c r="S12" s="2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v>3</v>
      </c>
      <c r="AD12" s="60"/>
      <c r="AE12" s="60">
        <f>1/3</f>
        <v>0.33333333333333331</v>
      </c>
      <c r="AF12" s="60"/>
      <c r="AG12" s="62">
        <v>1</v>
      </c>
      <c r="AH12" s="62"/>
      <c r="AI12" s="60">
        <v>3</v>
      </c>
      <c r="AJ12" s="60"/>
      <c r="AK12" s="60">
        <f>1/7</f>
        <v>0.14285714285714285</v>
      </c>
      <c r="AL12" s="60"/>
      <c r="AM12" s="60">
        <v>7</v>
      </c>
      <c r="AN12" s="60"/>
      <c r="AO12" s="60">
        <v>5</v>
      </c>
      <c r="AP12" s="60"/>
      <c r="AQ12" s="60">
        <v>9</v>
      </c>
      <c r="AR12" s="60"/>
      <c r="AS12" s="60">
        <v>3</v>
      </c>
      <c r="AT12" s="60"/>
      <c r="AW12" s="80" t="s">
        <v>78</v>
      </c>
      <c r="AX12" s="80"/>
      <c r="AY12" s="80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3"/>
      <c r="BM12" s="2"/>
      <c r="BN12" s="2"/>
      <c r="BO12" s="2"/>
      <c r="BP12" s="2"/>
      <c r="BQ12" s="80" t="s">
        <v>8</v>
      </c>
      <c r="BR12" s="80"/>
      <c r="BS12" s="80"/>
      <c r="BV12" s="60" t="s">
        <v>4</v>
      </c>
      <c r="BW12" s="60"/>
      <c r="BX12" s="60">
        <f>1/5</f>
        <v>0.2</v>
      </c>
      <c r="BY12" s="60"/>
      <c r="BZ12" s="60">
        <v>5</v>
      </c>
      <c r="CA12" s="60"/>
      <c r="CB12" s="62">
        <v>1</v>
      </c>
      <c r="CC12" s="62"/>
      <c r="CD12" s="60">
        <v>7</v>
      </c>
      <c r="CE12" s="60"/>
      <c r="CF12" s="60">
        <f>1/5</f>
        <v>0.2</v>
      </c>
      <c r="CG12" s="60"/>
      <c r="CH12" s="60">
        <v>3</v>
      </c>
      <c r="CI12" s="60"/>
      <c r="CJ12" s="60">
        <v>5</v>
      </c>
      <c r="CK12" s="60"/>
      <c r="CL12" s="60">
        <f>1/3</f>
        <v>0.33333333333333331</v>
      </c>
      <c r="CM12" s="60"/>
      <c r="CN12" s="60">
        <f>1/7</f>
        <v>0.14285714285714285</v>
      </c>
      <c r="CO12" s="60"/>
    </row>
    <row r="13" spans="2:93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80" t="s">
        <v>80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W13" s="80" t="s">
        <v>78</v>
      </c>
      <c r="AX13" s="80"/>
      <c r="AY13" s="80"/>
      <c r="AZ13" s="2"/>
      <c r="BA13" s="2"/>
      <c r="BB13" s="2"/>
      <c r="BC13" s="2"/>
      <c r="BD13" s="2"/>
      <c r="BE13" s="2"/>
      <c r="BF13" s="2"/>
      <c r="BG13" s="3"/>
      <c r="BH13" s="2"/>
      <c r="BI13" s="2"/>
      <c r="BJ13" s="2"/>
      <c r="BK13" s="2"/>
      <c r="BL13" s="2"/>
      <c r="BM13" s="2"/>
      <c r="BN13" s="2"/>
      <c r="BO13" s="2"/>
      <c r="BP13" s="5"/>
      <c r="BQ13" s="80" t="s">
        <v>80</v>
      </c>
      <c r="BR13" s="80"/>
      <c r="BS13" s="80"/>
      <c r="BV13" s="60"/>
      <c r="BW13" s="60"/>
      <c r="BX13" s="60"/>
      <c r="BY13" s="60"/>
      <c r="BZ13" s="60"/>
      <c r="CA13" s="60"/>
      <c r="CB13" s="62"/>
      <c r="CC13" s="62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</row>
    <row r="14" spans="2:93" x14ac:dyDescent="0.35">
      <c r="B14" s="80" t="s">
        <v>78</v>
      </c>
      <c r="C14" s="80"/>
      <c r="D14" s="8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3"/>
      <c r="R14" s="2"/>
      <c r="S14" s="2"/>
      <c r="T14" s="2"/>
      <c r="U14" s="2"/>
      <c r="V14" s="80" t="s">
        <v>9</v>
      </c>
      <c r="W14" s="80"/>
      <c r="X14" s="80"/>
      <c r="AA14" s="60" t="s">
        <v>5</v>
      </c>
      <c r="AB14" s="60"/>
      <c r="AC14" s="60">
        <f>1/3</f>
        <v>0.33333333333333331</v>
      </c>
      <c r="AD14" s="60"/>
      <c r="AE14" s="60">
        <f>1/5</f>
        <v>0.2</v>
      </c>
      <c r="AF14" s="60"/>
      <c r="AG14" s="60">
        <f>1/3</f>
        <v>0.33333333333333331</v>
      </c>
      <c r="AH14" s="60"/>
      <c r="AI14" s="62">
        <v>1</v>
      </c>
      <c r="AJ14" s="62"/>
      <c r="AK14" s="60">
        <f>1/5</f>
        <v>0.2</v>
      </c>
      <c r="AL14" s="60"/>
      <c r="AM14" s="60">
        <v>3</v>
      </c>
      <c r="AN14" s="60"/>
      <c r="AO14" s="60">
        <v>5</v>
      </c>
      <c r="AP14" s="60"/>
      <c r="AQ14" s="60">
        <v>7</v>
      </c>
      <c r="AR14" s="60"/>
      <c r="AS14" s="60">
        <v>7</v>
      </c>
      <c r="AT14" s="60"/>
      <c r="AW14" s="80" t="s">
        <v>78</v>
      </c>
      <c r="AX14" s="80"/>
      <c r="AY14" s="80"/>
      <c r="AZ14" s="2"/>
      <c r="BA14" s="2"/>
      <c r="BB14" s="2"/>
      <c r="BC14" s="2"/>
      <c r="BD14" s="3"/>
      <c r="BE14" s="2"/>
      <c r="BF14" s="2"/>
      <c r="BG14" s="2"/>
      <c r="BH14" s="2"/>
      <c r="BI14" s="2"/>
      <c r="BJ14" s="2"/>
      <c r="BK14" s="2"/>
      <c r="BL14" s="2"/>
      <c r="BM14" s="2"/>
      <c r="BN14" s="5"/>
      <c r="BO14" s="2"/>
      <c r="BP14" s="2"/>
      <c r="BQ14" s="80" t="s">
        <v>9</v>
      </c>
      <c r="BR14" s="80"/>
      <c r="BS14" s="80"/>
      <c r="BV14" s="60" t="s">
        <v>5</v>
      </c>
      <c r="BW14" s="60"/>
      <c r="BX14" s="60">
        <v>7</v>
      </c>
      <c r="BY14" s="60"/>
      <c r="BZ14" s="60">
        <v>7</v>
      </c>
      <c r="CA14" s="60"/>
      <c r="CB14" s="60">
        <f>1/7</f>
        <v>0.14285714285714285</v>
      </c>
      <c r="CC14" s="60"/>
      <c r="CD14" s="62">
        <v>1</v>
      </c>
      <c r="CE14" s="62"/>
      <c r="CF14" s="60">
        <f>1/5</f>
        <v>0.2</v>
      </c>
      <c r="CG14" s="60"/>
      <c r="CH14" s="60">
        <v>7</v>
      </c>
      <c r="CI14" s="60"/>
      <c r="CJ14" s="60">
        <v>5</v>
      </c>
      <c r="CK14" s="60"/>
      <c r="CL14" s="60">
        <v>3</v>
      </c>
      <c r="CM14" s="60"/>
      <c r="CN14" s="60">
        <v>9</v>
      </c>
      <c r="CO14" s="60"/>
    </row>
    <row r="15" spans="2:93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V15" s="60"/>
      <c r="BW15" s="60"/>
      <c r="BX15" s="60"/>
      <c r="BY15" s="60"/>
      <c r="BZ15" s="60"/>
      <c r="CA15" s="60"/>
      <c r="CB15" s="60"/>
      <c r="CC15" s="60"/>
      <c r="CD15" s="62"/>
      <c r="CE15" s="62"/>
      <c r="CF15" s="60"/>
      <c r="CG15" s="60"/>
      <c r="CH15" s="60"/>
      <c r="CI15" s="60"/>
      <c r="CJ15" s="60"/>
      <c r="CK15" s="60"/>
      <c r="CL15" s="60"/>
      <c r="CM15" s="60"/>
      <c r="CN15" s="60"/>
      <c r="CO15" s="60"/>
    </row>
    <row r="16" spans="2:93" x14ac:dyDescent="0.35">
      <c r="B16" s="79" t="s">
        <v>2</v>
      </c>
      <c r="C16" s="79"/>
      <c r="D16" s="79"/>
      <c r="E16" s="2">
        <v>9</v>
      </c>
      <c r="F16" s="2">
        <v>8</v>
      </c>
      <c r="G16" s="2">
        <v>7</v>
      </c>
      <c r="H16" s="2">
        <v>6</v>
      </c>
      <c r="I16" s="2">
        <v>5</v>
      </c>
      <c r="J16" s="2">
        <v>4</v>
      </c>
      <c r="K16" s="2">
        <v>3</v>
      </c>
      <c r="L16" s="2">
        <v>2</v>
      </c>
      <c r="M16" s="2">
        <v>1</v>
      </c>
      <c r="N16" s="2">
        <v>2</v>
      </c>
      <c r="O16" s="2">
        <v>3</v>
      </c>
      <c r="P16" s="2">
        <v>4</v>
      </c>
      <c r="Q16" s="2">
        <v>5</v>
      </c>
      <c r="R16" s="2">
        <v>6</v>
      </c>
      <c r="S16" s="2">
        <v>7</v>
      </c>
      <c r="T16" s="2">
        <v>8</v>
      </c>
      <c r="U16" s="2">
        <v>9</v>
      </c>
      <c r="V16" s="79" t="s">
        <v>3</v>
      </c>
      <c r="W16" s="79"/>
      <c r="X16" s="79"/>
      <c r="AA16" s="60" t="s">
        <v>32</v>
      </c>
      <c r="AB16" s="60"/>
      <c r="AC16" s="60">
        <v>3</v>
      </c>
      <c r="AD16" s="60"/>
      <c r="AE16" s="60">
        <v>7</v>
      </c>
      <c r="AF16" s="60"/>
      <c r="AG16" s="60">
        <v>7</v>
      </c>
      <c r="AH16" s="60"/>
      <c r="AI16" s="60">
        <v>5</v>
      </c>
      <c r="AJ16" s="60"/>
      <c r="AK16" s="62">
        <v>1</v>
      </c>
      <c r="AL16" s="62"/>
      <c r="AM16" s="60">
        <v>9</v>
      </c>
      <c r="AN16" s="60"/>
      <c r="AO16" s="60">
        <f>1/5</f>
        <v>0.2</v>
      </c>
      <c r="AP16" s="60"/>
      <c r="AQ16" s="60">
        <v>9</v>
      </c>
      <c r="AR16" s="60"/>
      <c r="AS16" s="60">
        <v>7</v>
      </c>
      <c r="AT16" s="60"/>
      <c r="AW16" s="79" t="s">
        <v>2</v>
      </c>
      <c r="AX16" s="79"/>
      <c r="AY16" s="79"/>
      <c r="AZ16" s="2">
        <v>9</v>
      </c>
      <c r="BA16" s="2">
        <v>8</v>
      </c>
      <c r="BB16" s="2">
        <v>7</v>
      </c>
      <c r="BC16" s="2">
        <v>6</v>
      </c>
      <c r="BD16" s="2">
        <v>5</v>
      </c>
      <c r="BE16" s="2">
        <v>4</v>
      </c>
      <c r="BF16" s="2">
        <v>3</v>
      </c>
      <c r="BG16" s="2">
        <v>2</v>
      </c>
      <c r="BH16" s="2">
        <v>1</v>
      </c>
      <c r="BI16" s="2">
        <v>2</v>
      </c>
      <c r="BJ16" s="2">
        <v>3</v>
      </c>
      <c r="BK16" s="2">
        <v>4</v>
      </c>
      <c r="BL16" s="2">
        <v>5</v>
      </c>
      <c r="BM16" s="2">
        <v>6</v>
      </c>
      <c r="BN16" s="2">
        <v>7</v>
      </c>
      <c r="BO16" s="2">
        <v>8</v>
      </c>
      <c r="BP16" s="2">
        <v>9</v>
      </c>
      <c r="BQ16" s="79" t="s">
        <v>3</v>
      </c>
      <c r="BR16" s="79"/>
      <c r="BS16" s="79"/>
      <c r="BV16" s="60" t="s">
        <v>32</v>
      </c>
      <c r="BW16" s="60"/>
      <c r="BX16" s="60">
        <v>9</v>
      </c>
      <c r="BY16" s="60"/>
      <c r="BZ16" s="60">
        <v>7</v>
      </c>
      <c r="CA16" s="60"/>
      <c r="CB16" s="60">
        <v>5</v>
      </c>
      <c r="CC16" s="60"/>
      <c r="CD16" s="60">
        <v>5</v>
      </c>
      <c r="CE16" s="60"/>
      <c r="CF16" s="62">
        <v>1</v>
      </c>
      <c r="CG16" s="62"/>
      <c r="CH16" s="60">
        <v>3</v>
      </c>
      <c r="CI16" s="60"/>
      <c r="CJ16" s="60">
        <v>4</v>
      </c>
      <c r="CK16" s="60"/>
      <c r="CL16" s="60">
        <v>3</v>
      </c>
      <c r="CM16" s="60"/>
      <c r="CN16" s="60">
        <v>9</v>
      </c>
      <c r="CO16" s="60"/>
    </row>
    <row r="17" spans="2:93" x14ac:dyDescent="0.35">
      <c r="B17" s="80" t="s">
        <v>85</v>
      </c>
      <c r="C17" s="80"/>
      <c r="D17" s="80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  <c r="AW17" s="80" t="s">
        <v>85</v>
      </c>
      <c r="AX17" s="80"/>
      <c r="AY17" s="80"/>
      <c r="AZ17" s="2"/>
      <c r="BA17" s="2"/>
      <c r="BB17" s="2"/>
      <c r="BC17" s="2"/>
      <c r="BD17" s="3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80" t="s">
        <v>4</v>
      </c>
      <c r="BR17" s="80"/>
      <c r="BS17" s="8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2"/>
      <c r="CG17" s="62"/>
      <c r="CH17" s="60"/>
      <c r="CI17" s="60"/>
      <c r="CJ17" s="60"/>
      <c r="CK17" s="60"/>
      <c r="CL17" s="60"/>
      <c r="CM17" s="60"/>
      <c r="CN17" s="60"/>
      <c r="CO17" s="60"/>
    </row>
    <row r="18" spans="2:93" x14ac:dyDescent="0.35">
      <c r="B18" s="80" t="s">
        <v>85</v>
      </c>
      <c r="C18" s="80"/>
      <c r="D18" s="8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  <c r="R18" s="2"/>
      <c r="S18" s="2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f>1/5</f>
        <v>0.2</v>
      </c>
      <c r="AD18" s="60"/>
      <c r="AE18" s="60">
        <v>9</v>
      </c>
      <c r="AF18" s="60"/>
      <c r="AG18" s="60">
        <f>1/7</f>
        <v>0.14285714285714285</v>
      </c>
      <c r="AH18" s="60"/>
      <c r="AI18" s="60">
        <f>1/3</f>
        <v>0.33333333333333331</v>
      </c>
      <c r="AJ18" s="60"/>
      <c r="AK18" s="60">
        <f>1/9</f>
        <v>0.1111111111111111</v>
      </c>
      <c r="AL18" s="60"/>
      <c r="AM18" s="62">
        <v>1</v>
      </c>
      <c r="AN18" s="62"/>
      <c r="AO18" s="60">
        <f>1/4</f>
        <v>0.25</v>
      </c>
      <c r="AP18" s="60"/>
      <c r="AQ18" s="60">
        <v>6</v>
      </c>
      <c r="AR18" s="60"/>
      <c r="AS18" s="60">
        <v>5</v>
      </c>
      <c r="AT18" s="60"/>
      <c r="AW18" s="80" t="s">
        <v>85</v>
      </c>
      <c r="AX18" s="80"/>
      <c r="AY18" s="80"/>
      <c r="AZ18" s="2"/>
      <c r="BA18" s="2"/>
      <c r="BB18" s="3"/>
      <c r="BC18" s="2"/>
      <c r="BD18" s="2"/>
      <c r="BE18" s="2"/>
      <c r="BF18" s="5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80" t="s">
        <v>5</v>
      </c>
      <c r="BR18" s="80"/>
      <c r="BS18" s="80"/>
      <c r="BV18" s="60" t="s">
        <v>7</v>
      </c>
      <c r="BW18" s="60"/>
      <c r="BX18" s="60">
        <f>1/3</f>
        <v>0.33333333333333331</v>
      </c>
      <c r="BY18" s="60"/>
      <c r="BZ18" s="60">
        <f>1/7</f>
        <v>0.14285714285714285</v>
      </c>
      <c r="CA18" s="60"/>
      <c r="CB18" s="60">
        <f>1/3</f>
        <v>0.33333333333333331</v>
      </c>
      <c r="CC18" s="60"/>
      <c r="CD18" s="60">
        <f>1/7</f>
        <v>0.14285714285714285</v>
      </c>
      <c r="CE18" s="60"/>
      <c r="CF18" s="60">
        <f>1/3</f>
        <v>0.33333333333333331</v>
      </c>
      <c r="CG18" s="60"/>
      <c r="CH18" s="62">
        <v>1</v>
      </c>
      <c r="CI18" s="62"/>
      <c r="CJ18" s="60">
        <f>1/5</f>
        <v>0.2</v>
      </c>
      <c r="CK18" s="60"/>
      <c r="CL18" s="60">
        <v>9</v>
      </c>
      <c r="CM18" s="60"/>
      <c r="CN18" s="60">
        <v>9</v>
      </c>
      <c r="CO18" s="60"/>
    </row>
    <row r="19" spans="2:93" x14ac:dyDescent="0.35">
      <c r="B19" s="80" t="s">
        <v>85</v>
      </c>
      <c r="C19" s="80"/>
      <c r="D19" s="80"/>
      <c r="E19" s="2"/>
      <c r="F19" s="2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  <c r="AW19" s="80" t="s">
        <v>85</v>
      </c>
      <c r="AX19" s="80"/>
      <c r="AY19" s="80"/>
      <c r="AZ19" s="2"/>
      <c r="BA19" s="2"/>
      <c r="BB19" s="3"/>
      <c r="BC19" s="2"/>
      <c r="BD19" s="2"/>
      <c r="BE19" s="2"/>
      <c r="BF19" s="5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80" t="s">
        <v>6</v>
      </c>
      <c r="BR19" s="80"/>
      <c r="BS19" s="8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2"/>
      <c r="CI19" s="62"/>
      <c r="CJ19" s="60"/>
      <c r="CK19" s="60"/>
      <c r="CL19" s="60"/>
      <c r="CM19" s="60"/>
      <c r="CN19" s="60"/>
      <c r="CO19" s="60"/>
    </row>
    <row r="20" spans="2:93" x14ac:dyDescent="0.35">
      <c r="B20" s="80" t="s">
        <v>85</v>
      </c>
      <c r="C20" s="80"/>
      <c r="D20" s="80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v>2</v>
      </c>
      <c r="AD20" s="60"/>
      <c r="AE20" s="60">
        <f>1/3</f>
        <v>0.33333333333333331</v>
      </c>
      <c r="AF20" s="60"/>
      <c r="AG20" s="60">
        <f>1/5</f>
        <v>0.2</v>
      </c>
      <c r="AH20" s="60"/>
      <c r="AI20" s="60">
        <f>1/5</f>
        <v>0.2</v>
      </c>
      <c r="AJ20" s="60"/>
      <c r="AK20" s="60">
        <v>5</v>
      </c>
      <c r="AL20" s="60"/>
      <c r="AM20" s="60">
        <v>4</v>
      </c>
      <c r="AN20" s="60"/>
      <c r="AO20" s="62">
        <v>1</v>
      </c>
      <c r="AP20" s="62"/>
      <c r="AQ20" s="60">
        <v>5</v>
      </c>
      <c r="AR20" s="60"/>
      <c r="AS20" s="60">
        <f>1/5</f>
        <v>0.2</v>
      </c>
      <c r="AT20" s="60"/>
      <c r="AW20" s="80" t="s">
        <v>85</v>
      </c>
      <c r="AX20" s="80"/>
      <c r="AY20" s="80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3"/>
      <c r="BO20" s="2"/>
      <c r="BP20" s="2"/>
      <c r="BQ20" s="80" t="s">
        <v>7</v>
      </c>
      <c r="BR20" s="80"/>
      <c r="BS20" s="80"/>
      <c r="BV20" s="60" t="s">
        <v>8</v>
      </c>
      <c r="BW20" s="60"/>
      <c r="BX20" s="60">
        <f>1/5</f>
        <v>0.2</v>
      </c>
      <c r="BY20" s="60"/>
      <c r="BZ20" s="60">
        <f>1/3</f>
        <v>0.33333333333333331</v>
      </c>
      <c r="CA20" s="60"/>
      <c r="CB20" s="60">
        <f>1/5</f>
        <v>0.2</v>
      </c>
      <c r="CC20" s="60"/>
      <c r="CD20" s="60">
        <f>1/5</f>
        <v>0.2</v>
      </c>
      <c r="CE20" s="60"/>
      <c r="CF20" s="60">
        <f>1/4</f>
        <v>0.25</v>
      </c>
      <c r="CG20" s="60"/>
      <c r="CH20" s="60">
        <v>5</v>
      </c>
      <c r="CI20" s="60"/>
      <c r="CJ20" s="62">
        <v>1</v>
      </c>
      <c r="CK20" s="62"/>
      <c r="CL20" s="60">
        <v>7</v>
      </c>
      <c r="CM20" s="60"/>
      <c r="CN20" s="60">
        <f>1/5</f>
        <v>0.2</v>
      </c>
      <c r="CO20" s="60"/>
    </row>
    <row r="21" spans="2:93" x14ac:dyDescent="0.35">
      <c r="B21" s="80" t="s">
        <v>85</v>
      </c>
      <c r="C21" s="80"/>
      <c r="D21" s="80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2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0"/>
      <c r="AT21" s="60"/>
      <c r="AW21" s="80" t="s">
        <v>85</v>
      </c>
      <c r="AX21" s="80"/>
      <c r="AY21" s="80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3"/>
      <c r="BK21" s="2"/>
      <c r="BL21" s="2"/>
      <c r="BM21" s="2"/>
      <c r="BN21" s="2"/>
      <c r="BO21" s="2"/>
      <c r="BP21" s="5"/>
      <c r="BQ21" s="80" t="s">
        <v>8</v>
      </c>
      <c r="BR21" s="80"/>
      <c r="BS21" s="8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2"/>
      <c r="CK21" s="62"/>
      <c r="CL21" s="60"/>
      <c r="CM21" s="60"/>
      <c r="CN21" s="60"/>
      <c r="CO21" s="60"/>
    </row>
    <row r="22" spans="2:93" x14ac:dyDescent="0.35">
      <c r="B22" s="80" t="s">
        <v>85</v>
      </c>
      <c r="C22" s="80"/>
      <c r="D22" s="8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3"/>
      <c r="T22" s="2"/>
      <c r="U22" s="2"/>
      <c r="V22" s="80" t="s">
        <v>80</v>
      </c>
      <c r="W22" s="80"/>
      <c r="X22" s="80"/>
      <c r="AA22" s="60" t="s">
        <v>80</v>
      </c>
      <c r="AB22" s="60"/>
      <c r="AC22" s="60">
        <f>1/3</f>
        <v>0.33333333333333331</v>
      </c>
      <c r="AD22" s="60"/>
      <c r="AE22" s="60">
        <f>1/7</f>
        <v>0.14285714285714285</v>
      </c>
      <c r="AF22" s="60"/>
      <c r="AG22" s="60">
        <f>1/9</f>
        <v>0.1111111111111111</v>
      </c>
      <c r="AH22" s="60"/>
      <c r="AI22" s="60">
        <f>1/7</f>
        <v>0.14285714285714285</v>
      </c>
      <c r="AJ22" s="60"/>
      <c r="AK22" s="60">
        <f>1/9</f>
        <v>0.1111111111111111</v>
      </c>
      <c r="AL22" s="60"/>
      <c r="AM22" s="60">
        <f>1/6</f>
        <v>0.16666666666666666</v>
      </c>
      <c r="AN22" s="60"/>
      <c r="AO22" s="60">
        <f>1/5</f>
        <v>0.2</v>
      </c>
      <c r="AP22" s="60"/>
      <c r="AQ22" s="62">
        <v>1</v>
      </c>
      <c r="AR22" s="62"/>
      <c r="AS22" s="60">
        <f>1/7</f>
        <v>0.14285714285714285</v>
      </c>
      <c r="AT22" s="60"/>
      <c r="AW22" s="80" t="s">
        <v>85</v>
      </c>
      <c r="AX22" s="80"/>
      <c r="AY22" s="80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3"/>
      <c r="BM22" s="2"/>
      <c r="BN22" s="2"/>
      <c r="BO22" s="2"/>
      <c r="BP22" s="2"/>
      <c r="BQ22" s="80" t="s">
        <v>80</v>
      </c>
      <c r="BR22" s="80"/>
      <c r="BS22" s="80"/>
      <c r="BV22" s="60" t="s">
        <v>80</v>
      </c>
      <c r="BW22" s="60"/>
      <c r="BX22" s="60">
        <v>2</v>
      </c>
      <c r="BY22" s="60"/>
      <c r="BZ22" s="60">
        <f>1/5</f>
        <v>0.2</v>
      </c>
      <c r="CA22" s="60"/>
      <c r="CB22" s="60">
        <v>3</v>
      </c>
      <c r="CC22" s="60"/>
      <c r="CD22" s="60">
        <f>1/3</f>
        <v>0.33333333333333331</v>
      </c>
      <c r="CE22" s="60"/>
      <c r="CF22" s="60">
        <f>1/3</f>
        <v>0.33333333333333331</v>
      </c>
      <c r="CG22" s="60"/>
      <c r="CH22" s="60">
        <f>1/9</f>
        <v>0.1111111111111111</v>
      </c>
      <c r="CI22" s="60"/>
      <c r="CJ22" s="60">
        <f>1/7</f>
        <v>0.14285714285714285</v>
      </c>
      <c r="CK22" s="60"/>
      <c r="CL22" s="62">
        <v>1</v>
      </c>
      <c r="CM22" s="62"/>
      <c r="CN22" s="60">
        <f>1/2</f>
        <v>0.5</v>
      </c>
      <c r="CO22" s="60"/>
    </row>
    <row r="23" spans="2:93" x14ac:dyDescent="0.35">
      <c r="B23" s="80" t="s">
        <v>85</v>
      </c>
      <c r="C23" s="80"/>
      <c r="D23" s="8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3"/>
      <c r="T23" s="2"/>
      <c r="U23" s="2"/>
      <c r="V23" s="80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  <c r="AW23" s="80" t="s">
        <v>85</v>
      </c>
      <c r="AX23" s="80"/>
      <c r="AY23" s="80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3"/>
      <c r="BK23" s="2"/>
      <c r="BL23" s="2"/>
      <c r="BM23" s="2"/>
      <c r="BN23" s="2"/>
      <c r="BO23" s="2"/>
      <c r="BP23" s="2"/>
      <c r="BQ23" s="80" t="s">
        <v>9</v>
      </c>
      <c r="BR23" s="80"/>
      <c r="BS23" s="8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2"/>
      <c r="CM23" s="62"/>
      <c r="CN23" s="60"/>
      <c r="CO23" s="60"/>
    </row>
    <row r="24" spans="2:93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f>1/5</f>
        <v>0.2</v>
      </c>
      <c r="AD24" s="60"/>
      <c r="AE24" s="60">
        <f>1/7</f>
        <v>0.14285714285714285</v>
      </c>
      <c r="AF24" s="60"/>
      <c r="AG24" s="60">
        <f>1/3</f>
        <v>0.33333333333333331</v>
      </c>
      <c r="AH24" s="60"/>
      <c r="AI24" s="60">
        <f>1/7</f>
        <v>0.14285714285714285</v>
      </c>
      <c r="AJ24" s="60"/>
      <c r="AK24" s="60">
        <f>1/7</f>
        <v>0.14285714285714285</v>
      </c>
      <c r="AL24" s="60"/>
      <c r="AM24" s="60">
        <f>1/5</f>
        <v>0.2</v>
      </c>
      <c r="AN24" s="60"/>
      <c r="AO24" s="60">
        <v>5</v>
      </c>
      <c r="AP24" s="60"/>
      <c r="AQ24" s="60">
        <v>7</v>
      </c>
      <c r="AR24" s="60"/>
      <c r="AS24" s="62">
        <v>1</v>
      </c>
      <c r="AT24" s="62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V24" s="60" t="s">
        <v>33</v>
      </c>
      <c r="BW24" s="60"/>
      <c r="BX24" s="60">
        <v>5</v>
      </c>
      <c r="BY24" s="60"/>
      <c r="BZ24" s="60">
        <f>1/3</f>
        <v>0.33333333333333331</v>
      </c>
      <c r="CA24" s="60"/>
      <c r="CB24" s="60">
        <v>7</v>
      </c>
      <c r="CC24" s="60"/>
      <c r="CD24" s="60">
        <f>1/9</f>
        <v>0.1111111111111111</v>
      </c>
      <c r="CE24" s="60"/>
      <c r="CF24" s="60">
        <f>1/9</f>
        <v>0.1111111111111111</v>
      </c>
      <c r="CG24" s="60"/>
      <c r="CH24" s="60">
        <f>1/9</f>
        <v>0.1111111111111111</v>
      </c>
      <c r="CI24" s="60"/>
      <c r="CJ24" s="60">
        <v>5</v>
      </c>
      <c r="CK24" s="60"/>
      <c r="CL24" s="60">
        <v>2</v>
      </c>
      <c r="CM24" s="60"/>
      <c r="CN24" s="62">
        <v>1</v>
      </c>
      <c r="CO24" s="62"/>
    </row>
    <row r="25" spans="2:93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  <c r="AW25" s="79" t="s">
        <v>2</v>
      </c>
      <c r="AX25" s="79"/>
      <c r="AY25" s="79"/>
      <c r="AZ25" s="2">
        <v>9</v>
      </c>
      <c r="BA25" s="2">
        <v>8</v>
      </c>
      <c r="BB25" s="2">
        <v>7</v>
      </c>
      <c r="BC25" s="2">
        <v>6</v>
      </c>
      <c r="BD25" s="2">
        <v>5</v>
      </c>
      <c r="BE25" s="2">
        <v>4</v>
      </c>
      <c r="BF25" s="2">
        <v>3</v>
      </c>
      <c r="BG25" s="2">
        <v>2</v>
      </c>
      <c r="BH25" s="2">
        <v>1</v>
      </c>
      <c r="BI25" s="2">
        <v>2</v>
      </c>
      <c r="BJ25" s="2">
        <v>3</v>
      </c>
      <c r="BK25" s="2">
        <v>4</v>
      </c>
      <c r="BL25" s="2">
        <v>5</v>
      </c>
      <c r="BM25" s="2">
        <v>6</v>
      </c>
      <c r="BN25" s="2">
        <v>7</v>
      </c>
      <c r="BO25" s="2">
        <v>8</v>
      </c>
      <c r="BP25" s="2">
        <v>9</v>
      </c>
      <c r="BQ25" s="79" t="s">
        <v>3</v>
      </c>
      <c r="BR25" s="79"/>
      <c r="BS25" s="79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2"/>
      <c r="CO25" s="62"/>
    </row>
    <row r="26" spans="2:93" x14ac:dyDescent="0.35">
      <c r="B26" s="80" t="s">
        <v>4</v>
      </c>
      <c r="C26" s="80"/>
      <c r="D26" s="80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S26" s="2"/>
      <c r="T26" s="2"/>
      <c r="U26" s="2"/>
      <c r="V26" s="80" t="s">
        <v>5</v>
      </c>
      <c r="W26" s="80"/>
      <c r="X26" s="80"/>
      <c r="AW26" s="80" t="s">
        <v>4</v>
      </c>
      <c r="AX26" s="80"/>
      <c r="AY26" s="80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3"/>
      <c r="BO26" s="2"/>
      <c r="BP26" s="2"/>
      <c r="BQ26" s="80" t="s">
        <v>5</v>
      </c>
      <c r="BR26" s="80"/>
      <c r="BS26" s="80"/>
    </row>
    <row r="27" spans="2:93" x14ac:dyDescent="0.35">
      <c r="B27" s="80" t="s">
        <v>4</v>
      </c>
      <c r="C27" s="80"/>
      <c r="D27" s="80"/>
      <c r="E27" s="2"/>
      <c r="F27" s="2"/>
      <c r="G27" s="3"/>
      <c r="H27" s="2"/>
      <c r="I27" s="2"/>
      <c r="J27" s="2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  <c r="AW27" s="80" t="s">
        <v>4</v>
      </c>
      <c r="AX27" s="80"/>
      <c r="AY27" s="80"/>
      <c r="AZ27" s="2"/>
      <c r="BA27" s="2"/>
      <c r="BB27" s="2"/>
      <c r="BC27" s="2"/>
      <c r="BD27" s="3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80" t="s">
        <v>6</v>
      </c>
      <c r="BR27" s="80"/>
      <c r="BS27" s="80"/>
    </row>
    <row r="28" spans="2:93" x14ac:dyDescent="0.35">
      <c r="B28" s="80" t="s">
        <v>4</v>
      </c>
      <c r="C28" s="80"/>
      <c r="D28" s="80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2"/>
      <c r="Q28" s="2"/>
      <c r="R28" s="2"/>
      <c r="S28" s="3"/>
      <c r="T28" s="2"/>
      <c r="U28" s="2"/>
      <c r="V28" s="80" t="s">
        <v>7</v>
      </c>
      <c r="W28" s="80"/>
      <c r="X28" s="80"/>
      <c r="AW28" s="80" t="s">
        <v>4</v>
      </c>
      <c r="AX28" s="80"/>
      <c r="AY28" s="80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3"/>
      <c r="BK28" s="2"/>
      <c r="BL28" s="2"/>
      <c r="BM28" s="2"/>
      <c r="BN28" s="2"/>
      <c r="BO28" s="2"/>
      <c r="BP28" s="2"/>
      <c r="BQ28" s="80" t="s">
        <v>7</v>
      </c>
      <c r="BR28" s="80"/>
      <c r="BS28" s="80"/>
    </row>
    <row r="29" spans="2:93" x14ac:dyDescent="0.35">
      <c r="B29" s="80" t="s">
        <v>4</v>
      </c>
      <c r="C29" s="80"/>
      <c r="D29" s="80"/>
      <c r="E29" s="2"/>
      <c r="F29" s="2"/>
      <c r="G29" s="2"/>
      <c r="H29" s="2"/>
      <c r="I29" s="2"/>
      <c r="J29" s="2"/>
      <c r="K29" s="2"/>
      <c r="L29" s="2"/>
      <c r="M29" s="2"/>
      <c r="N29" s="2"/>
      <c r="O29" s="5"/>
      <c r="P29" s="2"/>
      <c r="Q29" s="3"/>
      <c r="R29" s="2"/>
      <c r="S29" s="2"/>
      <c r="T29" s="2"/>
      <c r="U29" s="2"/>
      <c r="V29" s="80" t="s">
        <v>8</v>
      </c>
      <c r="W29" s="80"/>
      <c r="X29" s="80"/>
      <c r="AW29" s="80" t="s">
        <v>4</v>
      </c>
      <c r="AX29" s="80"/>
      <c r="AY29" s="80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3"/>
      <c r="BM29" s="2"/>
      <c r="BN29" s="2"/>
      <c r="BO29" s="2"/>
      <c r="BP29" s="2"/>
      <c r="BQ29" s="80" t="s">
        <v>8</v>
      </c>
      <c r="BR29" s="80"/>
      <c r="BS29" s="80"/>
    </row>
    <row r="30" spans="2:93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5"/>
      <c r="L30" s="2"/>
      <c r="M30" s="2"/>
      <c r="N30" s="2"/>
      <c r="O30" s="2"/>
      <c r="P30" s="2"/>
      <c r="Q30" s="2"/>
      <c r="R30" s="2"/>
      <c r="S30" s="2"/>
      <c r="T30" s="2"/>
      <c r="U30" s="3"/>
      <c r="V30" s="80" t="s">
        <v>80</v>
      </c>
      <c r="W30" s="80"/>
      <c r="X30" s="80"/>
      <c r="AW30" s="80" t="s">
        <v>4</v>
      </c>
      <c r="AX30" s="80"/>
      <c r="AY30" s="80"/>
      <c r="AZ30" s="2"/>
      <c r="BA30" s="2"/>
      <c r="BB30" s="2"/>
      <c r="BC30" s="2"/>
      <c r="BD30" s="2"/>
      <c r="BE30" s="2"/>
      <c r="BF30" s="3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80" t="s">
        <v>80</v>
      </c>
      <c r="BR30" s="80"/>
      <c r="BS30" s="80"/>
    </row>
    <row r="31" spans="2:93" x14ac:dyDescent="0.35">
      <c r="B31" s="80" t="s">
        <v>4</v>
      </c>
      <c r="C31" s="80"/>
      <c r="D31" s="80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S31" s="2"/>
      <c r="T31" s="2"/>
      <c r="U31" s="2"/>
      <c r="V31" s="80" t="s">
        <v>9</v>
      </c>
      <c r="W31" s="80"/>
      <c r="X31" s="80"/>
      <c r="AW31" s="80" t="s">
        <v>4</v>
      </c>
      <c r="AX31" s="80"/>
      <c r="AY31" s="80"/>
      <c r="AZ31" s="2"/>
      <c r="BA31" s="2"/>
      <c r="BB31" s="3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80" t="s">
        <v>9</v>
      </c>
      <c r="BR31" s="80"/>
      <c r="BS31" s="80"/>
    </row>
    <row r="32" spans="2:93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</row>
    <row r="33" spans="2:71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  <c r="AW33" s="79" t="s">
        <v>2</v>
      </c>
      <c r="AX33" s="79"/>
      <c r="AY33" s="79"/>
      <c r="AZ33" s="2">
        <v>9</v>
      </c>
      <c r="BA33" s="2">
        <v>8</v>
      </c>
      <c r="BB33" s="2">
        <v>7</v>
      </c>
      <c r="BC33" s="2">
        <v>6</v>
      </c>
      <c r="BD33" s="2">
        <v>5</v>
      </c>
      <c r="BE33" s="2">
        <v>4</v>
      </c>
      <c r="BF33" s="2">
        <v>3</v>
      </c>
      <c r="BG33" s="2">
        <v>2</v>
      </c>
      <c r="BH33" s="2">
        <v>1</v>
      </c>
      <c r="BI33" s="2">
        <v>2</v>
      </c>
      <c r="BJ33" s="2">
        <v>3</v>
      </c>
      <c r="BK33" s="2">
        <v>4</v>
      </c>
      <c r="BL33" s="2">
        <v>5</v>
      </c>
      <c r="BM33" s="2">
        <v>6</v>
      </c>
      <c r="BN33" s="2">
        <v>7</v>
      </c>
      <c r="BO33" s="2">
        <v>8</v>
      </c>
      <c r="BP33" s="2">
        <v>9</v>
      </c>
      <c r="BQ33" s="79" t="s">
        <v>3</v>
      </c>
      <c r="BR33" s="79"/>
      <c r="BS33" s="79"/>
    </row>
    <row r="34" spans="2:71" x14ac:dyDescent="0.35">
      <c r="B34" s="80" t="s">
        <v>5</v>
      </c>
      <c r="C34" s="80"/>
      <c r="D34" s="80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  <c r="AW34" s="80" t="s">
        <v>5</v>
      </c>
      <c r="AX34" s="80"/>
      <c r="AY34" s="80"/>
      <c r="AZ34" s="2"/>
      <c r="BA34" s="2"/>
      <c r="BB34" s="2"/>
      <c r="BC34" s="2"/>
      <c r="BD34" s="3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80" t="s">
        <v>6</v>
      </c>
      <c r="BR34" s="80"/>
      <c r="BS34" s="80"/>
    </row>
    <row r="35" spans="2:71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2"/>
      <c r="V35" s="80" t="s">
        <v>7</v>
      </c>
      <c r="W35" s="80"/>
      <c r="X35" s="80"/>
      <c r="AW35" s="80" t="s">
        <v>5</v>
      </c>
      <c r="AX35" s="80"/>
      <c r="AY35" s="80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3"/>
      <c r="BO35" s="2"/>
      <c r="BP35" s="2"/>
      <c r="BQ35" s="80" t="s">
        <v>7</v>
      </c>
      <c r="BR35" s="80"/>
      <c r="BS35" s="80"/>
    </row>
    <row r="36" spans="2:71" x14ac:dyDescent="0.35">
      <c r="B36" s="80" t="s">
        <v>5</v>
      </c>
      <c r="C36" s="80"/>
      <c r="D36" s="8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2"/>
      <c r="S36" s="2"/>
      <c r="T36" s="2"/>
      <c r="U36" s="2"/>
      <c r="V36" s="80" t="s">
        <v>8</v>
      </c>
      <c r="W36" s="80"/>
      <c r="X36" s="80"/>
      <c r="AW36" s="80" t="s">
        <v>5</v>
      </c>
      <c r="AX36" s="80"/>
      <c r="AY36" s="80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3"/>
      <c r="BM36" s="2"/>
      <c r="BN36" s="2"/>
      <c r="BO36" s="2"/>
      <c r="BP36" s="5"/>
      <c r="BQ36" s="80" t="s">
        <v>8</v>
      </c>
      <c r="BR36" s="80"/>
      <c r="BS36" s="80"/>
    </row>
    <row r="37" spans="2:71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"/>
      <c r="T37" s="2"/>
      <c r="U37" s="2"/>
      <c r="V37" s="80" t="s">
        <v>80</v>
      </c>
      <c r="W37" s="80"/>
      <c r="X37" s="80"/>
      <c r="AW37" s="80" t="s">
        <v>5</v>
      </c>
      <c r="AX37" s="80"/>
      <c r="AY37" s="80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3"/>
      <c r="BK37" s="2"/>
      <c r="BL37" s="2"/>
      <c r="BM37" s="2"/>
      <c r="BN37" s="2"/>
      <c r="BO37" s="2"/>
      <c r="BP37" s="2"/>
      <c r="BQ37" s="80" t="s">
        <v>80</v>
      </c>
      <c r="BR37" s="80"/>
      <c r="BS37" s="80"/>
    </row>
    <row r="38" spans="2:71" x14ac:dyDescent="0.35">
      <c r="B38" s="80" t="s">
        <v>5</v>
      </c>
      <c r="C38" s="80"/>
      <c r="D38" s="8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"/>
      <c r="T38" s="2"/>
      <c r="U38" s="2"/>
      <c r="V38" s="80" t="s">
        <v>9</v>
      </c>
      <c r="W38" s="80"/>
      <c r="X38" s="80"/>
      <c r="AW38" s="80" t="s">
        <v>5</v>
      </c>
      <c r="AX38" s="80"/>
      <c r="AY38" s="80"/>
      <c r="AZ38" s="2"/>
      <c r="BA38" s="2"/>
      <c r="BB38" s="2"/>
      <c r="BC38" s="2"/>
      <c r="BD38" s="2"/>
      <c r="BE38" s="2"/>
      <c r="BF38" s="5"/>
      <c r="BG38" s="2"/>
      <c r="BH38" s="2"/>
      <c r="BI38" s="2"/>
      <c r="BJ38" s="2"/>
      <c r="BK38" s="2"/>
      <c r="BL38" s="2"/>
      <c r="BM38" s="2"/>
      <c r="BN38" s="2"/>
      <c r="BO38" s="2"/>
      <c r="BP38" s="3"/>
      <c r="BQ38" s="80" t="s">
        <v>9</v>
      </c>
      <c r="BR38" s="80"/>
      <c r="BS38" s="80"/>
    </row>
    <row r="39" spans="2:71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</row>
    <row r="40" spans="2:71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  <c r="AW40" s="79" t="s">
        <v>2</v>
      </c>
      <c r="AX40" s="79"/>
      <c r="AY40" s="79"/>
      <c r="AZ40" s="2">
        <v>9</v>
      </c>
      <c r="BA40" s="2">
        <v>8</v>
      </c>
      <c r="BB40" s="2">
        <v>7</v>
      </c>
      <c r="BC40" s="2">
        <v>6</v>
      </c>
      <c r="BD40" s="2">
        <v>5</v>
      </c>
      <c r="BE40" s="2">
        <v>4</v>
      </c>
      <c r="BF40" s="2">
        <v>3</v>
      </c>
      <c r="BG40" s="2">
        <v>2</v>
      </c>
      <c r="BH40" s="2">
        <v>1</v>
      </c>
      <c r="BI40" s="2">
        <v>2</v>
      </c>
      <c r="BJ40" s="2">
        <v>3</v>
      </c>
      <c r="BK40" s="2">
        <v>4</v>
      </c>
      <c r="BL40" s="2">
        <v>5</v>
      </c>
      <c r="BM40" s="2">
        <v>6</v>
      </c>
      <c r="BN40" s="2">
        <v>7</v>
      </c>
      <c r="BO40" s="2">
        <v>8</v>
      </c>
      <c r="BP40" s="2">
        <v>9</v>
      </c>
      <c r="BQ40" s="79" t="s">
        <v>3</v>
      </c>
      <c r="BR40" s="79"/>
      <c r="BS40" s="79"/>
    </row>
    <row r="41" spans="2:71" x14ac:dyDescent="0.35">
      <c r="B41" s="80" t="s">
        <v>6</v>
      </c>
      <c r="C41" s="80"/>
      <c r="D41" s="80"/>
      <c r="E41" s="2"/>
      <c r="F41" s="2"/>
      <c r="G41" s="2"/>
      <c r="H41" s="2"/>
      <c r="I41" s="2"/>
      <c r="J41" s="2"/>
      <c r="K41" s="2"/>
      <c r="L41" s="2"/>
      <c r="M41" s="2"/>
      <c r="N41" s="2"/>
      <c r="O41" s="5"/>
      <c r="P41" s="2"/>
      <c r="Q41" s="2"/>
      <c r="R41" s="2"/>
      <c r="S41" s="2"/>
      <c r="T41" s="2"/>
      <c r="U41" s="3"/>
      <c r="V41" s="80" t="s">
        <v>7</v>
      </c>
      <c r="W41" s="80"/>
      <c r="X41" s="80"/>
      <c r="AW41" s="80" t="s">
        <v>6</v>
      </c>
      <c r="AX41" s="80"/>
      <c r="AY41" s="80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3"/>
      <c r="BK41" s="2"/>
      <c r="BL41" s="2"/>
      <c r="BM41" s="2"/>
      <c r="BN41" s="2"/>
      <c r="BO41" s="2"/>
      <c r="BP41" s="2"/>
      <c r="BQ41" s="80" t="s">
        <v>7</v>
      </c>
      <c r="BR41" s="80"/>
      <c r="BS41" s="80"/>
    </row>
    <row r="42" spans="2:71" x14ac:dyDescent="0.35">
      <c r="B42" s="80" t="s">
        <v>6</v>
      </c>
      <c r="C42" s="80"/>
      <c r="D42" s="80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80" t="s">
        <v>8</v>
      </c>
      <c r="W42" s="80"/>
      <c r="X42" s="80"/>
      <c r="AW42" s="80" t="s">
        <v>6</v>
      </c>
      <c r="AX42" s="80"/>
      <c r="AY42" s="80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3"/>
      <c r="BL42" s="5"/>
      <c r="BM42" s="2"/>
      <c r="BN42" s="2"/>
      <c r="BO42" s="2"/>
      <c r="BP42" s="2"/>
      <c r="BQ42" s="80" t="s">
        <v>8</v>
      </c>
      <c r="BR42" s="80"/>
      <c r="BS42" s="80"/>
    </row>
    <row r="43" spans="2:71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2"/>
      <c r="L43" s="2"/>
      <c r="M43" s="2"/>
      <c r="N43" s="2"/>
      <c r="O43" s="5"/>
      <c r="P43" s="2"/>
      <c r="Q43" s="2"/>
      <c r="R43" s="2"/>
      <c r="S43" s="2"/>
      <c r="T43" s="2"/>
      <c r="U43" s="3"/>
      <c r="V43" s="80" t="s">
        <v>80</v>
      </c>
      <c r="W43" s="80"/>
      <c r="X43" s="80"/>
      <c r="AW43" s="80" t="s">
        <v>6</v>
      </c>
      <c r="AX43" s="80"/>
      <c r="AY43" s="80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3"/>
      <c r="BK43" s="2"/>
      <c r="BL43" s="2"/>
      <c r="BM43" s="2"/>
      <c r="BN43" s="5"/>
      <c r="BO43" s="2"/>
      <c r="BP43" s="2"/>
      <c r="BQ43" s="80" t="s">
        <v>80</v>
      </c>
      <c r="BR43" s="80"/>
      <c r="BS43" s="80"/>
    </row>
    <row r="44" spans="2:71" x14ac:dyDescent="0.35">
      <c r="B44" s="80" t="s">
        <v>6</v>
      </c>
      <c r="C44" s="80"/>
      <c r="D44" s="80"/>
      <c r="E44" s="2"/>
      <c r="F44" s="2"/>
      <c r="G44" s="2"/>
      <c r="H44" s="2"/>
      <c r="I44" s="2"/>
      <c r="J44" s="2"/>
      <c r="K44" s="2"/>
      <c r="L44" s="2"/>
      <c r="M44" s="2"/>
      <c r="N44" s="2"/>
      <c r="O44" s="5"/>
      <c r="P44" s="2"/>
      <c r="Q44" s="2"/>
      <c r="R44" s="2"/>
      <c r="S44" s="3"/>
      <c r="T44" s="2"/>
      <c r="U44" s="2"/>
      <c r="V44" s="80" t="s">
        <v>9</v>
      </c>
      <c r="W44" s="80"/>
      <c r="X44" s="80"/>
      <c r="AW44" s="80" t="s">
        <v>6</v>
      </c>
      <c r="AX44" s="80"/>
      <c r="AY44" s="80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5"/>
      <c r="BK44" s="2"/>
      <c r="BL44" s="2"/>
      <c r="BM44" s="2"/>
      <c r="BN44" s="2"/>
      <c r="BO44" s="2"/>
      <c r="BP44" s="3"/>
      <c r="BQ44" s="80" t="s">
        <v>9</v>
      </c>
      <c r="BR44" s="80"/>
      <c r="BS44" s="80"/>
    </row>
    <row r="45" spans="2:71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AB45" s="41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</row>
    <row r="46" spans="2:71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  <c r="AW46" s="79" t="s">
        <v>2</v>
      </c>
      <c r="AX46" s="79"/>
      <c r="AY46" s="79"/>
      <c r="AZ46" s="2">
        <v>9</v>
      </c>
      <c r="BA46" s="2">
        <v>8</v>
      </c>
      <c r="BB46" s="2">
        <v>7</v>
      </c>
      <c r="BC46" s="2">
        <v>6</v>
      </c>
      <c r="BD46" s="2">
        <v>5</v>
      </c>
      <c r="BE46" s="2">
        <v>4</v>
      </c>
      <c r="BF46" s="2">
        <v>3</v>
      </c>
      <c r="BG46" s="2">
        <v>2</v>
      </c>
      <c r="BH46" s="2">
        <v>1</v>
      </c>
      <c r="BI46" s="2">
        <v>2</v>
      </c>
      <c r="BJ46" s="2">
        <v>3</v>
      </c>
      <c r="BK46" s="2">
        <v>4</v>
      </c>
      <c r="BL46" s="2">
        <v>5</v>
      </c>
      <c r="BM46" s="2">
        <v>6</v>
      </c>
      <c r="BN46" s="2">
        <v>7</v>
      </c>
      <c r="BO46" s="2">
        <v>8</v>
      </c>
      <c r="BP46" s="2">
        <v>9</v>
      </c>
      <c r="BQ46" s="79" t="s">
        <v>3</v>
      </c>
      <c r="BR46" s="79"/>
      <c r="BS46" s="79"/>
    </row>
    <row r="47" spans="2:71" x14ac:dyDescent="0.35">
      <c r="B47" s="80" t="s">
        <v>7</v>
      </c>
      <c r="C47" s="80"/>
      <c r="D47" s="80"/>
      <c r="E47" s="2"/>
      <c r="F47" s="2"/>
      <c r="G47" s="2"/>
      <c r="H47" s="2"/>
      <c r="I47" s="2"/>
      <c r="J47" s="3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  <c r="AW47" s="80" t="s">
        <v>7</v>
      </c>
      <c r="AX47" s="80"/>
      <c r="AY47" s="80"/>
      <c r="AZ47" s="2"/>
      <c r="BA47" s="2"/>
      <c r="BB47" s="5"/>
      <c r="BC47" s="2"/>
      <c r="BD47" s="3"/>
      <c r="BE47" s="2"/>
      <c r="BF47" s="5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80" t="s">
        <v>8</v>
      </c>
      <c r="BR47" s="80"/>
      <c r="BS47" s="80"/>
    </row>
    <row r="48" spans="2:71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5"/>
      <c r="P48" s="2"/>
      <c r="Q48" s="2"/>
      <c r="R48" s="3"/>
      <c r="S48" s="2"/>
      <c r="T48" s="2"/>
      <c r="U48" s="2"/>
      <c r="V48" s="80" t="s">
        <v>80</v>
      </c>
      <c r="W48" s="80"/>
      <c r="X48" s="80"/>
      <c r="AW48" s="80" t="s">
        <v>7</v>
      </c>
      <c r="AX48" s="80"/>
      <c r="AY48" s="80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5"/>
      <c r="BK48" s="2"/>
      <c r="BL48" s="2"/>
      <c r="BM48" s="2"/>
      <c r="BN48" s="2"/>
      <c r="BO48" s="2"/>
      <c r="BP48" s="3"/>
      <c r="BQ48" s="80" t="s">
        <v>80</v>
      </c>
      <c r="BR48" s="80"/>
      <c r="BS48" s="80"/>
    </row>
    <row r="49" spans="2:89" x14ac:dyDescent="0.35">
      <c r="B49" s="80" t="s">
        <v>7</v>
      </c>
      <c r="C49" s="80"/>
      <c r="D49" s="80"/>
      <c r="E49" s="2"/>
      <c r="F49" s="2"/>
      <c r="G49" s="2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80" t="s">
        <v>9</v>
      </c>
      <c r="W49" s="80"/>
      <c r="X49" s="80"/>
      <c r="AW49" s="80" t="s">
        <v>7</v>
      </c>
      <c r="AX49" s="80"/>
      <c r="AY49" s="80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5"/>
      <c r="BK49" s="2"/>
      <c r="BL49" s="2"/>
      <c r="BM49" s="2"/>
      <c r="BN49" s="2"/>
      <c r="BO49" s="2"/>
      <c r="BP49" s="3"/>
      <c r="BQ49" s="80" t="s">
        <v>9</v>
      </c>
      <c r="BR49" s="80"/>
      <c r="BS49" s="80"/>
    </row>
    <row r="50" spans="2:89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</row>
    <row r="51" spans="2:89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  <c r="AW51" s="79" t="s">
        <v>2</v>
      </c>
      <c r="AX51" s="79"/>
      <c r="AY51" s="79"/>
      <c r="AZ51" s="2">
        <v>9</v>
      </c>
      <c r="BA51" s="2">
        <v>8</v>
      </c>
      <c r="BB51" s="2">
        <v>7</v>
      </c>
      <c r="BC51" s="2">
        <v>6</v>
      </c>
      <c r="BD51" s="2">
        <v>5</v>
      </c>
      <c r="BE51" s="2">
        <v>4</v>
      </c>
      <c r="BF51" s="2">
        <v>3</v>
      </c>
      <c r="BG51" s="2">
        <v>2</v>
      </c>
      <c r="BH51" s="2">
        <v>1</v>
      </c>
      <c r="BI51" s="2">
        <v>2</v>
      </c>
      <c r="BJ51" s="2">
        <v>3</v>
      </c>
      <c r="BK51" s="2">
        <v>4</v>
      </c>
      <c r="BL51" s="2">
        <v>5</v>
      </c>
      <c r="BM51" s="2">
        <v>6</v>
      </c>
      <c r="BN51" s="2">
        <v>7</v>
      </c>
      <c r="BO51" s="2">
        <v>8</v>
      </c>
      <c r="BP51" s="2">
        <v>9</v>
      </c>
      <c r="BQ51" s="79" t="s">
        <v>3</v>
      </c>
      <c r="BR51" s="79"/>
      <c r="BS51" s="79"/>
    </row>
    <row r="52" spans="2:89" x14ac:dyDescent="0.35">
      <c r="B52" s="80" t="s">
        <v>8</v>
      </c>
      <c r="C52" s="80"/>
      <c r="D52" s="80"/>
      <c r="E52" s="2"/>
      <c r="F52" s="2"/>
      <c r="G52" s="2"/>
      <c r="H52" s="2"/>
      <c r="I52" s="2"/>
      <c r="J52" s="2"/>
      <c r="K52" s="2"/>
      <c r="L52" s="2"/>
      <c r="M52" s="2"/>
      <c r="N52" s="2"/>
      <c r="O52" s="5"/>
      <c r="P52" s="2"/>
      <c r="Q52" s="3"/>
      <c r="R52" s="2"/>
      <c r="S52" s="2"/>
      <c r="T52" s="2"/>
      <c r="U52" s="2"/>
      <c r="V52" s="80" t="s">
        <v>80</v>
      </c>
      <c r="W52" s="80"/>
      <c r="X52" s="80"/>
      <c r="AW52" s="80" t="s">
        <v>8</v>
      </c>
      <c r="AX52" s="80"/>
      <c r="AY52" s="80"/>
      <c r="AZ52" s="2"/>
      <c r="BA52" s="2"/>
      <c r="BB52" s="2"/>
      <c r="BC52" s="2"/>
      <c r="BD52" s="2"/>
      <c r="BE52" s="2"/>
      <c r="BF52" s="5"/>
      <c r="BG52" s="2"/>
      <c r="BH52" s="2"/>
      <c r="BI52" s="2"/>
      <c r="BJ52" s="2"/>
      <c r="BK52" s="2"/>
      <c r="BL52" s="2"/>
      <c r="BM52" s="2"/>
      <c r="BN52" s="3"/>
      <c r="BO52" s="2"/>
      <c r="BP52" s="2"/>
      <c r="BQ52" s="80" t="s">
        <v>80</v>
      </c>
      <c r="BR52" s="80"/>
      <c r="BS52" s="80"/>
    </row>
    <row r="53" spans="2:89" x14ac:dyDescent="0.35">
      <c r="B53" s="80" t="s">
        <v>8</v>
      </c>
      <c r="C53" s="80"/>
      <c r="D53" s="80"/>
      <c r="E53" s="2"/>
      <c r="F53" s="2"/>
      <c r="G53" s="2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80" t="s">
        <v>9</v>
      </c>
      <c r="W53" s="80"/>
      <c r="X53" s="80"/>
      <c r="AW53" s="80" t="s">
        <v>8</v>
      </c>
      <c r="AX53" s="80"/>
      <c r="AY53" s="80"/>
      <c r="AZ53" s="2"/>
      <c r="BA53" s="2"/>
      <c r="BB53" s="2"/>
      <c r="BC53" s="2"/>
      <c r="BD53" s="3"/>
      <c r="BE53" s="2"/>
      <c r="BF53" s="5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80" t="s">
        <v>9</v>
      </c>
      <c r="BR53" s="80"/>
      <c r="BS53" s="80"/>
    </row>
    <row r="54" spans="2:89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</row>
    <row r="55" spans="2:89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  <c r="AW55" s="79" t="s">
        <v>2</v>
      </c>
      <c r="AX55" s="79"/>
      <c r="AY55" s="79"/>
      <c r="AZ55" s="2">
        <v>9</v>
      </c>
      <c r="BA55" s="2">
        <v>8</v>
      </c>
      <c r="BB55" s="2">
        <v>7</v>
      </c>
      <c r="BC55" s="2">
        <v>6</v>
      </c>
      <c r="BD55" s="2">
        <v>5</v>
      </c>
      <c r="BE55" s="2">
        <v>4</v>
      </c>
      <c r="BF55" s="2">
        <v>3</v>
      </c>
      <c r="BG55" s="2">
        <v>2</v>
      </c>
      <c r="BH55" s="2">
        <v>1</v>
      </c>
      <c r="BI55" s="2">
        <v>2</v>
      </c>
      <c r="BJ55" s="2">
        <v>3</v>
      </c>
      <c r="BK55" s="2">
        <v>4</v>
      </c>
      <c r="BL55" s="2">
        <v>5</v>
      </c>
      <c r="BM55" s="2">
        <v>6</v>
      </c>
      <c r="BN55" s="2">
        <v>7</v>
      </c>
      <c r="BO55" s="2">
        <v>8</v>
      </c>
      <c r="BP55" s="2">
        <v>9</v>
      </c>
      <c r="BQ55" s="79" t="s">
        <v>3</v>
      </c>
      <c r="BR55" s="79"/>
      <c r="BS55" s="79"/>
    </row>
    <row r="56" spans="2:89" x14ac:dyDescent="0.35">
      <c r="B56" s="80" t="s">
        <v>80</v>
      </c>
      <c r="C56" s="80"/>
      <c r="D56" s="80"/>
      <c r="E56" s="2"/>
      <c r="F56" s="2"/>
      <c r="G56" s="3"/>
      <c r="H56" s="2"/>
      <c r="I56" s="2"/>
      <c r="J56" s="2"/>
      <c r="K56" s="5"/>
      <c r="L56" s="2"/>
      <c r="M56" s="2"/>
      <c r="N56" s="2"/>
      <c r="O56" s="2"/>
      <c r="P56" s="2"/>
      <c r="Q56" s="2"/>
      <c r="R56" s="2"/>
      <c r="S56" s="2"/>
      <c r="T56" s="2"/>
      <c r="U56" s="2"/>
      <c r="V56" s="80" t="s">
        <v>9</v>
      </c>
      <c r="W56" s="80"/>
      <c r="X56" s="80"/>
      <c r="AW56" s="80" t="s">
        <v>80</v>
      </c>
      <c r="AX56" s="80"/>
      <c r="AY56" s="80"/>
      <c r="AZ56" s="2"/>
      <c r="BA56" s="2"/>
      <c r="BB56" s="2"/>
      <c r="BC56" s="2"/>
      <c r="BD56" s="2"/>
      <c r="BE56" s="2"/>
      <c r="BF56" s="2"/>
      <c r="BG56" s="3"/>
      <c r="BH56" s="2"/>
      <c r="BI56" s="2"/>
      <c r="BJ56" s="2"/>
      <c r="BK56" s="2"/>
      <c r="BL56" s="2"/>
      <c r="BM56" s="2"/>
      <c r="BN56" s="2"/>
      <c r="BO56" s="2"/>
      <c r="BP56" s="2"/>
      <c r="BQ56" s="80" t="s">
        <v>9</v>
      </c>
      <c r="BR56" s="80"/>
      <c r="BS56" s="80"/>
    </row>
    <row r="59" spans="2:89" x14ac:dyDescent="0.35">
      <c r="B59" s="85" t="s">
        <v>10</v>
      </c>
      <c r="C59" s="85"/>
      <c r="AW59" s="85" t="s">
        <v>10</v>
      </c>
      <c r="AX59" s="85"/>
    </row>
    <row r="61" spans="2:89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60"/>
      <c r="AW61" s="79" t="s">
        <v>2</v>
      </c>
      <c r="AX61" s="79"/>
      <c r="AY61" s="79"/>
      <c r="AZ61" s="2">
        <v>9</v>
      </c>
      <c r="BA61" s="2">
        <v>8</v>
      </c>
      <c r="BB61" s="2">
        <v>7</v>
      </c>
      <c r="BC61" s="2">
        <v>6</v>
      </c>
      <c r="BD61" s="2">
        <v>5</v>
      </c>
      <c r="BE61" s="2">
        <v>4</v>
      </c>
      <c r="BF61" s="2">
        <v>3</v>
      </c>
      <c r="BG61" s="2">
        <v>2</v>
      </c>
      <c r="BH61" s="2">
        <v>1</v>
      </c>
      <c r="BI61" s="2">
        <v>2</v>
      </c>
      <c r="BJ61" s="2">
        <v>3</v>
      </c>
      <c r="BK61" s="2">
        <v>4</v>
      </c>
      <c r="BL61" s="2">
        <v>5</v>
      </c>
      <c r="BM61" s="2">
        <v>6</v>
      </c>
      <c r="BN61" s="2">
        <v>7</v>
      </c>
      <c r="BO61" s="2">
        <v>8</v>
      </c>
      <c r="BP61" s="2">
        <v>9</v>
      </c>
      <c r="BQ61" s="79" t="s">
        <v>3</v>
      </c>
      <c r="BR61" s="79"/>
      <c r="BS61" s="79"/>
      <c r="BV61" s="60"/>
      <c r="BW61" s="60"/>
      <c r="BX61" s="60" t="s">
        <v>11</v>
      </c>
      <c r="BY61" s="60"/>
      <c r="BZ61" s="60" t="s">
        <v>81</v>
      </c>
      <c r="CA61" s="60"/>
      <c r="CB61" s="60" t="s">
        <v>27</v>
      </c>
      <c r="CC61" s="60"/>
      <c r="CD61" s="60" t="s">
        <v>87</v>
      </c>
      <c r="CE61" s="60"/>
      <c r="CF61" s="60" t="s">
        <v>90</v>
      </c>
      <c r="CG61" s="60"/>
      <c r="CH61" s="60" t="s">
        <v>89</v>
      </c>
      <c r="CI61" s="60"/>
      <c r="CJ61" s="60" t="s">
        <v>91</v>
      </c>
      <c r="CK61" s="60"/>
    </row>
    <row r="62" spans="2:89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5"/>
      <c r="P62" s="2"/>
      <c r="Q62" s="2"/>
      <c r="R62" s="2"/>
      <c r="S62" s="3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W62" s="80" t="s">
        <v>11</v>
      </c>
      <c r="AX62" s="80"/>
      <c r="AY62" s="80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3"/>
      <c r="BK62" s="2"/>
      <c r="BL62" s="2"/>
      <c r="BM62" s="2"/>
      <c r="BN62" s="2"/>
      <c r="BO62" s="2"/>
      <c r="BP62" s="2"/>
      <c r="BQ62" s="81" t="s">
        <v>81</v>
      </c>
      <c r="BR62" s="82"/>
      <c r="BS62" s="83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</row>
    <row r="63" spans="2:89" x14ac:dyDescent="0.35">
      <c r="B63" s="80" t="s">
        <v>11</v>
      </c>
      <c r="C63" s="80"/>
      <c r="D63" s="80"/>
      <c r="E63" s="2"/>
      <c r="F63" s="2"/>
      <c r="G63" s="2"/>
      <c r="H63" s="2"/>
      <c r="I63" s="3"/>
      <c r="J63" s="2"/>
      <c r="K63" s="5"/>
      <c r="L63" s="2"/>
      <c r="M63" s="2"/>
      <c r="N63" s="2"/>
      <c r="O63" s="2"/>
      <c r="P63" s="2"/>
      <c r="Q63" s="2"/>
      <c r="R63" s="2"/>
      <c r="S63" s="2"/>
      <c r="T63" s="2"/>
      <c r="U63" s="2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7</v>
      </c>
      <c r="AF63" s="64"/>
      <c r="AG63" s="63">
        <f>1/5</f>
        <v>0.2</v>
      </c>
      <c r="AH63" s="64"/>
      <c r="AI63" s="63">
        <f>1/3</f>
        <v>0.33333333333333331</v>
      </c>
      <c r="AJ63" s="64"/>
      <c r="AK63" s="63">
        <v>5</v>
      </c>
      <c r="AL63" s="64"/>
      <c r="AM63" s="63">
        <v>9</v>
      </c>
      <c r="AN63" s="64"/>
      <c r="AO63" s="63">
        <f>1/5</f>
        <v>0.2</v>
      </c>
      <c r="AP63" s="64"/>
      <c r="AW63" s="80" t="s">
        <v>11</v>
      </c>
      <c r="AX63" s="80"/>
      <c r="AY63" s="80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3"/>
      <c r="BM63" s="2"/>
      <c r="BN63" s="2"/>
      <c r="BO63" s="2"/>
      <c r="BP63" s="2"/>
      <c r="BQ63" s="81" t="s">
        <v>27</v>
      </c>
      <c r="BR63" s="82"/>
      <c r="BS63" s="83"/>
      <c r="BV63" s="63" t="s">
        <v>11</v>
      </c>
      <c r="BW63" s="64"/>
      <c r="BX63" s="70">
        <v>1</v>
      </c>
      <c r="BY63" s="71"/>
      <c r="BZ63" s="63">
        <v>3</v>
      </c>
      <c r="CA63" s="64"/>
      <c r="CB63" s="63">
        <v>5</v>
      </c>
      <c r="CC63" s="64"/>
      <c r="CD63" s="63">
        <f>1/7</f>
        <v>0.14285714285714285</v>
      </c>
      <c r="CE63" s="64"/>
      <c r="CF63" s="63">
        <v>5</v>
      </c>
      <c r="CG63" s="64"/>
      <c r="CH63" s="63">
        <v>3</v>
      </c>
      <c r="CI63" s="64"/>
      <c r="CJ63" s="63">
        <f>1/5</f>
        <v>0.2</v>
      </c>
      <c r="CK63" s="64"/>
    </row>
    <row r="64" spans="2:89" x14ac:dyDescent="0.35">
      <c r="B64" s="80" t="s">
        <v>11</v>
      </c>
      <c r="C64" s="80"/>
      <c r="D64" s="80"/>
      <c r="E64" s="2"/>
      <c r="F64" s="2"/>
      <c r="G64" s="2"/>
      <c r="H64" s="2"/>
      <c r="I64" s="2"/>
      <c r="J64" s="2"/>
      <c r="K64" s="3"/>
      <c r="L64" s="2"/>
      <c r="M64" s="2"/>
      <c r="N64" s="2"/>
      <c r="O64" s="2"/>
      <c r="P64" s="2"/>
      <c r="Q64" s="2"/>
      <c r="R64" s="2"/>
      <c r="S64" s="2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66"/>
      <c r="AW64" s="80" t="s">
        <v>11</v>
      </c>
      <c r="AX64" s="80"/>
      <c r="AY64" s="80"/>
      <c r="AZ64" s="2"/>
      <c r="BA64" s="2"/>
      <c r="BB64" s="3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81" t="s">
        <v>28</v>
      </c>
      <c r="BR64" s="82"/>
      <c r="BS64" s="83"/>
      <c r="BV64" s="65"/>
      <c r="BW64" s="66"/>
      <c r="BX64" s="72"/>
      <c r="BY64" s="73"/>
      <c r="BZ64" s="65"/>
      <c r="CA64" s="66"/>
      <c r="CB64" s="65"/>
      <c r="CC64" s="66"/>
      <c r="CD64" s="65"/>
      <c r="CE64" s="66"/>
      <c r="CF64" s="65"/>
      <c r="CG64" s="66"/>
      <c r="CH64" s="65"/>
      <c r="CI64" s="66"/>
      <c r="CJ64" s="65"/>
      <c r="CK64" s="66"/>
    </row>
    <row r="65" spans="2:89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2"/>
      <c r="V65" s="81" t="s">
        <v>29</v>
      </c>
      <c r="W65" s="82"/>
      <c r="X65" s="83"/>
      <c r="AA65" s="60" t="s">
        <v>81</v>
      </c>
      <c r="AB65" s="60"/>
      <c r="AC65" s="60">
        <f>1/7</f>
        <v>0.14285714285714285</v>
      </c>
      <c r="AD65" s="60"/>
      <c r="AE65" s="62">
        <v>1</v>
      </c>
      <c r="AF65" s="62"/>
      <c r="AG65" s="60">
        <v>7</v>
      </c>
      <c r="AH65" s="60"/>
      <c r="AI65" s="60">
        <f>1/5</f>
        <v>0.2</v>
      </c>
      <c r="AJ65" s="60"/>
      <c r="AK65" s="60">
        <v>5</v>
      </c>
      <c r="AL65" s="60"/>
      <c r="AM65" s="60">
        <f>1/7</f>
        <v>0.14285714285714285</v>
      </c>
      <c r="AN65" s="60"/>
      <c r="AO65" s="60">
        <f>1/3</f>
        <v>0.33333333333333331</v>
      </c>
      <c r="AP65" s="60"/>
      <c r="AW65" s="80" t="s">
        <v>11</v>
      </c>
      <c r="AX65" s="80"/>
      <c r="AY65" s="80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3"/>
      <c r="BM65" s="2"/>
      <c r="BN65" s="2"/>
      <c r="BO65" s="2"/>
      <c r="BP65" s="5"/>
      <c r="BQ65" s="81" t="s">
        <v>29</v>
      </c>
      <c r="BR65" s="82"/>
      <c r="BS65" s="83"/>
      <c r="BV65" s="60" t="s">
        <v>81</v>
      </c>
      <c r="BW65" s="60"/>
      <c r="BX65" s="63">
        <f>1/3</f>
        <v>0.33333333333333331</v>
      </c>
      <c r="BY65" s="64"/>
      <c r="BZ65" s="70">
        <v>1</v>
      </c>
      <c r="CA65" s="71"/>
      <c r="CB65" s="63">
        <f>1/3</f>
        <v>0.33333333333333331</v>
      </c>
      <c r="CC65" s="64"/>
      <c r="CD65" s="63">
        <f>1/5</f>
        <v>0.2</v>
      </c>
      <c r="CE65" s="64"/>
      <c r="CF65" s="63">
        <v>7</v>
      </c>
      <c r="CG65" s="64"/>
      <c r="CH65" s="63">
        <v>3</v>
      </c>
      <c r="CI65" s="64"/>
      <c r="CJ65" s="63">
        <f>1/3</f>
        <v>0.33333333333333331</v>
      </c>
      <c r="CK65" s="64"/>
    </row>
    <row r="66" spans="2:89" x14ac:dyDescent="0.35">
      <c r="B66" s="80" t="s">
        <v>11</v>
      </c>
      <c r="C66" s="80"/>
      <c r="D66" s="80"/>
      <c r="E66" s="3"/>
      <c r="F66" s="2"/>
      <c r="G66" s="2"/>
      <c r="H66" s="2"/>
      <c r="I66" s="2"/>
      <c r="J66" s="2"/>
      <c r="K66" s="2"/>
      <c r="L66" s="2"/>
      <c r="M66" s="2"/>
      <c r="N66" s="2"/>
      <c r="O66" s="5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W66" s="80" t="s">
        <v>11</v>
      </c>
      <c r="AX66" s="80"/>
      <c r="AY66" s="80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3"/>
      <c r="BK66" s="2"/>
      <c r="BL66" s="2"/>
      <c r="BM66" s="2"/>
      <c r="BN66" s="2"/>
      <c r="BO66" s="2"/>
      <c r="BP66" s="2"/>
      <c r="BQ66" s="81" t="s">
        <v>82</v>
      </c>
      <c r="BR66" s="82"/>
      <c r="BS66" s="83"/>
      <c r="BV66" s="60"/>
      <c r="BW66" s="60"/>
      <c r="BX66" s="65"/>
      <c r="BY66" s="66"/>
      <c r="BZ66" s="72"/>
      <c r="CA66" s="73"/>
      <c r="CB66" s="65"/>
      <c r="CC66" s="66"/>
      <c r="CD66" s="65"/>
      <c r="CE66" s="66"/>
      <c r="CF66" s="65"/>
      <c r="CG66" s="66"/>
      <c r="CH66" s="65"/>
      <c r="CI66" s="66"/>
      <c r="CJ66" s="65"/>
      <c r="CK66" s="66"/>
    </row>
    <row r="67" spans="2:89" x14ac:dyDescent="0.35">
      <c r="B67" s="80" t="s">
        <v>11</v>
      </c>
      <c r="C67" s="80"/>
      <c r="D67" s="80"/>
      <c r="E67" s="2"/>
      <c r="F67" s="2"/>
      <c r="G67" s="2"/>
      <c r="H67" s="2"/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3"/>
      <c r="V67" s="81" t="s">
        <v>30</v>
      </c>
      <c r="W67" s="82"/>
      <c r="X67" s="83"/>
      <c r="AA67" s="60" t="s">
        <v>27</v>
      </c>
      <c r="AB67" s="60"/>
      <c r="AC67" s="60">
        <v>5</v>
      </c>
      <c r="AD67" s="60"/>
      <c r="AE67" s="60">
        <f>1/7</f>
        <v>0.14285714285714285</v>
      </c>
      <c r="AF67" s="60"/>
      <c r="AG67" s="62">
        <v>1</v>
      </c>
      <c r="AH67" s="62"/>
      <c r="AI67" s="60">
        <f>1/3</f>
        <v>0.33333333333333331</v>
      </c>
      <c r="AJ67" s="60"/>
      <c r="AK67" s="60">
        <v>3</v>
      </c>
      <c r="AL67" s="60"/>
      <c r="AM67" s="60">
        <f>1/5</f>
        <v>0.2</v>
      </c>
      <c r="AN67" s="60"/>
      <c r="AO67" s="60">
        <v>5</v>
      </c>
      <c r="AP67" s="60"/>
      <c r="AW67" s="80" t="s">
        <v>11</v>
      </c>
      <c r="AX67" s="80"/>
      <c r="AY67" s="80"/>
      <c r="AZ67" s="2"/>
      <c r="BA67" s="2"/>
      <c r="BB67" s="2"/>
      <c r="BC67" s="2"/>
      <c r="BD67" s="3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81" t="s">
        <v>30</v>
      </c>
      <c r="BR67" s="82"/>
      <c r="BS67" s="83"/>
      <c r="BV67" s="60" t="s">
        <v>27</v>
      </c>
      <c r="BW67" s="60"/>
      <c r="BX67" s="63">
        <f>1/5</f>
        <v>0.2</v>
      </c>
      <c r="BY67" s="64"/>
      <c r="BZ67" s="63">
        <v>3</v>
      </c>
      <c r="CA67" s="64"/>
      <c r="CB67" s="70">
        <v>1</v>
      </c>
      <c r="CC67" s="71"/>
      <c r="CD67" s="63">
        <f>1/9</f>
        <v>0.1111111111111111</v>
      </c>
      <c r="CE67" s="64"/>
      <c r="CF67" s="63">
        <v>3</v>
      </c>
      <c r="CG67" s="64"/>
      <c r="CH67" s="63">
        <v>3</v>
      </c>
      <c r="CI67" s="64"/>
      <c r="CJ67" s="63">
        <f>1/5</f>
        <v>0.2</v>
      </c>
      <c r="CK67" s="64"/>
    </row>
    <row r="68" spans="2:89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60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V68" s="60"/>
      <c r="BW68" s="60"/>
      <c r="BX68" s="65"/>
      <c r="BY68" s="66"/>
      <c r="BZ68" s="65"/>
      <c r="CA68" s="66"/>
      <c r="CB68" s="72"/>
      <c r="CC68" s="73"/>
      <c r="CD68" s="65"/>
      <c r="CE68" s="66"/>
      <c r="CF68" s="65"/>
      <c r="CG68" s="66"/>
      <c r="CH68" s="65"/>
      <c r="CI68" s="66"/>
      <c r="CJ68" s="65"/>
      <c r="CK68" s="66"/>
    </row>
    <row r="69" spans="2:89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v>3</v>
      </c>
      <c r="AD69" s="60"/>
      <c r="AE69" s="60">
        <v>5</v>
      </c>
      <c r="AF69" s="60"/>
      <c r="AG69" s="60">
        <v>3</v>
      </c>
      <c r="AH69" s="60"/>
      <c r="AI69" s="62">
        <v>1</v>
      </c>
      <c r="AJ69" s="62"/>
      <c r="AK69" s="60">
        <v>9</v>
      </c>
      <c r="AL69" s="60"/>
      <c r="AM69" s="60">
        <f>1/5</f>
        <v>0.2</v>
      </c>
      <c r="AN69" s="60"/>
      <c r="AO69" s="60">
        <f>1/3</f>
        <v>0.33333333333333331</v>
      </c>
      <c r="AP69" s="60"/>
      <c r="AW69" s="79" t="s">
        <v>2</v>
      </c>
      <c r="AX69" s="79"/>
      <c r="AY69" s="79"/>
      <c r="AZ69" s="2">
        <v>9</v>
      </c>
      <c r="BA69" s="2">
        <v>8</v>
      </c>
      <c r="BB69" s="2">
        <v>7</v>
      </c>
      <c r="BC69" s="2">
        <v>6</v>
      </c>
      <c r="BD69" s="2">
        <v>5</v>
      </c>
      <c r="BE69" s="2">
        <v>4</v>
      </c>
      <c r="BF69" s="2">
        <v>3</v>
      </c>
      <c r="BG69" s="2">
        <v>2</v>
      </c>
      <c r="BH69" s="2">
        <v>1</v>
      </c>
      <c r="BI69" s="2">
        <v>2</v>
      </c>
      <c r="BJ69" s="2">
        <v>3</v>
      </c>
      <c r="BK69" s="2">
        <v>4</v>
      </c>
      <c r="BL69" s="2">
        <v>5</v>
      </c>
      <c r="BM69" s="2">
        <v>6</v>
      </c>
      <c r="BN69" s="2">
        <v>7</v>
      </c>
      <c r="BO69" s="2">
        <v>8</v>
      </c>
      <c r="BP69" s="2">
        <v>9</v>
      </c>
      <c r="BQ69" s="79" t="s">
        <v>3</v>
      </c>
      <c r="BR69" s="79"/>
      <c r="BS69" s="79"/>
      <c r="BV69" s="60" t="s">
        <v>87</v>
      </c>
      <c r="BW69" s="60"/>
      <c r="BX69" s="63">
        <v>7</v>
      </c>
      <c r="BY69" s="64"/>
      <c r="BZ69" s="63">
        <v>5</v>
      </c>
      <c r="CA69" s="64"/>
      <c r="CB69" s="63">
        <v>9</v>
      </c>
      <c r="CC69" s="64"/>
      <c r="CD69" s="70">
        <v>1</v>
      </c>
      <c r="CE69" s="71"/>
      <c r="CF69" s="63">
        <v>7</v>
      </c>
      <c r="CG69" s="64"/>
      <c r="CH69" s="63">
        <f>1/9</f>
        <v>0.1111111111111111</v>
      </c>
      <c r="CI69" s="64"/>
      <c r="CJ69" s="63">
        <v>5</v>
      </c>
      <c r="CK69" s="64"/>
    </row>
    <row r="70" spans="2:89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5"/>
      <c r="L70" s="2"/>
      <c r="M70" s="2"/>
      <c r="N70" s="2"/>
      <c r="O70" s="2"/>
      <c r="P70" s="2"/>
      <c r="Q70" s="2"/>
      <c r="R70" s="2"/>
      <c r="S70" s="3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60"/>
      <c r="AW70" s="80" t="s">
        <v>81</v>
      </c>
      <c r="AX70" s="80"/>
      <c r="AY70" s="80"/>
      <c r="AZ70" s="2"/>
      <c r="BA70" s="2"/>
      <c r="BB70" s="2"/>
      <c r="BC70" s="2"/>
      <c r="BD70" s="2"/>
      <c r="BE70" s="2"/>
      <c r="BF70" s="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81" t="s">
        <v>27</v>
      </c>
      <c r="BR70" s="82"/>
      <c r="BS70" s="83"/>
      <c r="BV70" s="60"/>
      <c r="BW70" s="60"/>
      <c r="BX70" s="65"/>
      <c r="BY70" s="66"/>
      <c r="BZ70" s="65"/>
      <c r="CA70" s="66"/>
      <c r="CB70" s="65"/>
      <c r="CC70" s="66"/>
      <c r="CD70" s="72"/>
      <c r="CE70" s="73"/>
      <c r="CF70" s="65"/>
      <c r="CG70" s="66"/>
      <c r="CH70" s="65"/>
      <c r="CI70" s="66"/>
      <c r="CJ70" s="65"/>
      <c r="CK70" s="66"/>
    </row>
    <row r="71" spans="2:89" x14ac:dyDescent="0.35">
      <c r="B71" s="80" t="s">
        <v>81</v>
      </c>
      <c r="C71" s="80"/>
      <c r="D71" s="80"/>
      <c r="E71" s="2"/>
      <c r="F71" s="2"/>
      <c r="G71" s="2"/>
      <c r="H71" s="2"/>
      <c r="I71" s="3"/>
      <c r="J71" s="2"/>
      <c r="K71" s="5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1/5</f>
        <v>0.2</v>
      </c>
      <c r="AF71" s="60"/>
      <c r="AG71" s="60">
        <f>1/3</f>
        <v>0.33333333333333331</v>
      </c>
      <c r="AH71" s="60"/>
      <c r="AI71" s="60">
        <f>1/9</f>
        <v>0.1111111111111111</v>
      </c>
      <c r="AJ71" s="60"/>
      <c r="AK71" s="62">
        <v>1</v>
      </c>
      <c r="AL71" s="62"/>
      <c r="AM71" s="60">
        <f>1/7</f>
        <v>0.14285714285714285</v>
      </c>
      <c r="AN71" s="60"/>
      <c r="AO71" s="60">
        <f>1/3</f>
        <v>0.33333333333333331</v>
      </c>
      <c r="AP71" s="60"/>
      <c r="AW71" s="80" t="s">
        <v>81</v>
      </c>
      <c r="AX71" s="80"/>
      <c r="AY71" s="80"/>
      <c r="AZ71" s="2"/>
      <c r="BA71" s="2"/>
      <c r="BB71" s="2"/>
      <c r="BC71" s="2"/>
      <c r="BD71" s="3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81" t="s">
        <v>28</v>
      </c>
      <c r="BR71" s="82"/>
      <c r="BS71" s="83"/>
      <c r="BV71" s="60" t="s">
        <v>88</v>
      </c>
      <c r="BW71" s="60"/>
      <c r="BX71" s="63">
        <f>1/5</f>
        <v>0.2</v>
      </c>
      <c r="BY71" s="64"/>
      <c r="BZ71" s="63">
        <f>1/7</f>
        <v>0.14285714285714285</v>
      </c>
      <c r="CA71" s="64"/>
      <c r="CB71" s="63">
        <f>1/3</f>
        <v>0.33333333333333331</v>
      </c>
      <c r="CC71" s="64"/>
      <c r="CD71" s="63">
        <f>1/7</f>
        <v>0.14285714285714285</v>
      </c>
      <c r="CE71" s="64"/>
      <c r="CF71" s="70">
        <v>1</v>
      </c>
      <c r="CG71" s="71"/>
      <c r="CH71" s="63">
        <f>1/5</f>
        <v>0.2</v>
      </c>
      <c r="CI71" s="64"/>
      <c r="CJ71" s="63">
        <v>3</v>
      </c>
      <c r="CK71" s="64"/>
    </row>
    <row r="72" spans="2:89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2"/>
      <c r="S72" s="2"/>
      <c r="T72" s="2"/>
      <c r="U72" s="2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60"/>
      <c r="AW72" s="80" t="s">
        <v>81</v>
      </c>
      <c r="AX72" s="80"/>
      <c r="AY72" s="80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3"/>
      <c r="BO72" s="2"/>
      <c r="BP72" s="2"/>
      <c r="BQ72" s="81" t="s">
        <v>29</v>
      </c>
      <c r="BR72" s="82"/>
      <c r="BS72" s="83"/>
      <c r="BV72" s="60"/>
      <c r="BW72" s="60"/>
      <c r="BX72" s="65"/>
      <c r="BY72" s="66"/>
      <c r="BZ72" s="65"/>
      <c r="CA72" s="66"/>
      <c r="CB72" s="65"/>
      <c r="CC72" s="66"/>
      <c r="CD72" s="65"/>
      <c r="CE72" s="66"/>
      <c r="CF72" s="72"/>
      <c r="CG72" s="73"/>
      <c r="CH72" s="65"/>
      <c r="CI72" s="66"/>
      <c r="CJ72" s="65"/>
      <c r="CK72" s="66"/>
    </row>
    <row r="73" spans="2:89" x14ac:dyDescent="0.35">
      <c r="B73" s="80" t="s">
        <v>81</v>
      </c>
      <c r="C73" s="80"/>
      <c r="D73" s="80"/>
      <c r="E73" s="5"/>
      <c r="F73" s="2"/>
      <c r="G73" s="3"/>
      <c r="H73" s="2"/>
      <c r="I73" s="2"/>
      <c r="J73" s="2"/>
      <c r="K73" s="2"/>
      <c r="L73" s="2"/>
      <c r="M73" s="2"/>
      <c r="N73" s="2"/>
      <c r="O73" s="5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f>1/9</f>
        <v>0.1111111111111111</v>
      </c>
      <c r="AD73" s="60"/>
      <c r="AE73" s="60">
        <v>7</v>
      </c>
      <c r="AF73" s="60"/>
      <c r="AG73" s="60">
        <v>5</v>
      </c>
      <c r="AH73" s="60"/>
      <c r="AI73" s="60">
        <v>5</v>
      </c>
      <c r="AJ73" s="60"/>
      <c r="AK73" s="60">
        <v>7</v>
      </c>
      <c r="AL73" s="60"/>
      <c r="AM73" s="62">
        <v>1</v>
      </c>
      <c r="AN73" s="62"/>
      <c r="AO73" s="60">
        <v>3</v>
      </c>
      <c r="AP73" s="60"/>
      <c r="AW73" s="80" t="s">
        <v>81</v>
      </c>
      <c r="AX73" s="80"/>
      <c r="AY73" s="80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3"/>
      <c r="BK73" s="2"/>
      <c r="BL73" s="2"/>
      <c r="BM73" s="2"/>
      <c r="BN73" s="2"/>
      <c r="BO73" s="2"/>
      <c r="BP73" s="2"/>
      <c r="BQ73" s="81" t="s">
        <v>82</v>
      </c>
      <c r="BR73" s="82"/>
      <c r="BS73" s="83"/>
      <c r="BV73" s="60" t="s">
        <v>89</v>
      </c>
      <c r="BW73" s="60"/>
      <c r="BX73" s="63">
        <f>1/3</f>
        <v>0.33333333333333331</v>
      </c>
      <c r="BY73" s="64"/>
      <c r="BZ73" s="63">
        <f>1/3</f>
        <v>0.33333333333333331</v>
      </c>
      <c r="CA73" s="64"/>
      <c r="CB73" s="63">
        <f>1/3</f>
        <v>0.33333333333333331</v>
      </c>
      <c r="CC73" s="64"/>
      <c r="CD73" s="63">
        <v>9</v>
      </c>
      <c r="CE73" s="64"/>
      <c r="CF73" s="63">
        <v>5</v>
      </c>
      <c r="CG73" s="64"/>
      <c r="CH73" s="70">
        <v>1</v>
      </c>
      <c r="CI73" s="71"/>
      <c r="CJ73" s="63">
        <v>5</v>
      </c>
      <c r="CK73" s="64"/>
    </row>
    <row r="74" spans="2:89" x14ac:dyDescent="0.35">
      <c r="B74" s="80" t="s">
        <v>81</v>
      </c>
      <c r="C74" s="80"/>
      <c r="D74" s="80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60"/>
      <c r="AW74" s="80" t="s">
        <v>81</v>
      </c>
      <c r="AX74" s="80"/>
      <c r="AY74" s="80"/>
      <c r="AZ74" s="2"/>
      <c r="BA74" s="2"/>
      <c r="BB74" s="2"/>
      <c r="BC74" s="2"/>
      <c r="BD74" s="2"/>
      <c r="BE74" s="2"/>
      <c r="BF74" s="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81" t="s">
        <v>30</v>
      </c>
      <c r="BR74" s="82"/>
      <c r="BS74" s="83"/>
      <c r="BV74" s="60"/>
      <c r="BW74" s="60"/>
      <c r="BX74" s="65"/>
      <c r="BY74" s="66"/>
      <c r="BZ74" s="65"/>
      <c r="CA74" s="66"/>
      <c r="CB74" s="65"/>
      <c r="CC74" s="66"/>
      <c r="CD74" s="65"/>
      <c r="CE74" s="66"/>
      <c r="CF74" s="65"/>
      <c r="CG74" s="66"/>
      <c r="CH74" s="72"/>
      <c r="CI74" s="73"/>
      <c r="CJ74" s="65"/>
      <c r="CK74" s="66"/>
    </row>
    <row r="75" spans="2:89" x14ac:dyDescent="0.35">
      <c r="AA75" s="60" t="s">
        <v>91</v>
      </c>
      <c r="AB75" s="60"/>
      <c r="AC75" s="60">
        <v>5</v>
      </c>
      <c r="AD75" s="60"/>
      <c r="AE75" s="60">
        <v>3</v>
      </c>
      <c r="AF75" s="60"/>
      <c r="AG75" s="60">
        <f>1/5</f>
        <v>0.2</v>
      </c>
      <c r="AH75" s="60"/>
      <c r="AI75" s="60">
        <v>3</v>
      </c>
      <c r="AJ75" s="60"/>
      <c r="AK75" s="60">
        <v>3</v>
      </c>
      <c r="AL75" s="60"/>
      <c r="AM75" s="60">
        <f>1/3</f>
        <v>0.33333333333333331</v>
      </c>
      <c r="AN75" s="60"/>
      <c r="AO75" s="62">
        <v>1</v>
      </c>
      <c r="AP75" s="62"/>
      <c r="BV75" s="60" t="s">
        <v>91</v>
      </c>
      <c r="BW75" s="60"/>
      <c r="BX75" s="63">
        <v>5</v>
      </c>
      <c r="BY75" s="64"/>
      <c r="BZ75" s="63">
        <v>3</v>
      </c>
      <c r="CA75" s="64"/>
      <c r="CB75" s="63">
        <v>5</v>
      </c>
      <c r="CC75" s="64"/>
      <c r="CD75" s="63">
        <f>1/5</f>
        <v>0.2</v>
      </c>
      <c r="CE75" s="64"/>
      <c r="CF75" s="63">
        <f>1/3</f>
        <v>0.33333333333333331</v>
      </c>
      <c r="CG75" s="64"/>
      <c r="CH75" s="63">
        <f>1/5</f>
        <v>0.2</v>
      </c>
      <c r="CI75" s="64"/>
      <c r="CJ75" s="70">
        <v>1</v>
      </c>
      <c r="CK75" s="71"/>
    </row>
    <row r="76" spans="2:89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0"/>
      <c r="AH76" s="60"/>
      <c r="AI76" s="67"/>
      <c r="AJ76" s="67"/>
      <c r="AK76" s="67"/>
      <c r="AL76" s="67"/>
      <c r="AM76" s="67"/>
      <c r="AN76" s="67"/>
      <c r="AO76" s="62"/>
      <c r="AP76" s="62"/>
      <c r="AW76" s="79" t="s">
        <v>2</v>
      </c>
      <c r="AX76" s="79"/>
      <c r="AY76" s="79"/>
      <c r="AZ76" s="2">
        <v>9</v>
      </c>
      <c r="BA76" s="2">
        <v>8</v>
      </c>
      <c r="BB76" s="2">
        <v>7</v>
      </c>
      <c r="BC76" s="2">
        <v>6</v>
      </c>
      <c r="BD76" s="2">
        <v>5</v>
      </c>
      <c r="BE76" s="2">
        <v>4</v>
      </c>
      <c r="BF76" s="2">
        <v>3</v>
      </c>
      <c r="BG76" s="2">
        <v>2</v>
      </c>
      <c r="BH76" s="2">
        <v>1</v>
      </c>
      <c r="BI76" s="2">
        <v>2</v>
      </c>
      <c r="BJ76" s="2">
        <v>3</v>
      </c>
      <c r="BK76" s="2">
        <v>4</v>
      </c>
      <c r="BL76" s="2">
        <v>5</v>
      </c>
      <c r="BM76" s="2">
        <v>6</v>
      </c>
      <c r="BN76" s="2">
        <v>7</v>
      </c>
      <c r="BO76" s="2">
        <v>8</v>
      </c>
      <c r="BP76" s="2">
        <v>9</v>
      </c>
      <c r="BQ76" s="79" t="s">
        <v>3</v>
      </c>
      <c r="BR76" s="79"/>
      <c r="BS76" s="79"/>
      <c r="BV76" s="67"/>
      <c r="BW76" s="67"/>
      <c r="BX76" s="65"/>
      <c r="BY76" s="66"/>
      <c r="BZ76" s="65"/>
      <c r="CA76" s="66"/>
      <c r="CB76" s="65"/>
      <c r="CC76" s="66"/>
      <c r="CD76" s="65"/>
      <c r="CE76" s="66"/>
      <c r="CF76" s="65"/>
      <c r="CG76" s="66"/>
      <c r="CH76" s="65"/>
      <c r="CI76" s="66"/>
      <c r="CJ76" s="72"/>
      <c r="CK76" s="73"/>
    </row>
    <row r="77" spans="2:89" x14ac:dyDescent="0.35">
      <c r="B77" s="81" t="s">
        <v>27</v>
      </c>
      <c r="C77" s="82"/>
      <c r="D77" s="83"/>
      <c r="E77" s="2"/>
      <c r="F77" s="2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W77" s="81" t="s">
        <v>27</v>
      </c>
      <c r="AX77" s="82"/>
      <c r="AY77" s="83"/>
      <c r="AZ77" s="3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81" t="s">
        <v>28</v>
      </c>
      <c r="BR77" s="82"/>
      <c r="BS77" s="83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</row>
    <row r="78" spans="2:89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W78" s="81" t="s">
        <v>27</v>
      </c>
      <c r="AX78" s="82"/>
      <c r="AY78" s="83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3"/>
      <c r="BK78" s="2"/>
      <c r="BL78" s="2"/>
      <c r="BM78" s="2"/>
      <c r="BN78" s="2"/>
      <c r="BO78" s="2"/>
      <c r="BP78" s="5"/>
      <c r="BQ78" s="81" t="s">
        <v>29</v>
      </c>
      <c r="BR78" s="82"/>
      <c r="BS78" s="83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</row>
    <row r="79" spans="2:89" x14ac:dyDescent="0.35">
      <c r="B79" s="81" t="s">
        <v>27</v>
      </c>
      <c r="C79" s="82"/>
      <c r="D79" s="83"/>
      <c r="E79" s="2"/>
      <c r="F79" s="2"/>
      <c r="G79" s="2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81" t="s">
        <v>82</v>
      </c>
      <c r="W79" s="82"/>
      <c r="X79" s="83"/>
      <c r="AW79" s="81" t="s">
        <v>27</v>
      </c>
      <c r="AX79" s="82"/>
      <c r="AY79" s="83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3"/>
      <c r="BK79" s="2"/>
      <c r="BL79" s="2"/>
      <c r="BM79" s="2"/>
      <c r="BN79" s="2"/>
      <c r="BO79" s="2"/>
      <c r="BP79" s="2"/>
      <c r="BQ79" s="81" t="s">
        <v>82</v>
      </c>
      <c r="BR79" s="82"/>
      <c r="BS79" s="83"/>
    </row>
    <row r="80" spans="2:89" x14ac:dyDescent="0.35">
      <c r="B80" s="81" t="s">
        <v>27</v>
      </c>
      <c r="C80" s="82"/>
      <c r="D80" s="8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2"/>
      <c r="S80" s="2"/>
      <c r="T80" s="2"/>
      <c r="U80" s="2"/>
      <c r="V80" s="81" t="s">
        <v>30</v>
      </c>
      <c r="W80" s="82"/>
      <c r="X80" s="83"/>
      <c r="AW80" s="81" t="s">
        <v>27</v>
      </c>
      <c r="AX80" s="82"/>
      <c r="AY80" s="83"/>
      <c r="AZ80" s="2"/>
      <c r="BA80" s="2"/>
      <c r="BB80" s="2"/>
      <c r="BC80" s="2"/>
      <c r="BD80" s="3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81" t="s">
        <v>30</v>
      </c>
      <c r="BR80" s="82"/>
      <c r="BS80" s="83"/>
    </row>
    <row r="82" spans="2:71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  <c r="AW82" s="79" t="s">
        <v>2</v>
      </c>
      <c r="AX82" s="79"/>
      <c r="AY82" s="79"/>
      <c r="AZ82" s="2">
        <v>9</v>
      </c>
      <c r="BA82" s="2">
        <v>8</v>
      </c>
      <c r="BB82" s="2">
        <v>7</v>
      </c>
      <c r="BC82" s="2">
        <v>6</v>
      </c>
      <c r="BD82" s="2">
        <v>5</v>
      </c>
      <c r="BE82" s="2">
        <v>4</v>
      </c>
      <c r="BF82" s="2">
        <v>3</v>
      </c>
      <c r="BG82" s="2">
        <v>2</v>
      </c>
      <c r="BH82" s="2">
        <v>1</v>
      </c>
      <c r="BI82" s="2">
        <v>2</v>
      </c>
      <c r="BJ82" s="2">
        <v>3</v>
      </c>
      <c r="BK82" s="2">
        <v>4</v>
      </c>
      <c r="BL82" s="2">
        <v>5</v>
      </c>
      <c r="BM82" s="2">
        <v>6</v>
      </c>
      <c r="BN82" s="2">
        <v>7</v>
      </c>
      <c r="BO82" s="2">
        <v>8</v>
      </c>
      <c r="BP82" s="2">
        <v>9</v>
      </c>
      <c r="BQ82" s="79" t="s">
        <v>3</v>
      </c>
      <c r="BR82" s="79"/>
      <c r="BS82" s="79"/>
    </row>
    <row r="83" spans="2:71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2"/>
      <c r="Q83" s="2"/>
      <c r="R83" s="2"/>
      <c r="S83" s="2"/>
      <c r="T83" s="2"/>
      <c r="U83" s="3"/>
      <c r="V83" s="81" t="s">
        <v>29</v>
      </c>
      <c r="W83" s="82"/>
      <c r="X83" s="83"/>
      <c r="AW83" s="81" t="s">
        <v>28</v>
      </c>
      <c r="AX83" s="82"/>
      <c r="AY83" s="83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5"/>
      <c r="BK83" s="2"/>
      <c r="BL83" s="2"/>
      <c r="BM83" s="2"/>
      <c r="BN83" s="3"/>
      <c r="BO83" s="2"/>
      <c r="BP83" s="2"/>
      <c r="BQ83" s="81" t="s">
        <v>29</v>
      </c>
      <c r="BR83" s="82"/>
      <c r="BS83" s="83"/>
    </row>
    <row r="84" spans="2:71" x14ac:dyDescent="0.35">
      <c r="B84" s="81" t="s">
        <v>28</v>
      </c>
      <c r="C84" s="82"/>
      <c r="D84" s="83"/>
      <c r="E84" s="2"/>
      <c r="F84" s="2"/>
      <c r="G84" s="2"/>
      <c r="H84" s="2"/>
      <c r="I84" s="3"/>
      <c r="J84" s="2"/>
      <c r="K84" s="2"/>
      <c r="L84" s="2"/>
      <c r="M84" s="2"/>
      <c r="N84" s="2"/>
      <c r="O84" s="5"/>
      <c r="P84" s="2"/>
      <c r="Q84" s="2"/>
      <c r="R84" s="2"/>
      <c r="S84" s="2"/>
      <c r="T84" s="2"/>
      <c r="U84" s="2"/>
      <c r="V84" s="81" t="s">
        <v>82</v>
      </c>
      <c r="W84" s="82"/>
      <c r="X84" s="83"/>
      <c r="AW84" s="81" t="s">
        <v>28</v>
      </c>
      <c r="AX84" s="82"/>
      <c r="AY84" s="83"/>
      <c r="AZ84" s="3"/>
      <c r="BA84" s="2"/>
      <c r="BB84" s="2"/>
      <c r="BC84" s="2"/>
      <c r="BD84" s="2"/>
      <c r="BE84" s="2"/>
      <c r="BF84" s="5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81" t="s">
        <v>82</v>
      </c>
      <c r="BR84" s="82"/>
      <c r="BS84" s="83"/>
    </row>
    <row r="85" spans="2:71" x14ac:dyDescent="0.35">
      <c r="B85" s="81" t="s">
        <v>28</v>
      </c>
      <c r="C85" s="82"/>
      <c r="D85" s="83"/>
      <c r="E85" s="2"/>
      <c r="F85" s="2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  <c r="S85" s="2"/>
      <c r="T85" s="2"/>
      <c r="U85" s="2"/>
      <c r="V85" s="81" t="s">
        <v>30</v>
      </c>
      <c r="W85" s="82"/>
      <c r="X85" s="83"/>
      <c r="AW85" s="81" t="s">
        <v>28</v>
      </c>
      <c r="AX85" s="82"/>
      <c r="AY85" s="83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5"/>
      <c r="BK85" s="2"/>
      <c r="BL85" s="3"/>
      <c r="BM85" s="2"/>
      <c r="BN85" s="2"/>
      <c r="BO85" s="2"/>
      <c r="BP85" s="2"/>
      <c r="BQ85" s="81" t="s">
        <v>30</v>
      </c>
      <c r="BR85" s="82"/>
      <c r="BS85" s="83"/>
    </row>
    <row r="87" spans="2:71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  <c r="AW87" s="79" t="s">
        <v>2</v>
      </c>
      <c r="AX87" s="79"/>
      <c r="AY87" s="79"/>
      <c r="AZ87" s="2">
        <v>9</v>
      </c>
      <c r="BA87" s="2">
        <v>8</v>
      </c>
      <c r="BB87" s="2">
        <v>7</v>
      </c>
      <c r="BC87" s="2">
        <v>6</v>
      </c>
      <c r="BD87" s="2">
        <v>5</v>
      </c>
      <c r="BE87" s="2">
        <v>4</v>
      </c>
      <c r="BF87" s="2">
        <v>3</v>
      </c>
      <c r="BG87" s="2">
        <v>2</v>
      </c>
      <c r="BH87" s="2">
        <v>1</v>
      </c>
      <c r="BI87" s="2">
        <v>2</v>
      </c>
      <c r="BJ87" s="2">
        <v>3</v>
      </c>
      <c r="BK87" s="2">
        <v>4</v>
      </c>
      <c r="BL87" s="2">
        <v>5</v>
      </c>
      <c r="BM87" s="2">
        <v>6</v>
      </c>
      <c r="BN87" s="2">
        <v>7</v>
      </c>
      <c r="BO87" s="2">
        <v>8</v>
      </c>
      <c r="BP87" s="2">
        <v>9</v>
      </c>
      <c r="BQ87" s="79" t="s">
        <v>3</v>
      </c>
      <c r="BR87" s="79"/>
      <c r="BS87" s="79"/>
    </row>
    <row r="88" spans="2:71" x14ac:dyDescent="0.35">
      <c r="B88" s="81" t="s">
        <v>29</v>
      </c>
      <c r="C88" s="82"/>
      <c r="D88" s="83"/>
      <c r="E88" s="2"/>
      <c r="F88" s="2"/>
      <c r="G88" s="3"/>
      <c r="H88" s="2"/>
      <c r="I88" s="2"/>
      <c r="J88" s="2"/>
      <c r="K88" s="2"/>
      <c r="L88" s="2"/>
      <c r="M88" s="2"/>
      <c r="N88" s="2"/>
      <c r="O88" s="5"/>
      <c r="P88" s="2"/>
      <c r="Q88" s="2"/>
      <c r="R88" s="2"/>
      <c r="S88" s="2"/>
      <c r="T88" s="2"/>
      <c r="U88" s="2"/>
      <c r="V88" s="81" t="s">
        <v>82</v>
      </c>
      <c r="W88" s="82"/>
      <c r="X88" s="83"/>
      <c r="AW88" s="81" t="s">
        <v>29</v>
      </c>
      <c r="AX88" s="82"/>
      <c r="AY88" s="83"/>
      <c r="AZ88" s="2"/>
      <c r="BA88" s="2"/>
      <c r="BB88" s="5"/>
      <c r="BC88" s="2"/>
      <c r="BD88" s="3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81" t="s">
        <v>82</v>
      </c>
      <c r="BR88" s="82"/>
      <c r="BS88" s="83"/>
    </row>
    <row r="89" spans="2:71" x14ac:dyDescent="0.35">
      <c r="B89" s="81" t="s">
        <v>29</v>
      </c>
      <c r="C89" s="82"/>
      <c r="D89" s="83"/>
      <c r="E89" s="2"/>
      <c r="F89" s="2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  <c r="S89" s="2"/>
      <c r="T89" s="2"/>
      <c r="U89" s="2"/>
      <c r="V89" s="81" t="s">
        <v>30</v>
      </c>
      <c r="W89" s="82"/>
      <c r="X89" s="83"/>
      <c r="AW89" s="81" t="s">
        <v>29</v>
      </c>
      <c r="AX89" s="82"/>
      <c r="AY89" s="83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3"/>
      <c r="BK89" s="2"/>
      <c r="BL89" s="2"/>
      <c r="BM89" s="2"/>
      <c r="BN89" s="2"/>
      <c r="BO89" s="2"/>
      <c r="BP89" s="2"/>
      <c r="BQ89" s="81" t="s">
        <v>30</v>
      </c>
      <c r="BR89" s="82"/>
      <c r="BS89" s="83"/>
    </row>
    <row r="91" spans="2:71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  <c r="AW91" s="79" t="s">
        <v>2</v>
      </c>
      <c r="AX91" s="79"/>
      <c r="AY91" s="79"/>
      <c r="AZ91" s="2">
        <v>9</v>
      </c>
      <c r="BA91" s="2">
        <v>8</v>
      </c>
      <c r="BB91" s="2">
        <v>7</v>
      </c>
      <c r="BC91" s="2">
        <v>6</v>
      </c>
      <c r="BD91" s="2">
        <v>5</v>
      </c>
      <c r="BE91" s="2">
        <v>4</v>
      </c>
      <c r="BF91" s="2">
        <v>3</v>
      </c>
      <c r="BG91" s="2">
        <v>2</v>
      </c>
      <c r="BH91" s="2">
        <v>1</v>
      </c>
      <c r="BI91" s="2">
        <v>2</v>
      </c>
      <c r="BJ91" s="2">
        <v>3</v>
      </c>
      <c r="BK91" s="2">
        <v>4</v>
      </c>
      <c r="BL91" s="2">
        <v>5</v>
      </c>
      <c r="BM91" s="2">
        <v>6</v>
      </c>
      <c r="BN91" s="2">
        <v>7</v>
      </c>
      <c r="BO91" s="2">
        <v>8</v>
      </c>
      <c r="BP91" s="2">
        <v>9</v>
      </c>
      <c r="BQ91" s="79" t="s">
        <v>3</v>
      </c>
      <c r="BR91" s="79"/>
      <c r="BS91" s="79"/>
    </row>
    <row r="92" spans="2:71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2"/>
      <c r="S92" s="2"/>
      <c r="T92" s="2"/>
      <c r="U92" s="2"/>
      <c r="V92" s="81" t="s">
        <v>30</v>
      </c>
      <c r="W92" s="82"/>
      <c r="X92" s="83"/>
      <c r="AW92" s="81" t="s">
        <v>82</v>
      </c>
      <c r="AX92" s="82"/>
      <c r="AY92" s="83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3"/>
      <c r="BM92" s="2"/>
      <c r="BN92" s="2"/>
      <c r="BO92" s="2"/>
      <c r="BP92" s="2"/>
      <c r="BQ92" s="81" t="s">
        <v>30</v>
      </c>
      <c r="BR92" s="82"/>
      <c r="BS92" s="83"/>
    </row>
    <row r="95" spans="2:71" x14ac:dyDescent="0.35">
      <c r="B95" s="84" t="s">
        <v>12</v>
      </c>
      <c r="C95" s="84"/>
      <c r="D95" s="84"/>
      <c r="AW95" s="84" t="s">
        <v>12</v>
      </c>
      <c r="AX95" s="84"/>
      <c r="AY95" s="84"/>
    </row>
    <row r="96" spans="2:71" x14ac:dyDescent="0.35">
      <c r="B96" s="7"/>
      <c r="C96" s="7"/>
      <c r="D96" s="7"/>
      <c r="AW96" s="7"/>
      <c r="AX96" s="7"/>
      <c r="AY96" s="7"/>
    </row>
    <row r="97" spans="2:91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  <c r="AW97" s="79" t="s">
        <v>2</v>
      </c>
      <c r="AX97" s="79"/>
      <c r="AY97" s="79"/>
      <c r="AZ97" s="2">
        <v>9</v>
      </c>
      <c r="BA97" s="2">
        <v>8</v>
      </c>
      <c r="BB97" s="2">
        <v>7</v>
      </c>
      <c r="BC97" s="2">
        <v>6</v>
      </c>
      <c r="BD97" s="2">
        <v>5</v>
      </c>
      <c r="BE97" s="2">
        <v>4</v>
      </c>
      <c r="BF97" s="2">
        <v>3</v>
      </c>
      <c r="BG97" s="2">
        <v>2</v>
      </c>
      <c r="BH97" s="2">
        <v>1</v>
      </c>
      <c r="BI97" s="2">
        <v>2</v>
      </c>
      <c r="BJ97" s="2">
        <v>3</v>
      </c>
      <c r="BK97" s="2">
        <v>4</v>
      </c>
      <c r="BL97" s="2">
        <v>5</v>
      </c>
      <c r="BM97" s="2">
        <v>6</v>
      </c>
      <c r="BN97" s="2">
        <v>7</v>
      </c>
      <c r="BO97" s="2">
        <v>8</v>
      </c>
      <c r="BP97" s="2">
        <v>9</v>
      </c>
      <c r="BQ97" s="79" t="s">
        <v>3</v>
      </c>
      <c r="BR97" s="79"/>
      <c r="BS97" s="79"/>
      <c r="BV97" s="60"/>
      <c r="BW97" s="60"/>
      <c r="BX97" s="60" t="s">
        <v>13</v>
      </c>
      <c r="BY97" s="60"/>
      <c r="BZ97" s="60" t="s">
        <v>14</v>
      </c>
      <c r="CA97" s="60"/>
      <c r="CB97" s="60" t="s">
        <v>15</v>
      </c>
      <c r="CC97" s="60"/>
    </row>
    <row r="98" spans="2:91" x14ac:dyDescent="0.35">
      <c r="B98" s="80" t="s">
        <v>13</v>
      </c>
      <c r="C98" s="80"/>
      <c r="D98" s="80"/>
      <c r="E98" s="2"/>
      <c r="F98" s="2"/>
      <c r="G98" s="5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  <c r="AW98" s="80" t="s">
        <v>13</v>
      </c>
      <c r="AX98" s="80"/>
      <c r="AY98" s="80"/>
      <c r="AZ98" s="2"/>
      <c r="BA98" s="2"/>
      <c r="BB98" s="5"/>
      <c r="BC98" s="2"/>
      <c r="BD98" s="3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80" t="s">
        <v>14</v>
      </c>
      <c r="BR98" s="80"/>
      <c r="BS98" s="80"/>
      <c r="BV98" s="60"/>
      <c r="BW98" s="60"/>
      <c r="BX98" s="60"/>
      <c r="BY98" s="60"/>
      <c r="BZ98" s="60"/>
      <c r="CA98" s="60"/>
      <c r="CB98" s="60"/>
      <c r="CC98" s="60"/>
    </row>
    <row r="99" spans="2:91" x14ac:dyDescent="0.35">
      <c r="B99" s="80" t="s">
        <v>13</v>
      </c>
      <c r="C99" s="80"/>
      <c r="D99" s="80"/>
      <c r="E99" s="2"/>
      <c r="F99" s="2"/>
      <c r="G99" s="3"/>
      <c r="H99" s="2"/>
      <c r="I99" s="2"/>
      <c r="J99" s="2"/>
      <c r="K99" s="5"/>
      <c r="L99" s="2"/>
      <c r="M99" s="2"/>
      <c r="N99" s="2"/>
      <c r="O99" s="2"/>
      <c r="P99" s="2"/>
      <c r="Q99" s="2"/>
      <c r="R99" s="2"/>
      <c r="S99" s="2"/>
      <c r="T99" s="2"/>
      <c r="U99" s="2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f>1/5</f>
        <v>0.2</v>
      </c>
      <c r="AF99" s="60"/>
      <c r="AG99" s="63">
        <v>7</v>
      </c>
      <c r="AH99" s="64"/>
      <c r="AW99" s="80" t="s">
        <v>13</v>
      </c>
      <c r="AX99" s="80"/>
      <c r="AY99" s="80"/>
      <c r="AZ99" s="2"/>
      <c r="BA99" s="2"/>
      <c r="BB99" s="2"/>
      <c r="BC99" s="2"/>
      <c r="BD99" s="2"/>
      <c r="BE99" s="2"/>
      <c r="BF99" s="5"/>
      <c r="BG99" s="2"/>
      <c r="BH99" s="2"/>
      <c r="BI99" s="2"/>
      <c r="BJ99" s="2"/>
      <c r="BK99" s="2"/>
      <c r="BL99" s="2"/>
      <c r="BM99" s="2"/>
      <c r="BN99" s="2"/>
      <c r="BO99" s="2"/>
      <c r="BP99" s="3"/>
      <c r="BQ99" s="80" t="s">
        <v>15</v>
      </c>
      <c r="BR99" s="80"/>
      <c r="BS99" s="80"/>
      <c r="BV99" s="60" t="s">
        <v>13</v>
      </c>
      <c r="BW99" s="60"/>
      <c r="BX99" s="62">
        <v>1</v>
      </c>
      <c r="BY99" s="62"/>
      <c r="BZ99" s="60">
        <f>1/5</f>
        <v>0.2</v>
      </c>
      <c r="CA99" s="60"/>
      <c r="CB99" s="63">
        <v>9</v>
      </c>
      <c r="CC99" s="64"/>
    </row>
    <row r="100" spans="2:91" x14ac:dyDescent="0.35">
      <c r="AA100" s="60"/>
      <c r="AB100" s="60"/>
      <c r="AC100" s="62"/>
      <c r="AD100" s="62"/>
      <c r="AE100" s="60"/>
      <c r="AF100" s="60"/>
      <c r="AG100" s="65"/>
      <c r="AH100" s="66"/>
      <c r="BV100" s="60"/>
      <c r="BW100" s="60"/>
      <c r="BX100" s="62"/>
      <c r="BY100" s="62"/>
      <c r="BZ100" s="60"/>
      <c r="CA100" s="60"/>
      <c r="CB100" s="65"/>
      <c r="CC100" s="66"/>
    </row>
    <row r="101" spans="2:91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v>5</v>
      </c>
      <c r="AD101" s="60"/>
      <c r="AE101" s="62">
        <v>1</v>
      </c>
      <c r="AF101" s="62"/>
      <c r="AG101" s="60">
        <f>1/9</f>
        <v>0.1111111111111111</v>
      </c>
      <c r="AH101" s="60"/>
      <c r="AW101" s="79" t="s">
        <v>2</v>
      </c>
      <c r="AX101" s="79"/>
      <c r="AY101" s="79"/>
      <c r="AZ101" s="2">
        <v>9</v>
      </c>
      <c r="BA101" s="2">
        <v>8</v>
      </c>
      <c r="BB101" s="2">
        <v>7</v>
      </c>
      <c r="BC101" s="2">
        <v>6</v>
      </c>
      <c r="BD101" s="2">
        <v>5</v>
      </c>
      <c r="BE101" s="2">
        <v>4</v>
      </c>
      <c r="BF101" s="2">
        <v>3</v>
      </c>
      <c r="BG101" s="2">
        <v>2</v>
      </c>
      <c r="BH101" s="2">
        <v>1</v>
      </c>
      <c r="BI101" s="2">
        <v>2</v>
      </c>
      <c r="BJ101" s="2">
        <v>3</v>
      </c>
      <c r="BK101" s="2">
        <v>4</v>
      </c>
      <c r="BL101" s="2">
        <v>5</v>
      </c>
      <c r="BM101" s="2">
        <v>6</v>
      </c>
      <c r="BN101" s="2">
        <v>7</v>
      </c>
      <c r="BO101" s="2">
        <v>8</v>
      </c>
      <c r="BP101" s="2">
        <v>9</v>
      </c>
      <c r="BQ101" s="79" t="s">
        <v>3</v>
      </c>
      <c r="BR101" s="79"/>
      <c r="BS101" s="79"/>
      <c r="BV101" s="60" t="s">
        <v>14</v>
      </c>
      <c r="BW101" s="60"/>
      <c r="BX101" s="60">
        <v>5</v>
      </c>
      <c r="BY101" s="60"/>
      <c r="BZ101" s="62">
        <v>1</v>
      </c>
      <c r="CA101" s="62"/>
      <c r="CB101" s="60">
        <f>1/7</f>
        <v>0.14285714285714285</v>
      </c>
      <c r="CC101" s="60"/>
    </row>
    <row r="102" spans="2:91" x14ac:dyDescent="0.35">
      <c r="B102" s="80" t="s">
        <v>14</v>
      </c>
      <c r="C102" s="80"/>
      <c r="D102" s="80"/>
      <c r="E102" s="3"/>
      <c r="F102" s="2"/>
      <c r="G102" s="2"/>
      <c r="H102" s="2"/>
      <c r="I102" s="2"/>
      <c r="J102" s="2"/>
      <c r="K102" s="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  <c r="AW102" s="80" t="s">
        <v>14</v>
      </c>
      <c r="AX102" s="80"/>
      <c r="AY102" s="80"/>
      <c r="AZ102" s="2"/>
      <c r="BA102" s="2"/>
      <c r="BB102" s="3"/>
      <c r="BC102" s="2"/>
      <c r="BD102" s="2"/>
      <c r="BE102" s="2"/>
      <c r="BF102" s="5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80" t="s">
        <v>15</v>
      </c>
      <c r="BR102" s="80"/>
      <c r="BS102" s="80"/>
      <c r="BV102" s="60"/>
      <c r="BW102" s="60"/>
      <c r="BX102" s="60"/>
      <c r="BY102" s="60"/>
      <c r="BZ102" s="62"/>
      <c r="CA102" s="62"/>
      <c r="CB102" s="60"/>
      <c r="CC102" s="60"/>
    </row>
    <row r="103" spans="2:91" x14ac:dyDescent="0.35">
      <c r="AA103" s="60" t="s">
        <v>15</v>
      </c>
      <c r="AB103" s="60"/>
      <c r="AC103" s="60">
        <f>1/7</f>
        <v>0.14285714285714285</v>
      </c>
      <c r="AD103" s="60"/>
      <c r="AE103" s="60">
        <v>9</v>
      </c>
      <c r="AF103" s="60"/>
      <c r="AG103" s="62">
        <v>1</v>
      </c>
      <c r="AH103" s="62"/>
      <c r="BV103" s="60" t="s">
        <v>15</v>
      </c>
      <c r="BW103" s="60"/>
      <c r="BX103" s="60">
        <f>1/9</f>
        <v>0.1111111111111111</v>
      </c>
      <c r="BY103" s="60"/>
      <c r="BZ103" s="60">
        <v>7</v>
      </c>
      <c r="CA103" s="60"/>
      <c r="CB103" s="62">
        <v>1</v>
      </c>
      <c r="CC103" s="62"/>
    </row>
    <row r="104" spans="2:91" x14ac:dyDescent="0.35">
      <c r="AA104" s="60"/>
      <c r="AB104" s="60"/>
      <c r="AC104" s="60"/>
      <c r="AD104" s="60"/>
      <c r="AE104" s="60"/>
      <c r="AF104" s="60"/>
      <c r="AG104" s="62"/>
      <c r="AH104" s="62"/>
      <c r="BV104" s="60"/>
      <c r="BW104" s="60"/>
      <c r="BX104" s="60"/>
      <c r="BY104" s="60"/>
      <c r="BZ104" s="60"/>
      <c r="CA104" s="60"/>
      <c r="CB104" s="62"/>
      <c r="CC104" s="62"/>
    </row>
    <row r="105" spans="2:91" x14ac:dyDescent="0.35">
      <c r="B105" s="8" t="s">
        <v>16</v>
      </c>
      <c r="AW105" s="8" t="s">
        <v>16</v>
      </c>
    </row>
    <row r="107" spans="2:91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  <c r="AW107" s="79" t="s">
        <v>2</v>
      </c>
      <c r="AX107" s="79"/>
      <c r="AY107" s="79"/>
      <c r="AZ107" s="2">
        <v>9</v>
      </c>
      <c r="BA107" s="2">
        <v>8</v>
      </c>
      <c r="BB107" s="2">
        <v>7</v>
      </c>
      <c r="BC107" s="2">
        <v>6</v>
      </c>
      <c r="BD107" s="2">
        <v>5</v>
      </c>
      <c r="BE107" s="2">
        <v>4</v>
      </c>
      <c r="BF107" s="2">
        <v>3</v>
      </c>
      <c r="BG107" s="2">
        <v>2</v>
      </c>
      <c r="BH107" s="2">
        <v>1</v>
      </c>
      <c r="BI107" s="2">
        <v>2</v>
      </c>
      <c r="BJ107" s="2">
        <v>3</v>
      </c>
      <c r="BK107" s="2">
        <v>4</v>
      </c>
      <c r="BL107" s="2">
        <v>5</v>
      </c>
      <c r="BM107" s="2">
        <v>6</v>
      </c>
      <c r="BN107" s="2">
        <v>7</v>
      </c>
      <c r="BO107" s="2">
        <v>8</v>
      </c>
      <c r="BP107" s="2">
        <v>9</v>
      </c>
      <c r="BQ107" s="79" t="s">
        <v>3</v>
      </c>
      <c r="BR107" s="79"/>
      <c r="BS107" s="79"/>
      <c r="BV107" s="60"/>
      <c r="BW107" s="60"/>
      <c r="BX107" s="60" t="s">
        <v>17</v>
      </c>
      <c r="BY107" s="60"/>
      <c r="BZ107" s="60" t="s">
        <v>18</v>
      </c>
      <c r="CA107" s="60"/>
      <c r="CB107" s="60" t="s">
        <v>19</v>
      </c>
      <c r="CC107" s="60"/>
      <c r="CD107" s="60" t="s">
        <v>31</v>
      </c>
      <c r="CE107" s="60"/>
      <c r="CF107" s="60" t="s">
        <v>20</v>
      </c>
      <c r="CG107" s="60"/>
      <c r="CH107" s="60" t="s">
        <v>21</v>
      </c>
      <c r="CI107" s="60"/>
      <c r="CJ107" s="60" t="s">
        <v>22</v>
      </c>
      <c r="CK107" s="60"/>
      <c r="CL107" s="60" t="s">
        <v>83</v>
      </c>
      <c r="CM107" s="60"/>
    </row>
    <row r="108" spans="2:91" x14ac:dyDescent="0.35">
      <c r="B108" s="80" t="s">
        <v>17</v>
      </c>
      <c r="C108" s="80"/>
      <c r="D108" s="8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W108" s="80" t="s">
        <v>17</v>
      </c>
      <c r="AX108" s="80"/>
      <c r="AY108" s="80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3"/>
      <c r="BM108" s="2"/>
      <c r="BN108" s="2"/>
      <c r="BO108" s="2"/>
      <c r="BP108" s="2"/>
      <c r="BQ108" s="80" t="s">
        <v>18</v>
      </c>
      <c r="BR108" s="80"/>
      <c r="BS108" s="80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</row>
    <row r="109" spans="2:91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2"/>
      <c r="U109" s="2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v>5</v>
      </c>
      <c r="AF109" s="60"/>
      <c r="AG109" s="63">
        <v>7</v>
      </c>
      <c r="AH109" s="64"/>
      <c r="AI109" s="60">
        <v>7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v>3</v>
      </c>
      <c r="AR109" s="60"/>
      <c r="AW109" s="80" t="s">
        <v>17</v>
      </c>
      <c r="AX109" s="80"/>
      <c r="AY109" s="80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3"/>
      <c r="BO109" s="2"/>
      <c r="BP109" s="2"/>
      <c r="BQ109" s="80" t="s">
        <v>19</v>
      </c>
      <c r="BR109" s="80"/>
      <c r="BS109" s="80"/>
      <c r="BV109" s="60" t="s">
        <v>17</v>
      </c>
      <c r="BW109" s="60"/>
      <c r="BX109" s="62">
        <v>1</v>
      </c>
      <c r="BY109" s="62"/>
      <c r="BZ109" s="60">
        <v>5</v>
      </c>
      <c r="CA109" s="60"/>
      <c r="CB109" s="63">
        <v>7</v>
      </c>
      <c r="CC109" s="64"/>
      <c r="CD109" s="60">
        <v>7</v>
      </c>
      <c r="CE109" s="60"/>
      <c r="CF109" s="60">
        <f>1/5</f>
        <v>0.2</v>
      </c>
      <c r="CG109" s="60"/>
      <c r="CH109" s="60">
        <f>1/3</f>
        <v>0.33333333333333331</v>
      </c>
      <c r="CI109" s="60"/>
      <c r="CJ109" s="60">
        <v>5</v>
      </c>
      <c r="CK109" s="60"/>
      <c r="CL109" s="60">
        <v>3</v>
      </c>
      <c r="CM109" s="60"/>
    </row>
    <row r="110" spans="2:91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W110" s="80" t="s">
        <v>17</v>
      </c>
      <c r="AX110" s="80"/>
      <c r="AY110" s="80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3"/>
      <c r="BO110" s="2"/>
      <c r="BP110" s="2"/>
      <c r="BQ110" s="80" t="s">
        <v>31</v>
      </c>
      <c r="BR110" s="80"/>
      <c r="BS110" s="80"/>
      <c r="BV110" s="60"/>
      <c r="BW110" s="60"/>
      <c r="BX110" s="62"/>
      <c r="BY110" s="62"/>
      <c r="BZ110" s="60"/>
      <c r="CA110" s="60"/>
      <c r="CB110" s="65"/>
      <c r="CC110" s="66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</row>
    <row r="111" spans="2:91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f>1/5</f>
        <v>0.2</v>
      </c>
      <c r="AD111" s="60"/>
      <c r="AE111" s="62">
        <v>1</v>
      </c>
      <c r="AF111" s="62"/>
      <c r="AG111" s="60">
        <v>5</v>
      </c>
      <c r="AH111" s="60"/>
      <c r="AI111" s="60">
        <v>7</v>
      </c>
      <c r="AJ111" s="60"/>
      <c r="AK111" s="60">
        <f>1/6</f>
        <v>0.16666666666666666</v>
      </c>
      <c r="AL111" s="60"/>
      <c r="AM111" s="60">
        <f>1/3</f>
        <v>0.33333333333333331</v>
      </c>
      <c r="AN111" s="60"/>
      <c r="AO111" s="60">
        <v>7</v>
      </c>
      <c r="AP111" s="60"/>
      <c r="AQ111" s="60">
        <f>1/5</f>
        <v>0.2</v>
      </c>
      <c r="AR111" s="60"/>
      <c r="AW111" s="80" t="s">
        <v>17</v>
      </c>
      <c r="AX111" s="80"/>
      <c r="AY111" s="80"/>
      <c r="AZ111" s="2"/>
      <c r="BA111" s="2"/>
      <c r="BB111" s="2"/>
      <c r="BC111" s="2"/>
      <c r="BD111" s="3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80" t="s">
        <v>20</v>
      </c>
      <c r="BR111" s="80"/>
      <c r="BS111" s="80"/>
      <c r="BV111" s="60" t="s">
        <v>18</v>
      </c>
      <c r="BW111" s="60"/>
      <c r="BX111" s="60">
        <f>1/5</f>
        <v>0.2</v>
      </c>
      <c r="BY111" s="60"/>
      <c r="BZ111" s="62">
        <v>1</v>
      </c>
      <c r="CA111" s="62"/>
      <c r="CB111" s="60">
        <f>1/2</f>
        <v>0.5</v>
      </c>
      <c r="CC111" s="60"/>
      <c r="CD111" s="60">
        <f>1/2</f>
        <v>0.5</v>
      </c>
      <c r="CE111" s="60"/>
      <c r="CF111" s="60">
        <f>1/5</f>
        <v>0.2</v>
      </c>
      <c r="CG111" s="60"/>
      <c r="CH111" s="60">
        <v>3</v>
      </c>
      <c r="CI111" s="60"/>
      <c r="CJ111" s="60">
        <v>7</v>
      </c>
      <c r="CK111" s="60"/>
      <c r="CL111" s="60">
        <f>1/5</f>
        <v>0.2</v>
      </c>
      <c r="CM111" s="60"/>
    </row>
    <row r="112" spans="2:91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W112" s="80" t="s">
        <v>17</v>
      </c>
      <c r="AX112" s="80"/>
      <c r="AY112" s="80"/>
      <c r="AZ112" s="2"/>
      <c r="BA112" s="2"/>
      <c r="BB112" s="2"/>
      <c r="BC112" s="2"/>
      <c r="BD112" s="2"/>
      <c r="BE112" s="2"/>
      <c r="BF112" s="3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80" t="s">
        <v>21</v>
      </c>
      <c r="BR112" s="80"/>
      <c r="BS112" s="80"/>
      <c r="BV112" s="60"/>
      <c r="BW112" s="60"/>
      <c r="BX112" s="60"/>
      <c r="BY112" s="60"/>
      <c r="BZ112" s="62"/>
      <c r="CA112" s="62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</row>
    <row r="113" spans="2:91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1/7</f>
        <v>0.14285714285714285</v>
      </c>
      <c r="AD113" s="60"/>
      <c r="AE113" s="60">
        <f>1/5</f>
        <v>0.2</v>
      </c>
      <c r="AF113" s="60"/>
      <c r="AG113" s="62">
        <v>1</v>
      </c>
      <c r="AH113" s="62"/>
      <c r="AI113" s="60">
        <v>4</v>
      </c>
      <c r="AJ113" s="60"/>
      <c r="AK113" s="60">
        <f>1/7</f>
        <v>0.14285714285714285</v>
      </c>
      <c r="AL113" s="60"/>
      <c r="AM113" s="60">
        <f>1/5</f>
        <v>0.2</v>
      </c>
      <c r="AN113" s="60"/>
      <c r="AO113" s="60">
        <v>7</v>
      </c>
      <c r="AP113" s="60"/>
      <c r="AQ113" s="60">
        <v>3</v>
      </c>
      <c r="AR113" s="60"/>
      <c r="AW113" s="80" t="s">
        <v>17</v>
      </c>
      <c r="AX113" s="80"/>
      <c r="AY113" s="80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3"/>
      <c r="BO113" s="2"/>
      <c r="BP113" s="2"/>
      <c r="BQ113" s="80" t="s">
        <v>22</v>
      </c>
      <c r="BR113" s="80"/>
      <c r="BS113" s="80"/>
      <c r="BV113" s="60" t="s">
        <v>19</v>
      </c>
      <c r="BW113" s="60"/>
      <c r="BX113" s="60">
        <f>1/7</f>
        <v>0.14285714285714285</v>
      </c>
      <c r="BY113" s="60"/>
      <c r="BZ113" s="60">
        <v>2</v>
      </c>
      <c r="CA113" s="60"/>
      <c r="CB113" s="62">
        <v>1</v>
      </c>
      <c r="CC113" s="62"/>
      <c r="CD113" s="60">
        <v>6</v>
      </c>
      <c r="CE113" s="60"/>
      <c r="CF113" s="60">
        <f>1/9</f>
        <v>0.1111111111111111</v>
      </c>
      <c r="CG113" s="60"/>
      <c r="CH113" s="60">
        <f>1/5</f>
        <v>0.2</v>
      </c>
      <c r="CI113" s="60"/>
      <c r="CJ113" s="60">
        <v>5</v>
      </c>
      <c r="CK113" s="60"/>
      <c r="CL113" s="60">
        <v>3</v>
      </c>
      <c r="CM113" s="60"/>
    </row>
    <row r="114" spans="2:91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W114" s="80" t="s">
        <v>17</v>
      </c>
      <c r="AX114" s="80"/>
      <c r="AY114" s="80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3"/>
      <c r="BK114" s="2"/>
      <c r="BL114" s="2"/>
      <c r="BM114" s="2"/>
      <c r="BN114" s="2"/>
      <c r="BO114" s="2"/>
      <c r="BP114" s="2"/>
      <c r="BQ114" s="80" t="s">
        <v>83</v>
      </c>
      <c r="BR114" s="80"/>
      <c r="BS114" s="80"/>
      <c r="BV114" s="60"/>
      <c r="BW114" s="60"/>
      <c r="BX114" s="60"/>
      <c r="BY114" s="60"/>
      <c r="BZ114" s="60"/>
      <c r="CA114" s="60"/>
      <c r="CB114" s="62"/>
      <c r="CC114" s="62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</row>
    <row r="115" spans="2:91" x14ac:dyDescent="0.35">
      <c r="AA115" s="60" t="s">
        <v>31</v>
      </c>
      <c r="AB115" s="60"/>
      <c r="AC115" s="60">
        <f>1/7</f>
        <v>0.14285714285714285</v>
      </c>
      <c r="AD115" s="60"/>
      <c r="AE115" s="60">
        <f>1/7</f>
        <v>0.14285714285714285</v>
      </c>
      <c r="AF115" s="60"/>
      <c r="AG115" s="60">
        <f>1/4</f>
        <v>0.25</v>
      </c>
      <c r="AH115" s="60"/>
      <c r="AI115" s="62">
        <v>1</v>
      </c>
      <c r="AJ115" s="62"/>
      <c r="AK115" s="60">
        <f>1/5</f>
        <v>0.2</v>
      </c>
      <c r="AL115" s="60"/>
      <c r="AM115" s="60">
        <v>3</v>
      </c>
      <c r="AN115" s="60"/>
      <c r="AO115" s="60">
        <f>1/9</f>
        <v>0.1111111111111111</v>
      </c>
      <c r="AP115" s="60"/>
      <c r="AQ115" s="60">
        <f>1/7</f>
        <v>0.14285714285714285</v>
      </c>
      <c r="AR115" s="60"/>
      <c r="BV115" s="60" t="s">
        <v>31</v>
      </c>
      <c r="BW115" s="60"/>
      <c r="BX115" s="60">
        <f>1/7</f>
        <v>0.14285714285714285</v>
      </c>
      <c r="BY115" s="60"/>
      <c r="BZ115" s="60">
        <v>2</v>
      </c>
      <c r="CA115" s="60"/>
      <c r="CB115" s="60">
        <f>1/6</f>
        <v>0.16666666666666666</v>
      </c>
      <c r="CC115" s="60"/>
      <c r="CD115" s="62">
        <v>1</v>
      </c>
      <c r="CE115" s="62"/>
      <c r="CF115" s="60">
        <f>1/9</f>
        <v>0.1111111111111111</v>
      </c>
      <c r="CG115" s="60"/>
      <c r="CH115" s="60">
        <v>3</v>
      </c>
      <c r="CI115" s="60"/>
      <c r="CJ115" s="60">
        <v>5</v>
      </c>
      <c r="CK115" s="60"/>
      <c r="CL115" s="60">
        <f>1/7</f>
        <v>0.14285714285714285</v>
      </c>
      <c r="CM115" s="60"/>
    </row>
    <row r="116" spans="2:91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  <c r="AW116" s="79" t="s">
        <v>2</v>
      </c>
      <c r="AX116" s="79"/>
      <c r="AY116" s="79"/>
      <c r="AZ116" s="2">
        <v>9</v>
      </c>
      <c r="BA116" s="2">
        <v>8</v>
      </c>
      <c r="BB116" s="2">
        <v>7</v>
      </c>
      <c r="BC116" s="2">
        <v>6</v>
      </c>
      <c r="BD116" s="2">
        <v>5</v>
      </c>
      <c r="BE116" s="2">
        <v>4</v>
      </c>
      <c r="BF116" s="2">
        <v>3</v>
      </c>
      <c r="BG116" s="2">
        <v>2</v>
      </c>
      <c r="BH116" s="2">
        <v>1</v>
      </c>
      <c r="BI116" s="2">
        <v>2</v>
      </c>
      <c r="BJ116" s="2">
        <v>3</v>
      </c>
      <c r="BK116" s="2">
        <v>4</v>
      </c>
      <c r="BL116" s="2">
        <v>5</v>
      </c>
      <c r="BM116" s="2">
        <v>6</v>
      </c>
      <c r="BN116" s="2">
        <v>7</v>
      </c>
      <c r="BO116" s="2">
        <v>8</v>
      </c>
      <c r="BP116" s="2">
        <v>9</v>
      </c>
      <c r="BQ116" s="79" t="s">
        <v>3</v>
      </c>
      <c r="BR116" s="79"/>
      <c r="BS116" s="79"/>
      <c r="BV116" s="60"/>
      <c r="BW116" s="60"/>
      <c r="BX116" s="60"/>
      <c r="BY116" s="60"/>
      <c r="BZ116" s="60"/>
      <c r="CA116" s="60"/>
      <c r="CB116" s="60"/>
      <c r="CC116" s="60"/>
      <c r="CD116" s="62"/>
      <c r="CE116" s="62"/>
      <c r="CF116" s="60"/>
      <c r="CG116" s="60"/>
      <c r="CH116" s="60"/>
      <c r="CI116" s="60"/>
      <c r="CJ116" s="60"/>
      <c r="CK116" s="60"/>
      <c r="CL116" s="60"/>
      <c r="CM116" s="60"/>
    </row>
    <row r="117" spans="2:91" x14ac:dyDescent="0.35">
      <c r="B117" s="80" t="s">
        <v>18</v>
      </c>
      <c r="C117" s="80"/>
      <c r="D117" s="8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3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6</v>
      </c>
      <c r="AF117" s="60"/>
      <c r="AG117" s="60">
        <v>7</v>
      </c>
      <c r="AH117" s="60"/>
      <c r="AI117" s="60">
        <v>5</v>
      </c>
      <c r="AJ117" s="60"/>
      <c r="AK117" s="62">
        <v>1</v>
      </c>
      <c r="AL117" s="62"/>
      <c r="AM117" s="60">
        <v>3</v>
      </c>
      <c r="AN117" s="60"/>
      <c r="AO117" s="60">
        <v>3</v>
      </c>
      <c r="AP117" s="60"/>
      <c r="AQ117" s="60">
        <f>1/3</f>
        <v>0.33333333333333331</v>
      </c>
      <c r="AR117" s="60"/>
      <c r="AW117" s="80" t="s">
        <v>18</v>
      </c>
      <c r="AX117" s="80"/>
      <c r="AY117" s="80"/>
      <c r="AZ117" s="2"/>
      <c r="BA117" s="2"/>
      <c r="BB117" s="2"/>
      <c r="BC117" s="2"/>
      <c r="BD117" s="2"/>
      <c r="BE117" s="2"/>
      <c r="BF117" s="2"/>
      <c r="BG117" s="3"/>
      <c r="BH117" s="2"/>
      <c r="BI117" s="2"/>
      <c r="BJ117" s="2"/>
      <c r="BK117" s="2"/>
      <c r="BL117" s="2"/>
      <c r="BM117" s="2"/>
      <c r="BN117" s="2"/>
      <c r="BO117" s="2"/>
      <c r="BP117" s="2"/>
      <c r="BQ117" s="80" t="s">
        <v>19</v>
      </c>
      <c r="BR117" s="80"/>
      <c r="BS117" s="80"/>
      <c r="BV117" s="60" t="s">
        <v>20</v>
      </c>
      <c r="BW117" s="60"/>
      <c r="BX117" s="60">
        <v>5</v>
      </c>
      <c r="BY117" s="60"/>
      <c r="BZ117" s="60">
        <v>5</v>
      </c>
      <c r="CA117" s="60"/>
      <c r="CB117" s="60">
        <v>9</v>
      </c>
      <c r="CC117" s="60"/>
      <c r="CD117" s="60">
        <v>9</v>
      </c>
      <c r="CE117" s="60"/>
      <c r="CF117" s="62">
        <v>1</v>
      </c>
      <c r="CG117" s="62"/>
      <c r="CH117" s="60">
        <v>4</v>
      </c>
      <c r="CI117" s="60"/>
      <c r="CJ117" s="60">
        <v>3</v>
      </c>
      <c r="CK117" s="60"/>
      <c r="CL117" s="60">
        <v>5</v>
      </c>
      <c r="CM117" s="60"/>
    </row>
    <row r="118" spans="2:91" x14ac:dyDescent="0.35">
      <c r="B118" s="80" t="s">
        <v>18</v>
      </c>
      <c r="C118" s="80"/>
      <c r="D118" s="8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5"/>
      <c r="P118" s="2"/>
      <c r="Q118" s="2"/>
      <c r="R118" s="2"/>
      <c r="S118" s="3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  <c r="AW118" s="80" t="s">
        <v>18</v>
      </c>
      <c r="AX118" s="80"/>
      <c r="AY118" s="80"/>
      <c r="AZ118" s="2"/>
      <c r="BA118" s="2"/>
      <c r="BB118" s="2"/>
      <c r="BC118" s="2"/>
      <c r="BD118" s="2"/>
      <c r="BE118" s="2"/>
      <c r="BF118" s="2"/>
      <c r="BG118" s="3"/>
      <c r="BH118" s="2"/>
      <c r="BI118" s="2"/>
      <c r="BJ118" s="2"/>
      <c r="BK118" s="2"/>
      <c r="BL118" s="2"/>
      <c r="BM118" s="2"/>
      <c r="BN118" s="2"/>
      <c r="BO118" s="2"/>
      <c r="BP118" s="2"/>
      <c r="BQ118" s="80" t="s">
        <v>31</v>
      </c>
      <c r="BR118" s="80"/>
      <c r="BS118" s="80"/>
      <c r="BV118" s="60"/>
      <c r="BW118" s="60"/>
      <c r="BX118" s="60"/>
      <c r="BY118" s="60"/>
      <c r="BZ118" s="60"/>
      <c r="CA118" s="60"/>
      <c r="CB118" s="60"/>
      <c r="CC118" s="60"/>
      <c r="CD118" s="60"/>
      <c r="CE118" s="60"/>
      <c r="CF118" s="62"/>
      <c r="CG118" s="62"/>
      <c r="CH118" s="60"/>
      <c r="CI118" s="60"/>
      <c r="CJ118" s="60"/>
      <c r="CK118" s="60"/>
      <c r="CL118" s="60"/>
      <c r="CM118" s="60"/>
    </row>
    <row r="119" spans="2:91" x14ac:dyDescent="0.35">
      <c r="B119" s="80" t="s">
        <v>18</v>
      </c>
      <c r="C119" s="80"/>
      <c r="D119" s="80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5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v>3</v>
      </c>
      <c r="AF119" s="60"/>
      <c r="AG119" s="60">
        <v>5</v>
      </c>
      <c r="AH119" s="60"/>
      <c r="AI119" s="60">
        <f>1/3</f>
        <v>0.33333333333333331</v>
      </c>
      <c r="AJ119" s="60"/>
      <c r="AK119" s="60">
        <f>1/3</f>
        <v>0.33333333333333331</v>
      </c>
      <c r="AL119" s="60"/>
      <c r="AM119" s="62">
        <v>1</v>
      </c>
      <c r="AN119" s="62"/>
      <c r="AO119" s="60">
        <f>1/5</f>
        <v>0.2</v>
      </c>
      <c r="AP119" s="60"/>
      <c r="AQ119" s="60">
        <f>1/3</f>
        <v>0.33333333333333331</v>
      </c>
      <c r="AR119" s="60"/>
      <c r="AW119" s="80" t="s">
        <v>18</v>
      </c>
      <c r="AX119" s="80"/>
      <c r="AY119" s="80"/>
      <c r="AZ119" s="2"/>
      <c r="BA119" s="2"/>
      <c r="BB119" s="2"/>
      <c r="BC119" s="2"/>
      <c r="BD119" s="3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80" t="s">
        <v>20</v>
      </c>
      <c r="BR119" s="80"/>
      <c r="BS119" s="80"/>
      <c r="BV119" s="60" t="s">
        <v>21</v>
      </c>
      <c r="BW119" s="60"/>
      <c r="BX119" s="60">
        <v>3</v>
      </c>
      <c r="BY119" s="60"/>
      <c r="BZ119" s="60">
        <f>1/3</f>
        <v>0.33333333333333331</v>
      </c>
      <c r="CA119" s="60"/>
      <c r="CB119" s="60">
        <v>5</v>
      </c>
      <c r="CC119" s="60"/>
      <c r="CD119" s="60">
        <f>1/3</f>
        <v>0.33333333333333331</v>
      </c>
      <c r="CE119" s="60"/>
      <c r="CF119" s="60">
        <f>1/4</f>
        <v>0.25</v>
      </c>
      <c r="CG119" s="60"/>
      <c r="CH119" s="62">
        <v>1</v>
      </c>
      <c r="CI119" s="62"/>
      <c r="CJ119" s="60">
        <v>9</v>
      </c>
      <c r="CK119" s="60"/>
      <c r="CL119" s="60">
        <f>1/3</f>
        <v>0.33333333333333331</v>
      </c>
      <c r="CM119" s="60"/>
    </row>
    <row r="120" spans="2:91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  <c r="AW120" s="80" t="s">
        <v>18</v>
      </c>
      <c r="AX120" s="80"/>
      <c r="AY120" s="80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3"/>
      <c r="BK120" s="2"/>
      <c r="BL120" s="2"/>
      <c r="BM120" s="2"/>
      <c r="BN120" s="2"/>
      <c r="BO120" s="2"/>
      <c r="BP120" s="2"/>
      <c r="BQ120" s="80" t="s">
        <v>21</v>
      </c>
      <c r="BR120" s="80"/>
      <c r="BS120" s="8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2"/>
      <c r="CI120" s="62"/>
      <c r="CJ120" s="60"/>
      <c r="CK120" s="60"/>
      <c r="CL120" s="60"/>
      <c r="CM120" s="60"/>
    </row>
    <row r="121" spans="2:91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5"/>
      <c r="R121" s="2"/>
      <c r="S121" s="3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1/7</f>
        <v>0.14285714285714285</v>
      </c>
      <c r="AF121" s="60"/>
      <c r="AG121" s="60">
        <f>1/7</f>
        <v>0.14285714285714285</v>
      </c>
      <c r="AH121" s="60"/>
      <c r="AI121" s="60">
        <v>9</v>
      </c>
      <c r="AJ121" s="60"/>
      <c r="AK121" s="60">
        <f>1/3</f>
        <v>0.33333333333333331</v>
      </c>
      <c r="AL121" s="60"/>
      <c r="AM121" s="60">
        <v>5</v>
      </c>
      <c r="AN121" s="60"/>
      <c r="AO121" s="62">
        <v>1</v>
      </c>
      <c r="AP121" s="62"/>
      <c r="AQ121" s="60">
        <v>5</v>
      </c>
      <c r="AR121" s="60"/>
      <c r="AW121" s="80" t="s">
        <v>18</v>
      </c>
      <c r="AX121" s="80"/>
      <c r="AY121" s="80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3"/>
      <c r="BO121" s="2"/>
      <c r="BP121" s="2"/>
      <c r="BQ121" s="80" t="s">
        <v>22</v>
      </c>
      <c r="BR121" s="80"/>
      <c r="BS121" s="80"/>
      <c r="BV121" s="60" t="s">
        <v>22</v>
      </c>
      <c r="BW121" s="60"/>
      <c r="BX121" s="60">
        <f>1/5</f>
        <v>0.2</v>
      </c>
      <c r="BY121" s="60"/>
      <c r="BZ121" s="60">
        <f>1/7</f>
        <v>0.14285714285714285</v>
      </c>
      <c r="CA121" s="60"/>
      <c r="CB121" s="60">
        <f>1/5</f>
        <v>0.2</v>
      </c>
      <c r="CC121" s="60"/>
      <c r="CD121" s="60">
        <f>1/5</f>
        <v>0.2</v>
      </c>
      <c r="CE121" s="60"/>
      <c r="CF121" s="60">
        <f>1/3</f>
        <v>0.33333333333333331</v>
      </c>
      <c r="CG121" s="60"/>
      <c r="CH121" s="60">
        <f>1/9</f>
        <v>0.1111111111111111</v>
      </c>
      <c r="CI121" s="60"/>
      <c r="CJ121" s="62">
        <v>1</v>
      </c>
      <c r="CK121" s="62"/>
      <c r="CL121" s="60"/>
      <c r="CM121" s="60"/>
    </row>
    <row r="122" spans="2:91" x14ac:dyDescent="0.35">
      <c r="B122" s="80" t="s">
        <v>18</v>
      </c>
      <c r="C122" s="80"/>
      <c r="D122" s="80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5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  <c r="AW122" s="80" t="s">
        <v>18</v>
      </c>
      <c r="AX122" s="80"/>
      <c r="AY122" s="80"/>
      <c r="AZ122" s="2"/>
      <c r="BA122" s="2"/>
      <c r="BB122" s="2"/>
      <c r="BC122" s="2"/>
      <c r="BD122" s="3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80" t="s">
        <v>83</v>
      </c>
      <c r="BR122" s="80"/>
      <c r="BS122" s="80"/>
      <c r="BV122" s="60"/>
      <c r="BW122" s="60"/>
      <c r="BX122" s="60"/>
      <c r="BY122" s="60"/>
      <c r="BZ122" s="60"/>
      <c r="CA122" s="60"/>
      <c r="CB122" s="60"/>
      <c r="CC122" s="60"/>
      <c r="CD122" s="60"/>
      <c r="CE122" s="60"/>
      <c r="CF122" s="60"/>
      <c r="CG122" s="60"/>
      <c r="CH122" s="60"/>
      <c r="CI122" s="60"/>
      <c r="CJ122" s="62"/>
      <c r="CK122" s="62"/>
      <c r="CL122" s="60"/>
      <c r="CM122" s="60"/>
    </row>
    <row r="123" spans="2:91" x14ac:dyDescent="0.35">
      <c r="AA123" s="60" t="s">
        <v>83</v>
      </c>
      <c r="AB123" s="60"/>
      <c r="AC123" s="60">
        <f>1/3</f>
        <v>0.33333333333333331</v>
      </c>
      <c r="AD123" s="60"/>
      <c r="AE123" s="60">
        <v>5</v>
      </c>
      <c r="AF123" s="60"/>
      <c r="AG123" s="60">
        <f>1/3</f>
        <v>0.33333333333333331</v>
      </c>
      <c r="AH123" s="60"/>
      <c r="AI123" s="60">
        <v>7</v>
      </c>
      <c r="AJ123" s="60"/>
      <c r="AK123" s="60">
        <v>3</v>
      </c>
      <c r="AL123" s="60"/>
      <c r="AM123" s="60">
        <v>3</v>
      </c>
      <c r="AN123" s="60"/>
      <c r="AO123" s="60">
        <f>1/5</f>
        <v>0.2</v>
      </c>
      <c r="AP123" s="60"/>
      <c r="AQ123" s="62">
        <v>1</v>
      </c>
      <c r="AR123" s="62"/>
      <c r="BV123" s="60" t="s">
        <v>83</v>
      </c>
      <c r="BW123" s="60"/>
      <c r="BX123" s="60">
        <f>1/3</f>
        <v>0.33333333333333331</v>
      </c>
      <c r="BY123" s="60"/>
      <c r="BZ123" s="60">
        <v>5</v>
      </c>
      <c r="CA123" s="60"/>
      <c r="CB123" s="60">
        <f>1/3</f>
        <v>0.33333333333333331</v>
      </c>
      <c r="CC123" s="60"/>
      <c r="CD123" s="60">
        <v>7</v>
      </c>
      <c r="CE123" s="60"/>
      <c r="CF123" s="60">
        <f>1/5</f>
        <v>0.2</v>
      </c>
      <c r="CG123" s="60"/>
      <c r="CH123" s="60">
        <v>3</v>
      </c>
      <c r="CI123" s="60"/>
      <c r="CJ123" s="60">
        <v>7</v>
      </c>
      <c r="CK123" s="60"/>
      <c r="CL123" s="62">
        <v>1</v>
      </c>
      <c r="CM123" s="62"/>
    </row>
    <row r="124" spans="2:91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  <c r="AW124" s="79" t="s">
        <v>2</v>
      </c>
      <c r="AX124" s="79"/>
      <c r="AY124" s="79"/>
      <c r="AZ124" s="2">
        <v>9</v>
      </c>
      <c r="BA124" s="2">
        <v>8</v>
      </c>
      <c r="BB124" s="2">
        <v>7</v>
      </c>
      <c r="BC124" s="2">
        <v>6</v>
      </c>
      <c r="BD124" s="2">
        <v>5</v>
      </c>
      <c r="BE124" s="2">
        <v>4</v>
      </c>
      <c r="BF124" s="2">
        <v>3</v>
      </c>
      <c r="BG124" s="2">
        <v>2</v>
      </c>
      <c r="BH124" s="2">
        <v>1</v>
      </c>
      <c r="BI124" s="2">
        <v>2</v>
      </c>
      <c r="BJ124" s="2">
        <v>3</v>
      </c>
      <c r="BK124" s="2">
        <v>4</v>
      </c>
      <c r="BL124" s="2">
        <v>5</v>
      </c>
      <c r="BM124" s="2">
        <v>6</v>
      </c>
      <c r="BN124" s="2">
        <v>7</v>
      </c>
      <c r="BO124" s="2">
        <v>8</v>
      </c>
      <c r="BP124" s="2">
        <v>9</v>
      </c>
      <c r="BQ124" s="79" t="s">
        <v>3</v>
      </c>
      <c r="BR124" s="79"/>
      <c r="BS124" s="79"/>
      <c r="BV124" s="60"/>
      <c r="BW124" s="60"/>
      <c r="BX124" s="60"/>
      <c r="BY124" s="60"/>
      <c r="BZ124" s="60"/>
      <c r="CA124" s="60"/>
      <c r="CB124" s="60"/>
      <c r="CC124" s="60"/>
      <c r="CD124" s="60"/>
      <c r="CE124" s="60"/>
      <c r="CF124" s="60"/>
      <c r="CG124" s="60"/>
      <c r="CH124" s="60"/>
      <c r="CI124" s="60"/>
      <c r="CJ124" s="60"/>
      <c r="CK124" s="60"/>
      <c r="CL124" s="62"/>
      <c r="CM124" s="62"/>
    </row>
    <row r="125" spans="2:91" x14ac:dyDescent="0.35">
      <c r="B125" s="80" t="s">
        <v>19</v>
      </c>
      <c r="C125" s="80"/>
      <c r="D125" s="80"/>
      <c r="E125" s="2"/>
      <c r="F125" s="2"/>
      <c r="G125" s="2"/>
      <c r="H125" s="2"/>
      <c r="I125" s="2"/>
      <c r="J125" s="2"/>
      <c r="K125" s="5"/>
      <c r="L125" s="2"/>
      <c r="M125" s="2"/>
      <c r="N125" s="2"/>
      <c r="O125" s="2"/>
      <c r="P125" s="3"/>
      <c r="Q125" s="2"/>
      <c r="R125" s="2"/>
      <c r="S125" s="2"/>
      <c r="T125" s="2"/>
      <c r="U125" s="2"/>
      <c r="V125" s="80" t="s">
        <v>31</v>
      </c>
      <c r="W125" s="80"/>
      <c r="X125" s="80"/>
      <c r="AW125" s="80" t="s">
        <v>19</v>
      </c>
      <c r="AX125" s="80"/>
      <c r="AY125" s="80"/>
      <c r="AZ125" s="2"/>
      <c r="BA125" s="2"/>
      <c r="BB125" s="2"/>
      <c r="BC125" s="2"/>
      <c r="BD125" s="2"/>
      <c r="BE125" s="2"/>
      <c r="BF125" s="5"/>
      <c r="BG125" s="2"/>
      <c r="BH125" s="2"/>
      <c r="BI125" s="2"/>
      <c r="BJ125" s="2"/>
      <c r="BK125" s="2"/>
      <c r="BL125" s="2"/>
      <c r="BM125" s="3"/>
      <c r="BN125" s="2"/>
      <c r="BO125" s="2"/>
      <c r="BP125" s="2"/>
      <c r="BQ125" s="80" t="s">
        <v>31</v>
      </c>
      <c r="BR125" s="80"/>
      <c r="BS125" s="80"/>
    </row>
    <row r="126" spans="2:91" x14ac:dyDescent="0.35">
      <c r="B126" s="80" t="s">
        <v>19</v>
      </c>
      <c r="C126" s="80"/>
      <c r="D126" s="80"/>
      <c r="E126" s="2"/>
      <c r="F126" s="2"/>
      <c r="G126" s="3"/>
      <c r="H126" s="2"/>
      <c r="I126" s="2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  <c r="AW126" s="80" t="s">
        <v>19</v>
      </c>
      <c r="AX126" s="80"/>
      <c r="AY126" s="80"/>
      <c r="AZ126" s="3"/>
      <c r="BA126" s="2"/>
      <c r="BB126" s="2"/>
      <c r="BC126" s="2"/>
      <c r="BD126" s="5"/>
      <c r="BE126" s="2"/>
      <c r="BF126" s="5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80" t="s">
        <v>20</v>
      </c>
      <c r="BR126" s="80"/>
      <c r="BS126" s="80"/>
    </row>
    <row r="127" spans="2:91" x14ac:dyDescent="0.35">
      <c r="B127" s="80" t="s">
        <v>19</v>
      </c>
      <c r="C127" s="80"/>
      <c r="D127" s="80"/>
      <c r="E127" s="2"/>
      <c r="F127" s="2"/>
      <c r="G127" s="2"/>
      <c r="H127" s="2"/>
      <c r="I127" s="3"/>
      <c r="J127" s="2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  <c r="AW127" s="80" t="s">
        <v>19</v>
      </c>
      <c r="AX127" s="80"/>
      <c r="AY127" s="80"/>
      <c r="AZ127" s="2"/>
      <c r="BA127" s="2"/>
      <c r="BB127" s="2"/>
      <c r="BC127" s="2"/>
      <c r="BD127" s="3"/>
      <c r="BE127" s="2"/>
      <c r="BF127" s="5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80" t="s">
        <v>21</v>
      </c>
      <c r="BR127" s="80"/>
      <c r="BS127" s="80"/>
      <c r="BU127" s="6"/>
      <c r="BV127" s="6"/>
      <c r="BW127" s="6"/>
    </row>
    <row r="128" spans="2:91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5"/>
      <c r="R128" s="2"/>
      <c r="S128" s="3"/>
      <c r="T128" s="2"/>
      <c r="U128" s="2"/>
      <c r="V128" s="80" t="s">
        <v>22</v>
      </c>
      <c r="W128" s="80"/>
      <c r="X128" s="80"/>
      <c r="AW128" s="80" t="s">
        <v>19</v>
      </c>
      <c r="AX128" s="80"/>
      <c r="AY128" s="80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3"/>
      <c r="BM128" s="2"/>
      <c r="BN128" s="2"/>
      <c r="BO128" s="2"/>
      <c r="BP128" s="2"/>
      <c r="BQ128" s="80" t="s">
        <v>22</v>
      </c>
      <c r="BR128" s="80"/>
      <c r="BS128" s="80"/>
    </row>
    <row r="129" spans="2:71" x14ac:dyDescent="0.35">
      <c r="B129" s="80" t="s">
        <v>19</v>
      </c>
      <c r="C129" s="80"/>
      <c r="D129" s="8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80" t="s">
        <v>83</v>
      </c>
      <c r="W129" s="80"/>
      <c r="X129" s="80"/>
      <c r="AW129" s="80" t="s">
        <v>19</v>
      </c>
      <c r="AX129" s="80"/>
      <c r="AY129" s="80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3"/>
      <c r="BK129" s="2"/>
      <c r="BL129" s="2"/>
      <c r="BM129" s="2"/>
      <c r="BN129" s="2"/>
      <c r="BO129" s="2"/>
      <c r="BP129" s="2"/>
      <c r="BQ129" s="80" t="s">
        <v>83</v>
      </c>
      <c r="BR129" s="80"/>
      <c r="BS129" s="80"/>
    </row>
    <row r="131" spans="2:71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  <c r="AW131" s="79" t="s">
        <v>2</v>
      </c>
      <c r="AX131" s="79"/>
      <c r="AY131" s="79"/>
      <c r="AZ131" s="2">
        <v>9</v>
      </c>
      <c r="BA131" s="2">
        <v>8</v>
      </c>
      <c r="BB131" s="2">
        <v>7</v>
      </c>
      <c r="BC131" s="2">
        <v>6</v>
      </c>
      <c r="BD131" s="2">
        <v>5</v>
      </c>
      <c r="BE131" s="2">
        <v>4</v>
      </c>
      <c r="BF131" s="2">
        <v>3</v>
      </c>
      <c r="BG131" s="2">
        <v>2</v>
      </c>
      <c r="BH131" s="2">
        <v>1</v>
      </c>
      <c r="BI131" s="2">
        <v>2</v>
      </c>
      <c r="BJ131" s="2">
        <v>3</v>
      </c>
      <c r="BK131" s="2">
        <v>4</v>
      </c>
      <c r="BL131" s="2">
        <v>5</v>
      </c>
      <c r="BM131" s="2">
        <v>6</v>
      </c>
      <c r="BN131" s="2">
        <v>7</v>
      </c>
      <c r="BO131" s="2">
        <v>8</v>
      </c>
      <c r="BP131" s="2">
        <v>9</v>
      </c>
      <c r="BQ131" s="79" t="s">
        <v>3</v>
      </c>
      <c r="BR131" s="79"/>
      <c r="BS131" s="79"/>
    </row>
    <row r="132" spans="2:71" x14ac:dyDescent="0.35">
      <c r="B132" s="80" t="s">
        <v>31</v>
      </c>
      <c r="C132" s="80"/>
      <c r="D132" s="80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  <c r="AW132" s="80" t="s">
        <v>31</v>
      </c>
      <c r="AX132" s="80"/>
      <c r="AY132" s="80"/>
      <c r="AZ132" s="3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80" t="s">
        <v>20</v>
      </c>
      <c r="BR132" s="80"/>
      <c r="BS132" s="80"/>
    </row>
    <row r="133" spans="2:71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  <c r="AW133" s="80" t="s">
        <v>31</v>
      </c>
      <c r="AX133" s="80"/>
      <c r="AY133" s="80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3"/>
      <c r="BK133" s="2"/>
      <c r="BL133" s="2"/>
      <c r="BM133" s="2"/>
      <c r="BN133" s="2"/>
      <c r="BO133" s="2"/>
      <c r="BP133" s="2"/>
      <c r="BQ133" s="80" t="s">
        <v>21</v>
      </c>
      <c r="BR133" s="80"/>
      <c r="BS133" s="80"/>
    </row>
    <row r="134" spans="2:71" x14ac:dyDescent="0.35">
      <c r="B134" s="80" t="s">
        <v>31</v>
      </c>
      <c r="C134" s="80"/>
      <c r="D134" s="80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80" t="s">
        <v>22</v>
      </c>
      <c r="W134" s="80"/>
      <c r="X134" s="80"/>
      <c r="AW134" s="80" t="s">
        <v>31</v>
      </c>
      <c r="AX134" s="80"/>
      <c r="AY134" s="80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3"/>
      <c r="BM134" s="2"/>
      <c r="BN134" s="2"/>
      <c r="BO134" s="2"/>
      <c r="BP134" s="2"/>
      <c r="BQ134" s="80" t="s">
        <v>22</v>
      </c>
      <c r="BR134" s="80"/>
      <c r="BS134" s="80"/>
    </row>
    <row r="135" spans="2:71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  <c r="AW135" s="80" t="s">
        <v>31</v>
      </c>
      <c r="AX135" s="80"/>
      <c r="AY135" s="80"/>
      <c r="AZ135" s="2"/>
      <c r="BA135" s="2"/>
      <c r="BB135" s="3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80" t="s">
        <v>83</v>
      </c>
      <c r="BR135" s="80"/>
      <c r="BS135" s="80"/>
    </row>
    <row r="137" spans="2:71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  <c r="AW137" s="79" t="s">
        <v>2</v>
      </c>
      <c r="AX137" s="79"/>
      <c r="AY137" s="79"/>
      <c r="AZ137" s="2">
        <v>9</v>
      </c>
      <c r="BA137" s="2">
        <v>8</v>
      </c>
      <c r="BB137" s="2">
        <v>7</v>
      </c>
      <c r="BC137" s="2">
        <v>6</v>
      </c>
      <c r="BD137" s="2">
        <v>5</v>
      </c>
      <c r="BE137" s="2">
        <v>4</v>
      </c>
      <c r="BF137" s="2">
        <v>3</v>
      </c>
      <c r="BG137" s="2">
        <v>2</v>
      </c>
      <c r="BH137" s="2">
        <v>1</v>
      </c>
      <c r="BI137" s="2">
        <v>2</v>
      </c>
      <c r="BJ137" s="2">
        <v>3</v>
      </c>
      <c r="BK137" s="2">
        <v>4</v>
      </c>
      <c r="BL137" s="2">
        <v>5</v>
      </c>
      <c r="BM137" s="2">
        <v>6</v>
      </c>
      <c r="BN137" s="2">
        <v>7</v>
      </c>
      <c r="BO137" s="2">
        <v>8</v>
      </c>
      <c r="BP137" s="2">
        <v>9</v>
      </c>
      <c r="BQ137" s="79" t="s">
        <v>3</v>
      </c>
      <c r="BR137" s="79"/>
      <c r="BS137" s="79"/>
    </row>
    <row r="138" spans="2:71" x14ac:dyDescent="0.35">
      <c r="B138" s="80" t="s">
        <v>20</v>
      </c>
      <c r="C138" s="80"/>
      <c r="D138" s="8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2"/>
      <c r="S138" s="2"/>
      <c r="T138" s="2"/>
      <c r="U138" s="2"/>
      <c r="V138" s="80" t="s">
        <v>21</v>
      </c>
      <c r="W138" s="80"/>
      <c r="X138" s="80"/>
      <c r="AW138" s="80" t="s">
        <v>20</v>
      </c>
      <c r="AX138" s="80"/>
      <c r="AY138" s="80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3"/>
      <c r="BL138" s="2"/>
      <c r="BM138" s="2"/>
      <c r="BN138" s="2"/>
      <c r="BO138" s="2"/>
      <c r="BP138" s="2"/>
      <c r="BQ138" s="80" t="s">
        <v>21</v>
      </c>
      <c r="BR138" s="80"/>
      <c r="BS138" s="80"/>
    </row>
    <row r="139" spans="2:71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80" t="s">
        <v>22</v>
      </c>
      <c r="W139" s="80"/>
      <c r="X139" s="80"/>
      <c r="AW139" s="80" t="s">
        <v>20</v>
      </c>
      <c r="AX139" s="80"/>
      <c r="AY139" s="80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3"/>
      <c r="BK139" s="2"/>
      <c r="BL139" s="2"/>
      <c r="BM139" s="2"/>
      <c r="BN139" s="2"/>
      <c r="BO139" s="2"/>
      <c r="BP139" s="2"/>
      <c r="BQ139" s="80" t="s">
        <v>22</v>
      </c>
      <c r="BR139" s="80"/>
      <c r="BS139" s="80"/>
    </row>
    <row r="140" spans="2:71" x14ac:dyDescent="0.35">
      <c r="B140" s="80" t="s">
        <v>20</v>
      </c>
      <c r="C140" s="80"/>
      <c r="D140" s="80"/>
      <c r="E140" s="5"/>
      <c r="F140" s="2"/>
      <c r="G140" s="2"/>
      <c r="H140" s="2"/>
      <c r="I140" s="2"/>
      <c r="J140" s="2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0" t="s">
        <v>83</v>
      </c>
      <c r="W140" s="80"/>
      <c r="X140" s="80"/>
      <c r="AW140" s="80" t="s">
        <v>20</v>
      </c>
      <c r="AX140" s="80"/>
      <c r="AY140" s="80"/>
      <c r="AZ140" s="5"/>
      <c r="BA140" s="2"/>
      <c r="BB140" s="2"/>
      <c r="BC140" s="2"/>
      <c r="BD140" s="2"/>
      <c r="BE140" s="2"/>
      <c r="BF140" s="5"/>
      <c r="BG140" s="2"/>
      <c r="BH140" s="2"/>
      <c r="BI140" s="2"/>
      <c r="BJ140" s="2"/>
      <c r="BK140" s="2"/>
      <c r="BL140" s="3"/>
      <c r="BM140" s="2"/>
      <c r="BN140" s="2"/>
      <c r="BO140" s="2"/>
      <c r="BP140" s="2"/>
      <c r="BQ140" s="80" t="s">
        <v>83</v>
      </c>
      <c r="BR140" s="80"/>
      <c r="BS140" s="80"/>
    </row>
    <row r="142" spans="2:71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  <c r="AW142" s="79" t="s">
        <v>2</v>
      </c>
      <c r="AX142" s="79"/>
      <c r="AY142" s="79"/>
      <c r="AZ142" s="2">
        <v>9</v>
      </c>
      <c r="BA142" s="2">
        <v>8</v>
      </c>
      <c r="BB142" s="2">
        <v>7</v>
      </c>
      <c r="BC142" s="2">
        <v>6</v>
      </c>
      <c r="BD142" s="2">
        <v>5</v>
      </c>
      <c r="BE142" s="2">
        <v>4</v>
      </c>
      <c r="BF142" s="2">
        <v>3</v>
      </c>
      <c r="BG142" s="2">
        <v>2</v>
      </c>
      <c r="BH142" s="2">
        <v>1</v>
      </c>
      <c r="BI142" s="2">
        <v>2</v>
      </c>
      <c r="BJ142" s="2">
        <v>3</v>
      </c>
      <c r="BK142" s="2">
        <v>4</v>
      </c>
      <c r="BL142" s="2">
        <v>5</v>
      </c>
      <c r="BM142" s="2">
        <v>6</v>
      </c>
      <c r="BN142" s="2">
        <v>7</v>
      </c>
      <c r="BO142" s="2">
        <v>8</v>
      </c>
      <c r="BP142" s="2">
        <v>9</v>
      </c>
      <c r="BQ142" s="79" t="s">
        <v>3</v>
      </c>
      <c r="BR142" s="79"/>
      <c r="BS142" s="79"/>
    </row>
    <row r="143" spans="2:71" x14ac:dyDescent="0.35">
      <c r="B143" s="80" t="s">
        <v>21</v>
      </c>
      <c r="C143" s="80"/>
      <c r="D143" s="80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80" t="s">
        <v>22</v>
      </c>
      <c r="W143" s="80"/>
      <c r="X143" s="80"/>
      <c r="AW143" s="80" t="s">
        <v>21</v>
      </c>
      <c r="AX143" s="80"/>
      <c r="AY143" s="80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3"/>
      <c r="BQ143" s="80" t="s">
        <v>22</v>
      </c>
      <c r="BR143" s="80"/>
      <c r="BS143" s="80"/>
    </row>
    <row r="144" spans="2:71" x14ac:dyDescent="0.35">
      <c r="B144" s="80" t="s">
        <v>21</v>
      </c>
      <c r="C144" s="80"/>
      <c r="D144" s="80"/>
      <c r="E144" s="5"/>
      <c r="F144" s="2"/>
      <c r="G144" s="2"/>
      <c r="H144" s="2"/>
      <c r="I144" s="2"/>
      <c r="J144" s="2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80" t="s">
        <v>83</v>
      </c>
      <c r="W144" s="80"/>
      <c r="X144" s="80"/>
      <c r="AW144" s="80" t="s">
        <v>21</v>
      </c>
      <c r="AX144" s="80"/>
      <c r="AY144" s="80"/>
      <c r="AZ144" s="5"/>
      <c r="BA144" s="2"/>
      <c r="BB144" s="2"/>
      <c r="BC144" s="2"/>
      <c r="BD144" s="2"/>
      <c r="BE144" s="2"/>
      <c r="BF144" s="3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80" t="s">
        <v>83</v>
      </c>
      <c r="BR144" s="80"/>
      <c r="BS144" s="80"/>
    </row>
    <row r="146" spans="2:81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  <c r="AW146" s="79" t="s">
        <v>2</v>
      </c>
      <c r="AX146" s="79"/>
      <c r="AY146" s="79"/>
      <c r="AZ146" s="2">
        <v>9</v>
      </c>
      <c r="BA146" s="2">
        <v>8</v>
      </c>
      <c r="BB146" s="2">
        <v>7</v>
      </c>
      <c r="BC146" s="2">
        <v>6</v>
      </c>
      <c r="BD146" s="2">
        <v>5</v>
      </c>
      <c r="BE146" s="2">
        <v>4</v>
      </c>
      <c r="BF146" s="2">
        <v>3</v>
      </c>
      <c r="BG146" s="2">
        <v>2</v>
      </c>
      <c r="BH146" s="2">
        <v>1</v>
      </c>
      <c r="BI146" s="2">
        <v>2</v>
      </c>
      <c r="BJ146" s="2">
        <v>3</v>
      </c>
      <c r="BK146" s="2">
        <v>4</v>
      </c>
      <c r="BL146" s="2">
        <v>5</v>
      </c>
      <c r="BM146" s="2">
        <v>6</v>
      </c>
      <c r="BN146" s="2">
        <v>7</v>
      </c>
      <c r="BO146" s="2">
        <v>8</v>
      </c>
      <c r="BP146" s="2">
        <v>9</v>
      </c>
      <c r="BQ146" s="79" t="s">
        <v>3</v>
      </c>
      <c r="BR146" s="79"/>
      <c r="BS146" s="79"/>
    </row>
    <row r="147" spans="2:81" x14ac:dyDescent="0.35">
      <c r="B147" s="80" t="s">
        <v>22</v>
      </c>
      <c r="C147" s="80"/>
      <c r="D147" s="8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2"/>
      <c r="T147" s="2"/>
      <c r="U147" s="2"/>
      <c r="V147" s="80" t="s">
        <v>83</v>
      </c>
      <c r="W147" s="80"/>
      <c r="X147" s="80"/>
      <c r="AW147" s="80" t="s">
        <v>22</v>
      </c>
      <c r="AX147" s="80"/>
      <c r="AY147" s="80"/>
      <c r="AZ147" s="2"/>
      <c r="BA147" s="2"/>
      <c r="BB147" s="3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80" t="s">
        <v>83</v>
      </c>
      <c r="BR147" s="80"/>
      <c r="BS147" s="80"/>
    </row>
    <row r="148" spans="2:81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</row>
    <row r="149" spans="2:81" x14ac:dyDescent="0.35">
      <c r="B149" s="8" t="s">
        <v>23</v>
      </c>
      <c r="AW149" s="8" t="s">
        <v>23</v>
      </c>
    </row>
    <row r="151" spans="2:81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  <c r="AW151" s="79" t="s">
        <v>2</v>
      </c>
      <c r="AX151" s="79"/>
      <c r="AY151" s="79"/>
      <c r="AZ151" s="2">
        <v>9</v>
      </c>
      <c r="BA151" s="2">
        <v>8</v>
      </c>
      <c r="BB151" s="2">
        <v>7</v>
      </c>
      <c r="BC151" s="2">
        <v>6</v>
      </c>
      <c r="BD151" s="2">
        <v>5</v>
      </c>
      <c r="BE151" s="2">
        <v>4</v>
      </c>
      <c r="BF151" s="2">
        <v>3</v>
      </c>
      <c r="BG151" s="2">
        <v>2</v>
      </c>
      <c r="BH151" s="2">
        <v>1</v>
      </c>
      <c r="BI151" s="2">
        <v>2</v>
      </c>
      <c r="BJ151" s="2">
        <v>3</v>
      </c>
      <c r="BK151" s="2">
        <v>4</v>
      </c>
      <c r="BL151" s="2">
        <v>5</v>
      </c>
      <c r="BM151" s="2">
        <v>6</v>
      </c>
      <c r="BN151" s="2">
        <v>7</v>
      </c>
      <c r="BO151" s="2">
        <v>8</v>
      </c>
      <c r="BP151" s="2">
        <v>9</v>
      </c>
      <c r="BQ151" s="79" t="s">
        <v>3</v>
      </c>
      <c r="BR151" s="79"/>
      <c r="BS151" s="79"/>
      <c r="BV151" s="60"/>
      <c r="BW151" s="60"/>
      <c r="BX151" s="60" t="s">
        <v>92</v>
      </c>
      <c r="BY151" s="60"/>
      <c r="BZ151" s="60" t="s">
        <v>25</v>
      </c>
      <c r="CA151" s="60"/>
      <c r="CB151" s="60" t="s">
        <v>26</v>
      </c>
      <c r="CC151" s="60"/>
    </row>
    <row r="152" spans="2:81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5"/>
      <c r="P152" s="2"/>
      <c r="Q152" s="2"/>
      <c r="R152" s="2"/>
      <c r="S152" s="3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  <c r="AW152" s="80" t="s">
        <v>24</v>
      </c>
      <c r="AX152" s="80"/>
      <c r="AY152" s="80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3"/>
      <c r="BK152" s="2"/>
      <c r="BL152" s="2"/>
      <c r="BM152" s="2"/>
      <c r="BN152" s="2"/>
      <c r="BO152" s="2"/>
      <c r="BP152" s="2"/>
      <c r="BQ152" s="80" t="s">
        <v>25</v>
      </c>
      <c r="BR152" s="80"/>
      <c r="BS152" s="80"/>
      <c r="BV152" s="60"/>
      <c r="BW152" s="60"/>
      <c r="BX152" s="60"/>
      <c r="BY152" s="60"/>
      <c r="BZ152" s="60"/>
      <c r="CA152" s="60"/>
      <c r="CB152" s="60"/>
      <c r="CC152" s="60"/>
    </row>
    <row r="153" spans="2:81" x14ac:dyDescent="0.35">
      <c r="B153" s="80" t="s">
        <v>24</v>
      </c>
      <c r="C153" s="80"/>
      <c r="D153" s="80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5"/>
      <c r="P153" s="2"/>
      <c r="Q153" s="2"/>
      <c r="R153" s="2"/>
      <c r="S153" s="2"/>
      <c r="T153" s="2"/>
      <c r="U153" s="2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v>7</v>
      </c>
      <c r="AF153" s="60"/>
      <c r="AG153" s="63">
        <f>1/7</f>
        <v>0.14285714285714285</v>
      </c>
      <c r="AH153" s="64"/>
      <c r="AW153" s="80" t="s">
        <v>24</v>
      </c>
      <c r="AX153" s="80"/>
      <c r="AY153" s="80"/>
      <c r="AZ153" s="2"/>
      <c r="BA153" s="2"/>
      <c r="BB153" s="2"/>
      <c r="BC153" s="2"/>
      <c r="BD153" s="3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80" t="s">
        <v>26</v>
      </c>
      <c r="BR153" s="80"/>
      <c r="BS153" s="80"/>
      <c r="BV153" s="60" t="s">
        <v>92</v>
      </c>
      <c r="BW153" s="60"/>
      <c r="BX153" s="62">
        <v>1</v>
      </c>
      <c r="BY153" s="62"/>
      <c r="BZ153" s="60">
        <v>3</v>
      </c>
      <c r="CA153" s="60"/>
      <c r="CB153" s="63">
        <f>1/5</f>
        <v>0.2</v>
      </c>
      <c r="CC153" s="64"/>
    </row>
    <row r="154" spans="2:81" x14ac:dyDescent="0.35">
      <c r="AA154" s="60"/>
      <c r="AB154" s="60"/>
      <c r="AC154" s="62"/>
      <c r="AD154" s="62"/>
      <c r="AE154" s="60"/>
      <c r="AF154" s="60"/>
      <c r="AG154" s="65"/>
      <c r="AH154" s="66"/>
      <c r="BV154" s="60"/>
      <c r="BW154" s="60"/>
      <c r="BX154" s="62"/>
      <c r="BY154" s="62"/>
      <c r="BZ154" s="60"/>
      <c r="CA154" s="60"/>
      <c r="CB154" s="65"/>
      <c r="CC154" s="66"/>
    </row>
    <row r="155" spans="2:81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f>1/7</f>
        <v>0.14285714285714285</v>
      </c>
      <c r="AD155" s="60"/>
      <c r="AE155" s="62">
        <v>1</v>
      </c>
      <c r="AF155" s="62"/>
      <c r="AG155" s="60">
        <v>9</v>
      </c>
      <c r="AH155" s="60"/>
      <c r="AW155" s="79" t="s">
        <v>2</v>
      </c>
      <c r="AX155" s="79"/>
      <c r="AY155" s="79"/>
      <c r="AZ155" s="2">
        <v>9</v>
      </c>
      <c r="BA155" s="2">
        <v>8</v>
      </c>
      <c r="BB155" s="2">
        <v>7</v>
      </c>
      <c r="BC155" s="2">
        <v>6</v>
      </c>
      <c r="BD155" s="2">
        <v>5</v>
      </c>
      <c r="BE155" s="2">
        <v>4</v>
      </c>
      <c r="BF155" s="2">
        <v>3</v>
      </c>
      <c r="BG155" s="2">
        <v>2</v>
      </c>
      <c r="BH155" s="2">
        <v>1</v>
      </c>
      <c r="BI155" s="2">
        <v>2</v>
      </c>
      <c r="BJ155" s="2">
        <v>3</v>
      </c>
      <c r="BK155" s="2">
        <v>4</v>
      </c>
      <c r="BL155" s="2">
        <v>5</v>
      </c>
      <c r="BM155" s="2">
        <v>6</v>
      </c>
      <c r="BN155" s="2">
        <v>7</v>
      </c>
      <c r="BO155" s="2">
        <v>8</v>
      </c>
      <c r="BP155" s="2">
        <v>9</v>
      </c>
      <c r="BQ155" s="79" t="s">
        <v>3</v>
      </c>
      <c r="BR155" s="79"/>
      <c r="BS155" s="79"/>
      <c r="BV155" s="60" t="s">
        <v>25</v>
      </c>
      <c r="BW155" s="60"/>
      <c r="BX155" s="60">
        <f>1/3</f>
        <v>0.33333333333333331</v>
      </c>
      <c r="BY155" s="60"/>
      <c r="BZ155" s="62">
        <v>1</v>
      </c>
      <c r="CA155" s="62"/>
      <c r="CB155" s="60">
        <v>5</v>
      </c>
      <c r="CC155" s="60"/>
    </row>
    <row r="156" spans="2:81" x14ac:dyDescent="0.35">
      <c r="B156" s="80" t="s">
        <v>25</v>
      </c>
      <c r="C156" s="80"/>
      <c r="D156" s="80"/>
      <c r="E156" s="5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3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  <c r="AW156" s="80" t="s">
        <v>25</v>
      </c>
      <c r="AX156" s="80"/>
      <c r="AY156" s="80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3"/>
      <c r="BM156" s="2"/>
      <c r="BN156" s="2"/>
      <c r="BO156" s="2"/>
      <c r="BP156" s="2"/>
      <c r="BQ156" s="80" t="s">
        <v>26</v>
      </c>
      <c r="BR156" s="80"/>
      <c r="BS156" s="80"/>
      <c r="BV156" s="60"/>
      <c r="BW156" s="60"/>
      <c r="BX156" s="60"/>
      <c r="BY156" s="60"/>
      <c r="BZ156" s="62"/>
      <c r="CA156" s="62"/>
      <c r="CB156" s="60"/>
      <c r="CC156" s="60"/>
    </row>
    <row r="157" spans="2:81" x14ac:dyDescent="0.35">
      <c r="AA157" s="60" t="s">
        <v>26</v>
      </c>
      <c r="AB157" s="60"/>
      <c r="AC157" s="60">
        <v>7</v>
      </c>
      <c r="AD157" s="60"/>
      <c r="AE157" s="60">
        <f>1/9</f>
        <v>0.1111111111111111</v>
      </c>
      <c r="AF157" s="60"/>
      <c r="AG157" s="62">
        <v>1</v>
      </c>
      <c r="AH157" s="62"/>
      <c r="BV157" s="60" t="s">
        <v>26</v>
      </c>
      <c r="BW157" s="60"/>
      <c r="BX157" s="60">
        <v>5</v>
      </c>
      <c r="BY157" s="60"/>
      <c r="BZ157" s="60">
        <f>1/5</f>
        <v>0.2</v>
      </c>
      <c r="CA157" s="60"/>
      <c r="CB157" s="62">
        <v>1</v>
      </c>
      <c r="CC157" s="62"/>
    </row>
    <row r="158" spans="2:81" x14ac:dyDescent="0.35">
      <c r="AA158" s="60"/>
      <c r="AB158" s="60"/>
      <c r="AC158" s="60"/>
      <c r="AD158" s="60"/>
      <c r="AE158" s="60"/>
      <c r="AF158" s="60"/>
      <c r="AG158" s="62"/>
      <c r="AH158" s="62"/>
      <c r="BV158" s="60"/>
      <c r="BW158" s="60"/>
      <c r="BX158" s="60"/>
      <c r="BY158" s="60"/>
      <c r="BZ158" s="60"/>
      <c r="CA158" s="60"/>
      <c r="CB158" s="62"/>
      <c r="CC158" s="62"/>
    </row>
  </sheetData>
  <mergeCells count="1042">
    <mergeCell ref="AQ115:AR116"/>
    <mergeCell ref="AQ117:AR118"/>
    <mergeCell ref="AA119:AB120"/>
    <mergeCell ref="AC119:AD120"/>
    <mergeCell ref="AE119:AF120"/>
    <mergeCell ref="AG119:AH120"/>
    <mergeCell ref="AI119:AJ120"/>
    <mergeCell ref="AK119:AL120"/>
    <mergeCell ref="AM119:AN120"/>
    <mergeCell ref="AO119:AP120"/>
    <mergeCell ref="AQ119:AR120"/>
    <mergeCell ref="AA157:AB158"/>
    <mergeCell ref="AC157:AD158"/>
    <mergeCell ref="AE157:AF158"/>
    <mergeCell ref="AG157:AH158"/>
    <mergeCell ref="AQ121:AR122"/>
    <mergeCell ref="AA123:AB124"/>
    <mergeCell ref="AC123:AD124"/>
    <mergeCell ref="AE123:AF124"/>
    <mergeCell ref="AG123:AH124"/>
    <mergeCell ref="AI123:AJ124"/>
    <mergeCell ref="AK123:AL124"/>
    <mergeCell ref="AM123:AN124"/>
    <mergeCell ref="AO123:AP124"/>
    <mergeCell ref="AQ123:AR124"/>
    <mergeCell ref="AA155:AB156"/>
    <mergeCell ref="AC155:AD156"/>
    <mergeCell ref="AE155:AF156"/>
    <mergeCell ref="AG155:AH156"/>
    <mergeCell ref="AA103:AB104"/>
    <mergeCell ref="AC103:AD104"/>
    <mergeCell ref="AE103:AF104"/>
    <mergeCell ref="AG103:AH104"/>
    <mergeCell ref="AA107:AB108"/>
    <mergeCell ref="AC107:AD108"/>
    <mergeCell ref="AE107:AF108"/>
    <mergeCell ref="AG107:AH108"/>
    <mergeCell ref="AI107:AJ108"/>
    <mergeCell ref="AI109:AJ110"/>
    <mergeCell ref="AK109:AL110"/>
    <mergeCell ref="AM109:AN110"/>
    <mergeCell ref="AO109:AP110"/>
    <mergeCell ref="AQ109:AR110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Q111:AR112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5:AB76"/>
    <mergeCell ref="AC75:AD76"/>
    <mergeCell ref="AE75:AF76"/>
    <mergeCell ref="AG75:AH76"/>
    <mergeCell ref="AI75:AJ76"/>
    <mergeCell ref="AK75:AL76"/>
    <mergeCell ref="AM75:AN76"/>
    <mergeCell ref="AO75:AP76"/>
    <mergeCell ref="E2:U2"/>
    <mergeCell ref="AZ2:BP2"/>
    <mergeCell ref="B4:C4"/>
    <mergeCell ref="AW4:AX4"/>
    <mergeCell ref="B6:D6"/>
    <mergeCell ref="V6:X6"/>
    <mergeCell ref="AA6:AB7"/>
    <mergeCell ref="AC6:AD7"/>
    <mergeCell ref="AE6:AF7"/>
    <mergeCell ref="AG6:AH7"/>
    <mergeCell ref="B7:D7"/>
    <mergeCell ref="V7:X7"/>
    <mergeCell ref="AO6:AP7"/>
    <mergeCell ref="AQ6:AR7"/>
    <mergeCell ref="AS6:AT7"/>
    <mergeCell ref="AI6:AJ7"/>
    <mergeCell ref="AK6:AL7"/>
    <mergeCell ref="AM6:AN7"/>
    <mergeCell ref="CD6:CE7"/>
    <mergeCell ref="CF6:CG7"/>
    <mergeCell ref="CH6:CI7"/>
    <mergeCell ref="CJ6:CK7"/>
    <mergeCell ref="AI8:AJ9"/>
    <mergeCell ref="AK8:AL9"/>
    <mergeCell ref="AM8:AN9"/>
    <mergeCell ref="CL6:CM7"/>
    <mergeCell ref="CN6:CO7"/>
    <mergeCell ref="AW6:AY6"/>
    <mergeCell ref="BQ6:BS6"/>
    <mergeCell ref="BV6:BW7"/>
    <mergeCell ref="BX6:BY7"/>
    <mergeCell ref="BZ6:CA7"/>
    <mergeCell ref="CB6:CC7"/>
    <mergeCell ref="AW7:AY7"/>
    <mergeCell ref="BQ7:BS7"/>
    <mergeCell ref="CD8:CE9"/>
    <mergeCell ref="CF8:CG9"/>
    <mergeCell ref="CH8:CI9"/>
    <mergeCell ref="CJ8:CK9"/>
    <mergeCell ref="AW8:AY8"/>
    <mergeCell ref="BQ8:BS8"/>
    <mergeCell ref="BV8:BW9"/>
    <mergeCell ref="AW9:AY9"/>
    <mergeCell ref="BQ9:BS9"/>
    <mergeCell ref="CH10:CI11"/>
    <mergeCell ref="CJ10:CK11"/>
    <mergeCell ref="CL10:CM11"/>
    <mergeCell ref="CN10:CO11"/>
    <mergeCell ref="AW10:AY10"/>
    <mergeCell ref="BQ10:BS10"/>
    <mergeCell ref="BV10:BW11"/>
    <mergeCell ref="BX10:BY11"/>
    <mergeCell ref="BZ10:CA11"/>
    <mergeCell ref="CB10:CC11"/>
    <mergeCell ref="AW11:AY11"/>
    <mergeCell ref="BQ11:BS11"/>
    <mergeCell ref="CD10:CE11"/>
    <mergeCell ref="B8:D8"/>
    <mergeCell ref="V8:X8"/>
    <mergeCell ref="AA8:AB9"/>
    <mergeCell ref="AC8:AD9"/>
    <mergeCell ref="AE8:AF9"/>
    <mergeCell ref="AG8:AH9"/>
    <mergeCell ref="AO8:AP9"/>
    <mergeCell ref="AQ8:AR9"/>
    <mergeCell ref="AS8:AT9"/>
    <mergeCell ref="B9:D9"/>
    <mergeCell ref="V9:X9"/>
    <mergeCell ref="B13:D13"/>
    <mergeCell ref="V13:X13"/>
    <mergeCell ref="AO10:AP11"/>
    <mergeCell ref="B11:D11"/>
    <mergeCell ref="V11:X11"/>
    <mergeCell ref="AQ10:AR11"/>
    <mergeCell ref="AS10:AT11"/>
    <mergeCell ref="CL8:CM9"/>
    <mergeCell ref="CN8:CO9"/>
    <mergeCell ref="B12:D12"/>
    <mergeCell ref="V12:X12"/>
    <mergeCell ref="AA12:AB13"/>
    <mergeCell ref="AC12:AD13"/>
    <mergeCell ref="AE12:AF13"/>
    <mergeCell ref="AG12:AH13"/>
    <mergeCell ref="AI10:AJ11"/>
    <mergeCell ref="AK10:AL11"/>
    <mergeCell ref="AM10:AN11"/>
    <mergeCell ref="B10:D10"/>
    <mergeCell ref="V10:X10"/>
    <mergeCell ref="AA10:AB11"/>
    <mergeCell ref="AC10:AD11"/>
    <mergeCell ref="AE10:AF11"/>
    <mergeCell ref="AG10:AH11"/>
    <mergeCell ref="CH12:CI13"/>
    <mergeCell ref="CJ12:CK13"/>
    <mergeCell ref="CL12:CM13"/>
    <mergeCell ref="CN12:CO13"/>
    <mergeCell ref="CF10:CG11"/>
    <mergeCell ref="BX8:BY9"/>
    <mergeCell ref="BZ8:CA9"/>
    <mergeCell ref="CB8:CC9"/>
    <mergeCell ref="CD12:CE13"/>
    <mergeCell ref="CF12:CG13"/>
    <mergeCell ref="AI12:AJ13"/>
    <mergeCell ref="AK12:AL13"/>
    <mergeCell ref="AM12:AN13"/>
    <mergeCell ref="AO12:AP13"/>
    <mergeCell ref="AQ12:AR13"/>
    <mergeCell ref="AS12:AT13"/>
    <mergeCell ref="AI14:AJ15"/>
    <mergeCell ref="AK14:AL15"/>
    <mergeCell ref="AM14:AN15"/>
    <mergeCell ref="AO14:AP15"/>
    <mergeCell ref="AQ14:AR15"/>
    <mergeCell ref="AS14:AT15"/>
    <mergeCell ref="AW13:AY13"/>
    <mergeCell ref="CD14:CE15"/>
    <mergeCell ref="CF14:CG15"/>
    <mergeCell ref="AW12:AY12"/>
    <mergeCell ref="BQ12:BS12"/>
    <mergeCell ref="BV12:BW13"/>
    <mergeCell ref="BX12:BY13"/>
    <mergeCell ref="BZ12:CA13"/>
    <mergeCell ref="CB12:CC13"/>
    <mergeCell ref="BQ13:BS13"/>
    <mergeCell ref="CH14:CI15"/>
    <mergeCell ref="CJ14:CK15"/>
    <mergeCell ref="CL14:CM15"/>
    <mergeCell ref="CN14:CO15"/>
    <mergeCell ref="AW14:AY14"/>
    <mergeCell ref="BQ14:BS14"/>
    <mergeCell ref="BV14:BW15"/>
    <mergeCell ref="BX14:BY15"/>
    <mergeCell ref="BZ14:CA15"/>
    <mergeCell ref="CB14:CC15"/>
    <mergeCell ref="B14:D14"/>
    <mergeCell ref="V14:X14"/>
    <mergeCell ref="AA14:AB15"/>
    <mergeCell ref="AC14:AD15"/>
    <mergeCell ref="AE14:AF15"/>
    <mergeCell ref="AG14:AH15"/>
    <mergeCell ref="CD16:CE17"/>
    <mergeCell ref="CF16:CG17"/>
    <mergeCell ref="CH16:CI17"/>
    <mergeCell ref="CJ16:CK17"/>
    <mergeCell ref="CL16:CM17"/>
    <mergeCell ref="CN16:CO17"/>
    <mergeCell ref="AW16:AY16"/>
    <mergeCell ref="BQ16:BS16"/>
    <mergeCell ref="BV16:BW17"/>
    <mergeCell ref="BX16:BY17"/>
    <mergeCell ref="BZ16:CA17"/>
    <mergeCell ref="CB16:CC17"/>
    <mergeCell ref="AW17:AY17"/>
    <mergeCell ref="BQ17:BS17"/>
    <mergeCell ref="AI16:AJ17"/>
    <mergeCell ref="AK16:AL17"/>
    <mergeCell ref="AM16:AN17"/>
    <mergeCell ref="AO16:AP17"/>
    <mergeCell ref="AQ16:AR17"/>
    <mergeCell ref="AS16:AT17"/>
    <mergeCell ref="AE20:AF21"/>
    <mergeCell ref="AG20:AH21"/>
    <mergeCell ref="B21:D21"/>
    <mergeCell ref="V21:X21"/>
    <mergeCell ref="CD18:CE19"/>
    <mergeCell ref="B18:D18"/>
    <mergeCell ref="V18:X18"/>
    <mergeCell ref="AA18:AB19"/>
    <mergeCell ref="AC18:AD19"/>
    <mergeCell ref="AE18:AF19"/>
    <mergeCell ref="AG18:AH19"/>
    <mergeCell ref="B19:D19"/>
    <mergeCell ref="V19:X19"/>
    <mergeCell ref="B16:D16"/>
    <mergeCell ref="V16:X16"/>
    <mergeCell ref="AA16:AB17"/>
    <mergeCell ref="AC16:AD17"/>
    <mergeCell ref="AE16:AF17"/>
    <mergeCell ref="AG16:AH17"/>
    <mergeCell ref="B17:D17"/>
    <mergeCell ref="V17:X17"/>
    <mergeCell ref="CF18:CG19"/>
    <mergeCell ref="CH18:CI19"/>
    <mergeCell ref="CJ18:CK19"/>
    <mergeCell ref="CL18:CM19"/>
    <mergeCell ref="CN18:CO19"/>
    <mergeCell ref="AW18:AY18"/>
    <mergeCell ref="BQ18:BS18"/>
    <mergeCell ref="BV18:BW19"/>
    <mergeCell ref="BX18:BY19"/>
    <mergeCell ref="BZ18:CA19"/>
    <mergeCell ref="CB18:CC19"/>
    <mergeCell ref="AW19:AY19"/>
    <mergeCell ref="BQ19:BS19"/>
    <mergeCell ref="AI18:AJ19"/>
    <mergeCell ref="AK18:AL19"/>
    <mergeCell ref="AM18:AN19"/>
    <mergeCell ref="AO18:AP19"/>
    <mergeCell ref="AQ18:AR19"/>
    <mergeCell ref="AS18:AT19"/>
    <mergeCell ref="B22:D22"/>
    <mergeCell ref="V22:X22"/>
    <mergeCell ref="AA22:AB23"/>
    <mergeCell ref="AC22:AD23"/>
    <mergeCell ref="AE22:AF23"/>
    <mergeCell ref="AG22:AH23"/>
    <mergeCell ref="B23:D23"/>
    <mergeCell ref="V23:X23"/>
    <mergeCell ref="CD20:CE21"/>
    <mergeCell ref="CF20:CG21"/>
    <mergeCell ref="CH20:CI21"/>
    <mergeCell ref="CJ20:CK21"/>
    <mergeCell ref="CL20:CM21"/>
    <mergeCell ref="CN20:CO21"/>
    <mergeCell ref="AW20:AY20"/>
    <mergeCell ref="BQ20:BS20"/>
    <mergeCell ref="BV20:BW21"/>
    <mergeCell ref="BX20:BY21"/>
    <mergeCell ref="BZ20:CA21"/>
    <mergeCell ref="CB20:CC21"/>
    <mergeCell ref="AW21:AY21"/>
    <mergeCell ref="BQ21:BS21"/>
    <mergeCell ref="AI20:AJ21"/>
    <mergeCell ref="AK20:AL21"/>
    <mergeCell ref="AM20:AN21"/>
    <mergeCell ref="AO20:AP21"/>
    <mergeCell ref="AQ20:AR21"/>
    <mergeCell ref="AS20:AT21"/>
    <mergeCell ref="B20:D20"/>
    <mergeCell ref="V20:X20"/>
    <mergeCell ref="AA20:AB21"/>
    <mergeCell ref="AC20:AD21"/>
    <mergeCell ref="CD22:CE23"/>
    <mergeCell ref="CF22:CG23"/>
    <mergeCell ref="CH22:CI23"/>
    <mergeCell ref="CJ22:CK23"/>
    <mergeCell ref="CL22:CM23"/>
    <mergeCell ref="CN22:CO23"/>
    <mergeCell ref="AW22:AY22"/>
    <mergeCell ref="BQ22:BS22"/>
    <mergeCell ref="BV22:BW23"/>
    <mergeCell ref="BX22:BY23"/>
    <mergeCell ref="BZ22:CA23"/>
    <mergeCell ref="CB22:CC23"/>
    <mergeCell ref="AW23:AY23"/>
    <mergeCell ref="BQ23:BS23"/>
    <mergeCell ref="AI22:AJ23"/>
    <mergeCell ref="AK22:AL23"/>
    <mergeCell ref="AM22:AN23"/>
    <mergeCell ref="AO22:AP23"/>
    <mergeCell ref="AQ22:AR23"/>
    <mergeCell ref="AS22:AT23"/>
    <mergeCell ref="CL24:CM25"/>
    <mergeCell ref="CN24:CO25"/>
    <mergeCell ref="B25:D25"/>
    <mergeCell ref="V25:X25"/>
    <mergeCell ref="AW25:AY25"/>
    <mergeCell ref="BQ25:BS25"/>
    <mergeCell ref="BZ24:CA25"/>
    <mergeCell ref="CB24:CC25"/>
    <mergeCell ref="CD24:CE25"/>
    <mergeCell ref="CF24:CG25"/>
    <mergeCell ref="CH24:CI25"/>
    <mergeCell ref="CJ24:CK25"/>
    <mergeCell ref="AM24:AN25"/>
    <mergeCell ref="AO24:AP25"/>
    <mergeCell ref="AQ24:AR25"/>
    <mergeCell ref="AS24:AT25"/>
    <mergeCell ref="BV24:BW25"/>
    <mergeCell ref="BX24:BY25"/>
    <mergeCell ref="AA24:AB25"/>
    <mergeCell ref="AC24:AD25"/>
    <mergeCell ref="AE24:AF25"/>
    <mergeCell ref="AG24:AH25"/>
    <mergeCell ref="AI24:AJ25"/>
    <mergeCell ref="AK24:AL25"/>
    <mergeCell ref="B30:D30"/>
    <mergeCell ref="V30:X30"/>
    <mergeCell ref="AW30:AY30"/>
    <mergeCell ref="BQ30:BS30"/>
    <mergeCell ref="B31:D31"/>
    <mergeCell ref="V31:X31"/>
    <mergeCell ref="AW31:AY31"/>
    <mergeCell ref="BQ31:BS31"/>
    <mergeCell ref="B28:D28"/>
    <mergeCell ref="V28:X28"/>
    <mergeCell ref="AW28:AY28"/>
    <mergeCell ref="BQ28:BS28"/>
    <mergeCell ref="B29:D29"/>
    <mergeCell ref="V29:X29"/>
    <mergeCell ref="AW29:AY29"/>
    <mergeCell ref="BQ29:BS29"/>
    <mergeCell ref="B26:D26"/>
    <mergeCell ref="V26:X26"/>
    <mergeCell ref="AW26:AY26"/>
    <mergeCell ref="BQ26:BS26"/>
    <mergeCell ref="B27:D27"/>
    <mergeCell ref="V27:X27"/>
    <mergeCell ref="AW27:AY27"/>
    <mergeCell ref="BQ27:BS27"/>
    <mergeCell ref="B37:D37"/>
    <mergeCell ref="V37:X37"/>
    <mergeCell ref="AW37:AY37"/>
    <mergeCell ref="BQ37:BS37"/>
    <mergeCell ref="B38:D38"/>
    <mergeCell ref="V38:X38"/>
    <mergeCell ref="AW38:AY38"/>
    <mergeCell ref="BQ38:BS38"/>
    <mergeCell ref="B35:D35"/>
    <mergeCell ref="V35:X35"/>
    <mergeCell ref="AW35:AY35"/>
    <mergeCell ref="BQ35:BS35"/>
    <mergeCell ref="B36:D36"/>
    <mergeCell ref="V36:X36"/>
    <mergeCell ref="AW36:AY36"/>
    <mergeCell ref="BQ36:BS36"/>
    <mergeCell ref="B33:D33"/>
    <mergeCell ref="V33:X33"/>
    <mergeCell ref="AW33:AY33"/>
    <mergeCell ref="BQ33:BS33"/>
    <mergeCell ref="B34:D34"/>
    <mergeCell ref="V34:X34"/>
    <mergeCell ref="AW34:AY34"/>
    <mergeCell ref="BQ34:BS34"/>
    <mergeCell ref="B44:D44"/>
    <mergeCell ref="V44:X44"/>
    <mergeCell ref="AW44:AY44"/>
    <mergeCell ref="BQ44:BS44"/>
    <mergeCell ref="B46:D46"/>
    <mergeCell ref="V46:X46"/>
    <mergeCell ref="AW46:AY46"/>
    <mergeCell ref="BQ46:BS46"/>
    <mergeCell ref="B42:D42"/>
    <mergeCell ref="V42:X42"/>
    <mergeCell ref="AW42:AY42"/>
    <mergeCell ref="BQ42:BS42"/>
    <mergeCell ref="B43:D43"/>
    <mergeCell ref="V43:X43"/>
    <mergeCell ref="AW43:AY43"/>
    <mergeCell ref="BQ43:BS43"/>
    <mergeCell ref="B40:D40"/>
    <mergeCell ref="V40:X40"/>
    <mergeCell ref="AW40:AY40"/>
    <mergeCell ref="BQ40:BS40"/>
    <mergeCell ref="B41:D41"/>
    <mergeCell ref="V41:X41"/>
    <mergeCell ref="AW41:AY41"/>
    <mergeCell ref="BQ41:BS41"/>
    <mergeCell ref="B52:D52"/>
    <mergeCell ref="V52:X52"/>
    <mergeCell ref="AW52:AY52"/>
    <mergeCell ref="BQ52:BS52"/>
    <mergeCell ref="B53:D53"/>
    <mergeCell ref="V53:X53"/>
    <mergeCell ref="AW53:AY53"/>
    <mergeCell ref="BQ53:BS53"/>
    <mergeCell ref="B49:D49"/>
    <mergeCell ref="V49:X49"/>
    <mergeCell ref="AW49:AY49"/>
    <mergeCell ref="BQ49:BS49"/>
    <mergeCell ref="B51:D51"/>
    <mergeCell ref="V51:X51"/>
    <mergeCell ref="AW51:AY51"/>
    <mergeCell ref="BQ51:BS51"/>
    <mergeCell ref="B47:D47"/>
    <mergeCell ref="V47:X47"/>
    <mergeCell ref="AW47:AY47"/>
    <mergeCell ref="BQ47:BS47"/>
    <mergeCell ref="B48:D48"/>
    <mergeCell ref="V48:X48"/>
    <mergeCell ref="AW48:AY48"/>
    <mergeCell ref="BQ48:BS48"/>
    <mergeCell ref="B59:C59"/>
    <mergeCell ref="AW59:AX59"/>
    <mergeCell ref="B61:D61"/>
    <mergeCell ref="V61:X61"/>
    <mergeCell ref="AW61:AY61"/>
    <mergeCell ref="BQ61:BS61"/>
    <mergeCell ref="B55:D55"/>
    <mergeCell ref="V55:X55"/>
    <mergeCell ref="AW55:AY55"/>
    <mergeCell ref="BQ55:BS55"/>
    <mergeCell ref="B56:D56"/>
    <mergeCell ref="V56:X56"/>
    <mergeCell ref="AW56:AY56"/>
    <mergeCell ref="BQ56:BS56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B64:D64"/>
    <mergeCell ref="V64:X64"/>
    <mergeCell ref="AW64:AY64"/>
    <mergeCell ref="BQ64:BS64"/>
    <mergeCell ref="B65:D65"/>
    <mergeCell ref="V65:X65"/>
    <mergeCell ref="AW65:AY65"/>
    <mergeCell ref="BQ65:BS65"/>
    <mergeCell ref="B62:D62"/>
    <mergeCell ref="V62:X62"/>
    <mergeCell ref="AW62:AY62"/>
    <mergeCell ref="BQ62:BS62"/>
    <mergeCell ref="B63:D63"/>
    <mergeCell ref="V63:X63"/>
    <mergeCell ref="AW63:AY63"/>
    <mergeCell ref="BQ63:BS63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B69:D69"/>
    <mergeCell ref="V69:X69"/>
    <mergeCell ref="AW69:AY69"/>
    <mergeCell ref="BQ69:BS69"/>
    <mergeCell ref="B70:D70"/>
    <mergeCell ref="V70:X70"/>
    <mergeCell ref="AW70:AY70"/>
    <mergeCell ref="BQ70:BS70"/>
    <mergeCell ref="B66:D66"/>
    <mergeCell ref="V66:X66"/>
    <mergeCell ref="AW66:AY66"/>
    <mergeCell ref="BQ66:BS66"/>
    <mergeCell ref="B67:D67"/>
    <mergeCell ref="V67:X67"/>
    <mergeCell ref="AW67:AY67"/>
    <mergeCell ref="BQ67:BS67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B73:D73"/>
    <mergeCell ref="V73:X73"/>
    <mergeCell ref="AW73:AY73"/>
    <mergeCell ref="BQ73:BS73"/>
    <mergeCell ref="B74:D74"/>
    <mergeCell ref="V74:X74"/>
    <mergeCell ref="AW74:AY74"/>
    <mergeCell ref="BQ74:BS74"/>
    <mergeCell ref="B71:D71"/>
    <mergeCell ref="V71:X71"/>
    <mergeCell ref="AW71:AY71"/>
    <mergeCell ref="BQ71:BS71"/>
    <mergeCell ref="B72:D72"/>
    <mergeCell ref="V72:X72"/>
    <mergeCell ref="AW72:AY72"/>
    <mergeCell ref="BQ72:BS72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B80:D80"/>
    <mergeCell ref="V80:X80"/>
    <mergeCell ref="AW80:AY80"/>
    <mergeCell ref="BQ80:BS80"/>
    <mergeCell ref="B82:D82"/>
    <mergeCell ref="V82:X82"/>
    <mergeCell ref="AW82:AY82"/>
    <mergeCell ref="BQ82:BS82"/>
    <mergeCell ref="B78:D78"/>
    <mergeCell ref="V78:X78"/>
    <mergeCell ref="AW78:AY78"/>
    <mergeCell ref="BQ78:BS78"/>
    <mergeCell ref="B79:D79"/>
    <mergeCell ref="V79:X79"/>
    <mergeCell ref="AW79:AY79"/>
    <mergeCell ref="BQ79:BS79"/>
    <mergeCell ref="B76:D76"/>
    <mergeCell ref="V76:X76"/>
    <mergeCell ref="AW76:AY76"/>
    <mergeCell ref="BQ76:BS76"/>
    <mergeCell ref="B77:D77"/>
    <mergeCell ref="V77:X77"/>
    <mergeCell ref="AW77:AY77"/>
    <mergeCell ref="BQ77:BS77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B88:D88"/>
    <mergeCell ref="V88:X88"/>
    <mergeCell ref="AW88:AY88"/>
    <mergeCell ref="BQ88:BS88"/>
    <mergeCell ref="B89:D89"/>
    <mergeCell ref="V89:X89"/>
    <mergeCell ref="AW89:AY89"/>
    <mergeCell ref="BQ89:BS89"/>
    <mergeCell ref="B85:D85"/>
    <mergeCell ref="V85:X85"/>
    <mergeCell ref="AW85:AY85"/>
    <mergeCell ref="BQ85:BS85"/>
    <mergeCell ref="B87:D87"/>
    <mergeCell ref="V87:X87"/>
    <mergeCell ref="AW87:AY87"/>
    <mergeCell ref="BQ87:BS87"/>
    <mergeCell ref="B83:D83"/>
    <mergeCell ref="V83:X83"/>
    <mergeCell ref="AW83:AY83"/>
    <mergeCell ref="BQ83:BS83"/>
    <mergeCell ref="B84:D84"/>
    <mergeCell ref="V84:X84"/>
    <mergeCell ref="AW84:AY84"/>
    <mergeCell ref="BQ84:BS84"/>
    <mergeCell ref="B95:D95"/>
    <mergeCell ref="AW95:AY95"/>
    <mergeCell ref="B97:D97"/>
    <mergeCell ref="V97:X97"/>
    <mergeCell ref="AW97:AY97"/>
    <mergeCell ref="BQ97:BS97"/>
    <mergeCell ref="B91:D91"/>
    <mergeCell ref="V91:X91"/>
    <mergeCell ref="AW91:AY91"/>
    <mergeCell ref="BQ91:BS91"/>
    <mergeCell ref="B92:D92"/>
    <mergeCell ref="V92:X92"/>
    <mergeCell ref="AW92:AY92"/>
    <mergeCell ref="BQ92:BS92"/>
    <mergeCell ref="AA97:AB98"/>
    <mergeCell ref="AC97:AD98"/>
    <mergeCell ref="AE97:AF98"/>
    <mergeCell ref="AG97:AH98"/>
    <mergeCell ref="B101:D101"/>
    <mergeCell ref="V101:X101"/>
    <mergeCell ref="AW101:AY101"/>
    <mergeCell ref="BQ101:BS101"/>
    <mergeCell ref="B102:D102"/>
    <mergeCell ref="V102:X102"/>
    <mergeCell ref="AW102:AY102"/>
    <mergeCell ref="BQ102:BS102"/>
    <mergeCell ref="B98:D98"/>
    <mergeCell ref="V98:X98"/>
    <mergeCell ref="AW98:AY98"/>
    <mergeCell ref="BQ98:BS98"/>
    <mergeCell ref="B99:D99"/>
    <mergeCell ref="V99:X99"/>
    <mergeCell ref="AW99:AY99"/>
    <mergeCell ref="BQ99:BS99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B109:D109"/>
    <mergeCell ref="V109:X109"/>
    <mergeCell ref="AW109:AY109"/>
    <mergeCell ref="BQ109:BS109"/>
    <mergeCell ref="B110:D110"/>
    <mergeCell ref="V110:X110"/>
    <mergeCell ref="AW110:AY110"/>
    <mergeCell ref="BQ110:BS110"/>
    <mergeCell ref="B107:D107"/>
    <mergeCell ref="V107:X107"/>
    <mergeCell ref="AW107:AY107"/>
    <mergeCell ref="BQ107:BS107"/>
    <mergeCell ref="B108:D108"/>
    <mergeCell ref="V108:X108"/>
    <mergeCell ref="AW108:AY108"/>
    <mergeCell ref="BQ108:BS108"/>
    <mergeCell ref="AK107:AL108"/>
    <mergeCell ref="AM107:AN108"/>
    <mergeCell ref="AO107:AP108"/>
    <mergeCell ref="AQ107:AR108"/>
    <mergeCell ref="AA109:AB110"/>
    <mergeCell ref="AC109:AD110"/>
    <mergeCell ref="AE109:AF110"/>
    <mergeCell ref="AG109:AH110"/>
    <mergeCell ref="B113:D113"/>
    <mergeCell ref="V113:X113"/>
    <mergeCell ref="AW113:AY113"/>
    <mergeCell ref="BQ113:BS113"/>
    <mergeCell ref="B114:D114"/>
    <mergeCell ref="V114:X114"/>
    <mergeCell ref="AW114:AY114"/>
    <mergeCell ref="BQ114:BS114"/>
    <mergeCell ref="B111:D111"/>
    <mergeCell ref="V111:X111"/>
    <mergeCell ref="AW111:AY111"/>
    <mergeCell ref="BQ111:BS111"/>
    <mergeCell ref="B112:D112"/>
    <mergeCell ref="V112:X112"/>
    <mergeCell ref="AW112:AY112"/>
    <mergeCell ref="BQ112:BS112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Q113:AR114"/>
    <mergeCell ref="B118:D118"/>
    <mergeCell ref="V118:X118"/>
    <mergeCell ref="AW118:AY118"/>
    <mergeCell ref="BQ118:BS118"/>
    <mergeCell ref="B119:D119"/>
    <mergeCell ref="V119:X119"/>
    <mergeCell ref="AW119:AY119"/>
    <mergeCell ref="BQ119:BS119"/>
    <mergeCell ref="B116:D116"/>
    <mergeCell ref="V116:X116"/>
    <mergeCell ref="AW116:AY116"/>
    <mergeCell ref="BQ116:BS116"/>
    <mergeCell ref="B117:D117"/>
    <mergeCell ref="V117:X117"/>
    <mergeCell ref="AW117:AY117"/>
    <mergeCell ref="BQ117:BS117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B122:D122"/>
    <mergeCell ref="V122:X122"/>
    <mergeCell ref="AW122:AY122"/>
    <mergeCell ref="BQ122:BS122"/>
    <mergeCell ref="B124:D124"/>
    <mergeCell ref="V124:X124"/>
    <mergeCell ref="AW124:AY124"/>
    <mergeCell ref="BQ124:BS124"/>
    <mergeCell ref="B120:D120"/>
    <mergeCell ref="V120:X120"/>
    <mergeCell ref="AW120:AY120"/>
    <mergeCell ref="BQ120:BS120"/>
    <mergeCell ref="B121:D121"/>
    <mergeCell ref="V121:X121"/>
    <mergeCell ref="AW121:AY121"/>
    <mergeCell ref="BQ121:BS121"/>
    <mergeCell ref="AA121:AB122"/>
    <mergeCell ref="AC121:AD122"/>
    <mergeCell ref="AE121:AF122"/>
    <mergeCell ref="AG121:AH122"/>
    <mergeCell ref="AI121:AJ122"/>
    <mergeCell ref="AK121:AL122"/>
    <mergeCell ref="AM121:AN122"/>
    <mergeCell ref="AO121:AP122"/>
    <mergeCell ref="B128:D128"/>
    <mergeCell ref="V128:X128"/>
    <mergeCell ref="AW128:AY128"/>
    <mergeCell ref="BQ128:BS128"/>
    <mergeCell ref="B129:D129"/>
    <mergeCell ref="V129:X129"/>
    <mergeCell ref="AW129:AY129"/>
    <mergeCell ref="BQ129:BS129"/>
    <mergeCell ref="B127:D127"/>
    <mergeCell ref="V127:X127"/>
    <mergeCell ref="AW127:AY127"/>
    <mergeCell ref="BQ127:BS127"/>
    <mergeCell ref="B125:D125"/>
    <mergeCell ref="V125:X125"/>
    <mergeCell ref="AW125:AY125"/>
    <mergeCell ref="BQ125:BS125"/>
    <mergeCell ref="B126:D126"/>
    <mergeCell ref="V126:X126"/>
    <mergeCell ref="AW126:AY126"/>
    <mergeCell ref="BQ126:BS126"/>
    <mergeCell ref="B135:D135"/>
    <mergeCell ref="V135:X135"/>
    <mergeCell ref="AW135:AY135"/>
    <mergeCell ref="BQ135:BS135"/>
    <mergeCell ref="B137:D137"/>
    <mergeCell ref="V137:X137"/>
    <mergeCell ref="AW137:AY137"/>
    <mergeCell ref="BQ137:BS137"/>
    <mergeCell ref="B133:D133"/>
    <mergeCell ref="V133:X133"/>
    <mergeCell ref="AW133:AY133"/>
    <mergeCell ref="BQ133:BS133"/>
    <mergeCell ref="B134:D134"/>
    <mergeCell ref="V134:X134"/>
    <mergeCell ref="AW134:AY134"/>
    <mergeCell ref="BQ134:BS134"/>
    <mergeCell ref="B131:D131"/>
    <mergeCell ref="V131:X131"/>
    <mergeCell ref="AW131:AY131"/>
    <mergeCell ref="BQ131:BS131"/>
    <mergeCell ref="B132:D132"/>
    <mergeCell ref="V132:X132"/>
    <mergeCell ref="AW132:AY132"/>
    <mergeCell ref="BQ132:BS132"/>
    <mergeCell ref="B143:D143"/>
    <mergeCell ref="V143:X143"/>
    <mergeCell ref="AW143:AY143"/>
    <mergeCell ref="BQ143:BS143"/>
    <mergeCell ref="B144:D144"/>
    <mergeCell ref="V144:X144"/>
    <mergeCell ref="AW144:AY144"/>
    <mergeCell ref="BQ144:BS144"/>
    <mergeCell ref="B140:D140"/>
    <mergeCell ref="V140:X140"/>
    <mergeCell ref="AW140:AY140"/>
    <mergeCell ref="BQ140:BS140"/>
    <mergeCell ref="B142:D142"/>
    <mergeCell ref="V142:X142"/>
    <mergeCell ref="AW142:AY142"/>
    <mergeCell ref="BQ142:BS142"/>
    <mergeCell ref="B138:D138"/>
    <mergeCell ref="V138:X138"/>
    <mergeCell ref="AW138:AY138"/>
    <mergeCell ref="BQ138:BS138"/>
    <mergeCell ref="B139:D139"/>
    <mergeCell ref="V139:X139"/>
    <mergeCell ref="AW139:AY139"/>
    <mergeCell ref="BQ139:BS139"/>
    <mergeCell ref="B151:D151"/>
    <mergeCell ref="V151:X151"/>
    <mergeCell ref="AW151:AY151"/>
    <mergeCell ref="BQ151:BS151"/>
    <mergeCell ref="B152:D152"/>
    <mergeCell ref="V152:X152"/>
    <mergeCell ref="AW152:AY152"/>
    <mergeCell ref="BQ152:BS152"/>
    <mergeCell ref="B146:D146"/>
    <mergeCell ref="V146:X146"/>
    <mergeCell ref="AW146:AY146"/>
    <mergeCell ref="BQ146:BS146"/>
    <mergeCell ref="B147:D147"/>
    <mergeCell ref="V147:X147"/>
    <mergeCell ref="AW147:AY147"/>
    <mergeCell ref="BQ147:BS147"/>
    <mergeCell ref="AA151:AB152"/>
    <mergeCell ref="AC151:AD152"/>
    <mergeCell ref="AE151:AF152"/>
    <mergeCell ref="AG151:AH152"/>
    <mergeCell ref="BV61:BW62"/>
    <mergeCell ref="BX61:BY62"/>
    <mergeCell ref="BZ61:CA62"/>
    <mergeCell ref="CB61:CC62"/>
    <mergeCell ref="CD61:CE62"/>
    <mergeCell ref="CF61:CG62"/>
    <mergeCell ref="CH61:CI62"/>
    <mergeCell ref="CJ61:CK62"/>
    <mergeCell ref="BV63:BW64"/>
    <mergeCell ref="BX63:BY64"/>
    <mergeCell ref="BZ63:CA64"/>
    <mergeCell ref="CB63:CC64"/>
    <mergeCell ref="CD63:CE64"/>
    <mergeCell ref="CF63:CG64"/>
    <mergeCell ref="CH63:CI64"/>
    <mergeCell ref="CJ63:CK64"/>
    <mergeCell ref="B156:D156"/>
    <mergeCell ref="V156:X156"/>
    <mergeCell ref="AW156:AY156"/>
    <mergeCell ref="BQ156:BS156"/>
    <mergeCell ref="B153:D153"/>
    <mergeCell ref="V153:X153"/>
    <mergeCell ref="AW153:AY153"/>
    <mergeCell ref="BQ153:BS153"/>
    <mergeCell ref="B155:D155"/>
    <mergeCell ref="V155:X155"/>
    <mergeCell ref="AW155:AY155"/>
    <mergeCell ref="BQ155:BS155"/>
    <mergeCell ref="AA153:AB154"/>
    <mergeCell ref="AC153:AD154"/>
    <mergeCell ref="AE153:AF154"/>
    <mergeCell ref="AG153:AH154"/>
    <mergeCell ref="BV69:BW70"/>
    <mergeCell ref="BX69:BY70"/>
    <mergeCell ref="BZ69:CA70"/>
    <mergeCell ref="CB69:CC70"/>
    <mergeCell ref="CD69:CE70"/>
    <mergeCell ref="CF69:CG70"/>
    <mergeCell ref="CH69:CI70"/>
    <mergeCell ref="CJ69:CK70"/>
    <mergeCell ref="BV71:BW72"/>
    <mergeCell ref="BX71:BY72"/>
    <mergeCell ref="BZ71:CA72"/>
    <mergeCell ref="CB71:CC72"/>
    <mergeCell ref="CD71:CE72"/>
    <mergeCell ref="CF71:CG72"/>
    <mergeCell ref="CH71:CI72"/>
    <mergeCell ref="CJ71:CK72"/>
    <mergeCell ref="BV65:BW66"/>
    <mergeCell ref="BX65:BY66"/>
    <mergeCell ref="BZ65:CA66"/>
    <mergeCell ref="CB65:CC66"/>
    <mergeCell ref="CD65:CE66"/>
    <mergeCell ref="CF65:CG66"/>
    <mergeCell ref="CH65:CI66"/>
    <mergeCell ref="CJ65:CK66"/>
    <mergeCell ref="BV67:BW68"/>
    <mergeCell ref="BX67:BY68"/>
    <mergeCell ref="BZ67:CA68"/>
    <mergeCell ref="CB67:CC68"/>
    <mergeCell ref="CD67:CE68"/>
    <mergeCell ref="CF67:CG68"/>
    <mergeCell ref="CH67:CI68"/>
    <mergeCell ref="CJ67:CK68"/>
    <mergeCell ref="CF77:CG78"/>
    <mergeCell ref="CH77:CI78"/>
    <mergeCell ref="CJ77:CK78"/>
    <mergeCell ref="BV97:BW98"/>
    <mergeCell ref="BX97:BY98"/>
    <mergeCell ref="BZ97:CA98"/>
    <mergeCell ref="CB97:CC98"/>
    <mergeCell ref="BV73:BW74"/>
    <mergeCell ref="BX73:BY74"/>
    <mergeCell ref="BZ73:CA74"/>
    <mergeCell ref="CB73:CC74"/>
    <mergeCell ref="CD73:CE74"/>
    <mergeCell ref="CF73:CG74"/>
    <mergeCell ref="CH73:CI74"/>
    <mergeCell ref="CJ73:CK74"/>
    <mergeCell ref="BV75:BW76"/>
    <mergeCell ref="BX75:BY76"/>
    <mergeCell ref="BZ75:CA76"/>
    <mergeCell ref="CB75:CC76"/>
    <mergeCell ref="CD75:CE76"/>
    <mergeCell ref="CF75:CG76"/>
    <mergeCell ref="CH75:CI76"/>
    <mergeCell ref="CJ75:CK76"/>
    <mergeCell ref="BV99:BW100"/>
    <mergeCell ref="BX99:BY100"/>
    <mergeCell ref="BZ99:CA100"/>
    <mergeCell ref="CB99:CC100"/>
    <mergeCell ref="BV101:BW102"/>
    <mergeCell ref="BX101:BY102"/>
    <mergeCell ref="BZ101:CA102"/>
    <mergeCell ref="CB101:CC102"/>
    <mergeCell ref="BV103:BW104"/>
    <mergeCell ref="BX103:BY104"/>
    <mergeCell ref="BZ103:CA104"/>
    <mergeCell ref="CB103:CC104"/>
    <mergeCell ref="BV77:BW78"/>
    <mergeCell ref="BX77:BY78"/>
    <mergeCell ref="BZ77:CA78"/>
    <mergeCell ref="CB77:CC78"/>
    <mergeCell ref="CD77:CE78"/>
    <mergeCell ref="BV109:BW110"/>
    <mergeCell ref="BX109:BY110"/>
    <mergeCell ref="BZ109:CA110"/>
    <mergeCell ref="CB109:CC110"/>
    <mergeCell ref="CD109:CE110"/>
    <mergeCell ref="CF109:CG110"/>
    <mergeCell ref="CH109:CI110"/>
    <mergeCell ref="CJ109:CK110"/>
    <mergeCell ref="CL109:CM110"/>
    <mergeCell ref="BV107:BW108"/>
    <mergeCell ref="BX107:BY108"/>
    <mergeCell ref="BZ107:CA108"/>
    <mergeCell ref="CB107:CC108"/>
    <mergeCell ref="CD107:CE108"/>
    <mergeCell ref="CF107:CG108"/>
    <mergeCell ref="CH107:CI108"/>
    <mergeCell ref="CJ107:CK108"/>
    <mergeCell ref="CL107:CM108"/>
    <mergeCell ref="BV113:BW114"/>
    <mergeCell ref="BX113:BY114"/>
    <mergeCell ref="BZ113:CA114"/>
    <mergeCell ref="CB113:CC114"/>
    <mergeCell ref="CD113:CE114"/>
    <mergeCell ref="CF113:CG114"/>
    <mergeCell ref="CH113:CI114"/>
    <mergeCell ref="CJ113:CK114"/>
    <mergeCell ref="CL113:CM114"/>
    <mergeCell ref="BV111:BW112"/>
    <mergeCell ref="BX111:BY112"/>
    <mergeCell ref="BZ111:CA112"/>
    <mergeCell ref="CB111:CC112"/>
    <mergeCell ref="CD111:CE112"/>
    <mergeCell ref="CF111:CG112"/>
    <mergeCell ref="CH111:CI112"/>
    <mergeCell ref="CJ111:CK112"/>
    <mergeCell ref="CL111:CM112"/>
    <mergeCell ref="BV117:BW118"/>
    <mergeCell ref="BX117:BY118"/>
    <mergeCell ref="BZ117:CA118"/>
    <mergeCell ref="CB117:CC118"/>
    <mergeCell ref="CD117:CE118"/>
    <mergeCell ref="CF117:CG118"/>
    <mergeCell ref="CH117:CI118"/>
    <mergeCell ref="CJ117:CK118"/>
    <mergeCell ref="CL117:CM118"/>
    <mergeCell ref="BV115:BW116"/>
    <mergeCell ref="BX115:BY116"/>
    <mergeCell ref="BZ115:CA116"/>
    <mergeCell ref="CB115:CC116"/>
    <mergeCell ref="CD115:CE116"/>
    <mergeCell ref="CF115:CG116"/>
    <mergeCell ref="CH115:CI116"/>
    <mergeCell ref="CJ115:CK116"/>
    <mergeCell ref="CL115:CM116"/>
    <mergeCell ref="CD123:CE124"/>
    <mergeCell ref="CF123:CG124"/>
    <mergeCell ref="CH123:CI124"/>
    <mergeCell ref="CJ123:CK124"/>
    <mergeCell ref="CL123:CM124"/>
    <mergeCell ref="BV121:BW122"/>
    <mergeCell ref="BX121:BY122"/>
    <mergeCell ref="BZ121:CA122"/>
    <mergeCell ref="CB121:CC122"/>
    <mergeCell ref="CD121:CE122"/>
    <mergeCell ref="CF121:CG122"/>
    <mergeCell ref="CH121:CI122"/>
    <mergeCell ref="CJ121:CK122"/>
    <mergeCell ref="CL121:CM122"/>
    <mergeCell ref="BV119:BW120"/>
    <mergeCell ref="BX119:BY120"/>
    <mergeCell ref="BZ119:CA120"/>
    <mergeCell ref="CB119:CC120"/>
    <mergeCell ref="CD119:CE120"/>
    <mergeCell ref="CF119:CG120"/>
    <mergeCell ref="CH119:CI120"/>
    <mergeCell ref="CJ119:CK120"/>
    <mergeCell ref="CL119:CM120"/>
    <mergeCell ref="BV157:BW158"/>
    <mergeCell ref="BX157:BY158"/>
    <mergeCell ref="BZ157:CA158"/>
    <mergeCell ref="CB157:CC158"/>
    <mergeCell ref="BV151:BW152"/>
    <mergeCell ref="BX151:BY152"/>
    <mergeCell ref="BZ151:CA152"/>
    <mergeCell ref="CB151:CC152"/>
    <mergeCell ref="BV153:BW154"/>
    <mergeCell ref="BX153:BY154"/>
    <mergeCell ref="BZ153:CA154"/>
    <mergeCell ref="CB153:CC154"/>
    <mergeCell ref="BV155:BW156"/>
    <mergeCell ref="BX155:BY156"/>
    <mergeCell ref="BZ155:CA156"/>
    <mergeCell ref="CB155:CC156"/>
    <mergeCell ref="BV123:BW124"/>
    <mergeCell ref="BX123:BY124"/>
    <mergeCell ref="BZ123:CA124"/>
    <mergeCell ref="CB123:CC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4677-9E13-48B1-8A32-E741C0FD3278}">
  <dimension ref="B2:AT158"/>
  <sheetViews>
    <sheetView topLeftCell="D104" zoomScale="63" workbookViewId="0">
      <selection activeCell="AQ107" sqref="AQ107:AR124"/>
    </sheetView>
  </sheetViews>
  <sheetFormatPr defaultRowHeight="14.5" x14ac:dyDescent="0.35"/>
  <cols>
    <col min="5" max="21" width="2.453125" customWidth="1"/>
  </cols>
  <sheetData>
    <row r="2" spans="2:46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</row>
    <row r="4" spans="2:46" x14ac:dyDescent="0.35">
      <c r="B4" s="85" t="s">
        <v>1</v>
      </c>
      <c r="C4" s="85"/>
    </row>
    <row r="6" spans="2:46" ht="15" customHeight="1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85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9</v>
      </c>
      <c r="AR6" s="60"/>
      <c r="AS6" s="60" t="s">
        <v>33</v>
      </c>
      <c r="AT6" s="60"/>
    </row>
    <row r="7" spans="2:46" x14ac:dyDescent="0.35">
      <c r="B7" s="80" t="s">
        <v>78</v>
      </c>
      <c r="C7" s="80"/>
      <c r="D7" s="80"/>
      <c r="E7" s="2"/>
      <c r="F7" s="2"/>
      <c r="G7" s="2"/>
      <c r="H7" s="2"/>
      <c r="I7" s="2"/>
      <c r="J7" s="2"/>
      <c r="K7" s="10"/>
      <c r="L7" s="2"/>
      <c r="M7" s="2"/>
      <c r="N7" s="2"/>
      <c r="O7" s="4"/>
      <c r="P7" s="2"/>
      <c r="Q7" s="2"/>
      <c r="R7" s="2"/>
      <c r="S7" s="2"/>
      <c r="T7" s="2"/>
      <c r="U7" s="2"/>
      <c r="V7" s="80" t="s">
        <v>85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</row>
    <row r="8" spans="2:46" ht="15" customHeight="1" x14ac:dyDescent="0.35">
      <c r="B8" s="80" t="s">
        <v>78</v>
      </c>
      <c r="C8" s="80"/>
      <c r="D8" s="8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  <c r="R8" s="2"/>
      <c r="S8" s="2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f>1/3</f>
        <v>0.33333333333333331</v>
      </c>
      <c r="AF8" s="60"/>
      <c r="AG8" s="63">
        <v>5</v>
      </c>
      <c r="AH8" s="64"/>
      <c r="AI8" s="60">
        <f>1/7</f>
        <v>0.14285714285714285</v>
      </c>
      <c r="AJ8" s="60"/>
      <c r="AK8" s="60">
        <f>1/9</f>
        <v>0.1111111111111111</v>
      </c>
      <c r="AL8" s="60"/>
      <c r="AM8" s="60">
        <v>3</v>
      </c>
      <c r="AN8" s="60"/>
      <c r="AO8" s="60">
        <v>5</v>
      </c>
      <c r="AP8" s="60"/>
      <c r="AQ8" s="60">
        <f>1/2</f>
        <v>0.5</v>
      </c>
      <c r="AR8" s="60"/>
      <c r="AS8" s="60">
        <f>1/5</f>
        <v>0.2</v>
      </c>
      <c r="AT8" s="60"/>
    </row>
    <row r="9" spans="2:46" x14ac:dyDescent="0.35">
      <c r="B9" s="80" t="s">
        <v>78</v>
      </c>
      <c r="C9" s="80"/>
      <c r="D9" s="80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</row>
    <row r="10" spans="2:46" ht="15" customHeight="1" x14ac:dyDescent="0.35">
      <c r="B10" s="80" t="s">
        <v>78</v>
      </c>
      <c r="C10" s="80"/>
      <c r="D10" s="80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0" t="s">
        <v>6</v>
      </c>
      <c r="W10" s="80"/>
      <c r="X10" s="80"/>
      <c r="AA10" s="60" t="s">
        <v>85</v>
      </c>
      <c r="AB10" s="60"/>
      <c r="AC10" s="60">
        <v>3</v>
      </c>
      <c r="AD10" s="60"/>
      <c r="AE10" s="62">
        <v>1</v>
      </c>
      <c r="AF10" s="62"/>
      <c r="AG10" s="60">
        <f>1/5</f>
        <v>0.2</v>
      </c>
      <c r="AH10" s="60"/>
      <c r="AI10" s="60">
        <f>1/3</f>
        <v>0.33333333333333331</v>
      </c>
      <c r="AJ10" s="60"/>
      <c r="AK10" s="60">
        <f>1/3</f>
        <v>0.33333333333333331</v>
      </c>
      <c r="AL10" s="60"/>
      <c r="AM10" s="60">
        <v>7</v>
      </c>
      <c r="AN10" s="60"/>
      <c r="AO10" s="60">
        <v>3</v>
      </c>
      <c r="AP10" s="60"/>
      <c r="AQ10" s="60">
        <v>5</v>
      </c>
      <c r="AR10" s="60"/>
      <c r="AS10" s="60">
        <v>3</v>
      </c>
      <c r="AT10" s="60"/>
    </row>
    <row r="11" spans="2:46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</row>
    <row r="12" spans="2:46" ht="15" customHeight="1" x14ac:dyDescent="0.35">
      <c r="B12" s="80" t="s">
        <v>78</v>
      </c>
      <c r="C12" s="80"/>
      <c r="D12" s="8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R12" s="2"/>
      <c r="S12" s="2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f>1/5</f>
        <v>0.2</v>
      </c>
      <c r="AD12" s="60"/>
      <c r="AE12" s="60">
        <v>5</v>
      </c>
      <c r="AF12" s="60"/>
      <c r="AG12" s="62">
        <v>1</v>
      </c>
      <c r="AH12" s="62"/>
      <c r="AI12" s="60">
        <v>7</v>
      </c>
      <c r="AJ12" s="60"/>
      <c r="AK12" s="60">
        <f>1/5</f>
        <v>0.2</v>
      </c>
      <c r="AL12" s="60"/>
      <c r="AM12" s="60">
        <v>3</v>
      </c>
      <c r="AN12" s="60"/>
      <c r="AO12" s="60">
        <v>5</v>
      </c>
      <c r="AP12" s="60"/>
      <c r="AQ12" s="60">
        <f>1/3</f>
        <v>0.33333333333333331</v>
      </c>
      <c r="AR12" s="60"/>
      <c r="AS12" s="60">
        <f>1/7</f>
        <v>0.14285714285714285</v>
      </c>
      <c r="AT12" s="60"/>
    </row>
    <row r="13" spans="2:46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2"/>
      <c r="K13" s="2"/>
      <c r="L13" s="3"/>
      <c r="M13" s="2"/>
      <c r="N13" s="2"/>
      <c r="O13" s="2"/>
      <c r="P13" s="2"/>
      <c r="Q13" s="2"/>
      <c r="R13" s="2"/>
      <c r="S13" s="2"/>
      <c r="T13" s="2"/>
      <c r="U13" s="5"/>
      <c r="V13" s="80" t="s">
        <v>9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</row>
    <row r="14" spans="2:46" ht="15" customHeight="1" x14ac:dyDescent="0.35">
      <c r="B14" s="80" t="s">
        <v>78</v>
      </c>
      <c r="C14" s="80"/>
      <c r="D14" s="80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5"/>
      <c r="T14" s="2"/>
      <c r="U14" s="2"/>
      <c r="V14" s="80" t="s">
        <v>9</v>
      </c>
      <c r="W14" s="80"/>
      <c r="X14" s="80"/>
      <c r="AA14" s="60" t="s">
        <v>5</v>
      </c>
      <c r="AB14" s="60"/>
      <c r="AC14" s="60">
        <v>7</v>
      </c>
      <c r="AD14" s="60"/>
      <c r="AE14" s="60">
        <v>3</v>
      </c>
      <c r="AF14" s="60"/>
      <c r="AG14" s="60">
        <f>1/7</f>
        <v>0.14285714285714285</v>
      </c>
      <c r="AH14" s="60"/>
      <c r="AI14" s="62">
        <v>1</v>
      </c>
      <c r="AJ14" s="62"/>
      <c r="AK14" s="60">
        <f>1/5</f>
        <v>0.2</v>
      </c>
      <c r="AL14" s="60"/>
      <c r="AM14" s="60">
        <v>7</v>
      </c>
      <c r="AN14" s="60"/>
      <c r="AO14" s="60">
        <v>5</v>
      </c>
      <c r="AP14" s="60"/>
      <c r="AQ14" s="60">
        <v>3</v>
      </c>
      <c r="AR14" s="60"/>
      <c r="AS14" s="60">
        <f>1/3</f>
        <v>0.33333333333333331</v>
      </c>
      <c r="AT14" s="60"/>
    </row>
    <row r="15" spans="2:46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</row>
    <row r="16" spans="2:46" ht="15" customHeight="1" x14ac:dyDescent="0.35">
      <c r="B16" s="79" t="s">
        <v>2</v>
      </c>
      <c r="C16" s="79"/>
      <c r="D16" s="79"/>
      <c r="E16" s="2">
        <v>9</v>
      </c>
      <c r="F16" s="2">
        <v>8</v>
      </c>
      <c r="G16" s="2">
        <v>7</v>
      </c>
      <c r="H16" s="2">
        <v>6</v>
      </c>
      <c r="I16" s="2">
        <v>5</v>
      </c>
      <c r="J16" s="2">
        <v>4</v>
      </c>
      <c r="K16" s="2">
        <v>3</v>
      </c>
      <c r="L16" s="2">
        <v>2</v>
      </c>
      <c r="M16" s="2">
        <v>1</v>
      </c>
      <c r="N16" s="2">
        <v>2</v>
      </c>
      <c r="O16" s="2">
        <v>3</v>
      </c>
      <c r="P16" s="2">
        <v>4</v>
      </c>
      <c r="Q16" s="2">
        <v>5</v>
      </c>
      <c r="R16" s="2">
        <v>6</v>
      </c>
      <c r="S16" s="2">
        <v>7</v>
      </c>
      <c r="T16" s="2">
        <v>8</v>
      </c>
      <c r="U16" s="2">
        <v>9</v>
      </c>
      <c r="V16" s="79" t="s">
        <v>3</v>
      </c>
      <c r="W16" s="79"/>
      <c r="X16" s="79"/>
      <c r="AA16" s="60" t="s">
        <v>32</v>
      </c>
      <c r="AB16" s="60"/>
      <c r="AC16" s="60">
        <v>9</v>
      </c>
      <c r="AD16" s="60"/>
      <c r="AE16" s="60">
        <v>3</v>
      </c>
      <c r="AF16" s="60"/>
      <c r="AG16" s="60">
        <v>5</v>
      </c>
      <c r="AH16" s="60"/>
      <c r="AI16" s="60">
        <v>5</v>
      </c>
      <c r="AJ16" s="60"/>
      <c r="AK16" s="62">
        <v>1</v>
      </c>
      <c r="AL16" s="62"/>
      <c r="AM16" s="60">
        <v>9</v>
      </c>
      <c r="AN16" s="60"/>
      <c r="AO16" s="60">
        <v>7</v>
      </c>
      <c r="AP16" s="60"/>
      <c r="AQ16" s="60">
        <v>5</v>
      </c>
      <c r="AR16" s="60"/>
      <c r="AS16" s="60">
        <v>3</v>
      </c>
      <c r="AT16" s="60"/>
    </row>
    <row r="17" spans="2:46" x14ac:dyDescent="0.35">
      <c r="B17" s="80" t="s">
        <v>85</v>
      </c>
      <c r="C17" s="80"/>
      <c r="D17" s="80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</row>
    <row r="18" spans="2:46" ht="15" customHeight="1" x14ac:dyDescent="0.35">
      <c r="B18" s="80" t="s">
        <v>85</v>
      </c>
      <c r="C18" s="80"/>
      <c r="D18" s="80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f>1/3</f>
        <v>0.33333333333333331</v>
      </c>
      <c r="AD18" s="60"/>
      <c r="AE18" s="60">
        <f>1/7</f>
        <v>0.14285714285714285</v>
      </c>
      <c r="AF18" s="60"/>
      <c r="AG18" s="60">
        <f>1/3</f>
        <v>0.33333333333333331</v>
      </c>
      <c r="AH18" s="60"/>
      <c r="AI18" s="60">
        <f>1/7</f>
        <v>0.14285714285714285</v>
      </c>
      <c r="AJ18" s="60"/>
      <c r="AK18" s="60">
        <f>1/9</f>
        <v>0.1111111111111111</v>
      </c>
      <c r="AL18" s="60"/>
      <c r="AM18" s="62">
        <v>1</v>
      </c>
      <c r="AN18" s="62"/>
      <c r="AO18" s="60">
        <f>1/7</f>
        <v>0.14285714285714285</v>
      </c>
      <c r="AP18" s="60"/>
      <c r="AQ18" s="60">
        <v>3</v>
      </c>
      <c r="AR18" s="60"/>
      <c r="AS18" s="60">
        <v>3</v>
      </c>
      <c r="AT18" s="60"/>
    </row>
    <row r="19" spans="2:46" x14ac:dyDescent="0.35">
      <c r="B19" s="80" t="s">
        <v>85</v>
      </c>
      <c r="C19" s="80"/>
      <c r="D19" s="80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</row>
    <row r="20" spans="2:46" ht="15" customHeight="1" x14ac:dyDescent="0.35">
      <c r="B20" s="80" t="s">
        <v>85</v>
      </c>
      <c r="C20" s="80"/>
      <c r="D20" s="8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f>1/5</f>
        <v>0.2</v>
      </c>
      <c r="AD20" s="60"/>
      <c r="AE20" s="60">
        <f>1/3</f>
        <v>0.33333333333333331</v>
      </c>
      <c r="AF20" s="60"/>
      <c r="AG20" s="60">
        <f>1/5</f>
        <v>0.2</v>
      </c>
      <c r="AH20" s="60"/>
      <c r="AI20" s="60">
        <f>1/5</f>
        <v>0.2</v>
      </c>
      <c r="AJ20" s="60"/>
      <c r="AK20" s="60">
        <f>1/7</f>
        <v>0.14285714285714285</v>
      </c>
      <c r="AL20" s="60"/>
      <c r="AM20" s="60">
        <v>7</v>
      </c>
      <c r="AN20" s="60"/>
      <c r="AO20" s="62">
        <v>1</v>
      </c>
      <c r="AP20" s="62"/>
      <c r="AQ20" s="60">
        <v>7</v>
      </c>
      <c r="AR20" s="60"/>
      <c r="AS20" s="60">
        <f>1/3</f>
        <v>0.33333333333333331</v>
      </c>
      <c r="AT20" s="60"/>
    </row>
    <row r="21" spans="2:46" x14ac:dyDescent="0.35">
      <c r="B21" s="80" t="s">
        <v>85</v>
      </c>
      <c r="C21" s="80"/>
      <c r="D21" s="80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5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0"/>
      <c r="AT21" s="60"/>
    </row>
    <row r="22" spans="2:46" ht="15" customHeight="1" x14ac:dyDescent="0.35">
      <c r="B22" s="80" t="s">
        <v>85</v>
      </c>
      <c r="C22" s="80"/>
      <c r="D22" s="8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  <c r="R22" s="2"/>
      <c r="S22" s="2"/>
      <c r="T22" s="2"/>
      <c r="U22" s="2"/>
      <c r="V22" s="80" t="s">
        <v>9</v>
      </c>
      <c r="W22" s="80"/>
      <c r="X22" s="80"/>
      <c r="AA22" s="60" t="s">
        <v>9</v>
      </c>
      <c r="AB22" s="60"/>
      <c r="AC22" s="60">
        <v>2</v>
      </c>
      <c r="AD22" s="60"/>
      <c r="AE22" s="60">
        <f>1/5</f>
        <v>0.2</v>
      </c>
      <c r="AF22" s="60"/>
      <c r="AG22" s="60">
        <v>3</v>
      </c>
      <c r="AH22" s="60"/>
      <c r="AI22" s="60">
        <f>1/3</f>
        <v>0.33333333333333331</v>
      </c>
      <c r="AJ22" s="60"/>
      <c r="AK22" s="60">
        <f>1/5</f>
        <v>0.2</v>
      </c>
      <c r="AL22" s="60"/>
      <c r="AM22" s="60">
        <f>1/3</f>
        <v>0.33333333333333331</v>
      </c>
      <c r="AN22" s="60"/>
      <c r="AO22" s="60">
        <f>1/7</f>
        <v>0.14285714285714285</v>
      </c>
      <c r="AP22" s="60"/>
      <c r="AQ22" s="62">
        <v>1</v>
      </c>
      <c r="AR22" s="62"/>
      <c r="AS22" s="60">
        <f>1/7</f>
        <v>0.14285714285714285</v>
      </c>
      <c r="AT22" s="60"/>
    </row>
    <row r="23" spans="2:46" x14ac:dyDescent="0.35">
      <c r="B23" s="80" t="s">
        <v>85</v>
      </c>
      <c r="C23" s="80"/>
      <c r="D23" s="80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80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</row>
    <row r="24" spans="2:46" ht="15" customHeight="1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v>5</v>
      </c>
      <c r="AD24" s="60"/>
      <c r="AE24" s="60">
        <f>1/3</f>
        <v>0.33333333333333331</v>
      </c>
      <c r="AF24" s="60"/>
      <c r="AG24" s="60">
        <v>7</v>
      </c>
      <c r="AH24" s="60"/>
      <c r="AI24" s="60">
        <v>3</v>
      </c>
      <c r="AJ24" s="60"/>
      <c r="AK24" s="60">
        <f>1/3</f>
        <v>0.33333333333333331</v>
      </c>
      <c r="AL24" s="60"/>
      <c r="AM24" s="60">
        <f>1/3</f>
        <v>0.33333333333333331</v>
      </c>
      <c r="AN24" s="60"/>
      <c r="AO24" s="60">
        <v>3</v>
      </c>
      <c r="AP24" s="60"/>
      <c r="AQ24" s="60">
        <v>7</v>
      </c>
      <c r="AR24" s="60"/>
      <c r="AS24" s="62">
        <v>1</v>
      </c>
      <c r="AT24" s="62"/>
    </row>
    <row r="25" spans="2:46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</row>
    <row r="26" spans="2:46" x14ac:dyDescent="0.35">
      <c r="B26" s="80" t="s">
        <v>4</v>
      </c>
      <c r="C26" s="80"/>
      <c r="D26" s="8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3"/>
      <c r="T26" s="2"/>
      <c r="U26" s="2"/>
      <c r="V26" s="80" t="s">
        <v>5</v>
      </c>
      <c r="W26" s="80"/>
      <c r="X26" s="80"/>
    </row>
    <row r="27" spans="2:46" x14ac:dyDescent="0.35">
      <c r="B27" s="80" t="s">
        <v>4</v>
      </c>
      <c r="C27" s="80"/>
      <c r="D27" s="80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</row>
    <row r="28" spans="2:46" x14ac:dyDescent="0.35">
      <c r="B28" s="80" t="s">
        <v>4</v>
      </c>
      <c r="C28" s="80"/>
      <c r="D28" s="80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  <c r="V28" s="80" t="s">
        <v>7</v>
      </c>
      <c r="W28" s="80"/>
      <c r="X28" s="80"/>
    </row>
    <row r="29" spans="2:46" x14ac:dyDescent="0.35">
      <c r="B29" s="80" t="s">
        <v>4</v>
      </c>
      <c r="C29" s="80"/>
      <c r="D29" s="8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2"/>
      <c r="S29" s="2"/>
      <c r="T29" s="2"/>
      <c r="U29" s="2"/>
      <c r="V29" s="80" t="s">
        <v>8</v>
      </c>
      <c r="W29" s="80"/>
      <c r="X29" s="80"/>
    </row>
    <row r="30" spans="2:46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80" t="s">
        <v>9</v>
      </c>
      <c r="W30" s="80"/>
      <c r="X30" s="80"/>
    </row>
    <row r="31" spans="2:46" x14ac:dyDescent="0.35">
      <c r="B31" s="80" t="s">
        <v>4</v>
      </c>
      <c r="C31" s="80"/>
      <c r="D31" s="80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0" t="s">
        <v>9</v>
      </c>
      <c r="W31" s="80"/>
      <c r="X31" s="80"/>
    </row>
    <row r="32" spans="2:46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</row>
    <row r="34" spans="2:24" x14ac:dyDescent="0.35">
      <c r="B34" s="80" t="s">
        <v>5</v>
      </c>
      <c r="C34" s="80"/>
      <c r="D34" s="80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</row>
    <row r="35" spans="2:24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"/>
      <c r="T35" s="2"/>
      <c r="U35" s="2"/>
      <c r="V35" s="80" t="s">
        <v>7</v>
      </c>
      <c r="W35" s="80"/>
      <c r="X35" s="80"/>
    </row>
    <row r="36" spans="2:24" x14ac:dyDescent="0.35">
      <c r="B36" s="80" t="s">
        <v>5</v>
      </c>
      <c r="C36" s="80"/>
      <c r="D36" s="8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  <c r="R36" s="2"/>
      <c r="S36" s="2"/>
      <c r="T36" s="2"/>
      <c r="U36" s="5"/>
      <c r="V36" s="80" t="s">
        <v>8</v>
      </c>
      <c r="W36" s="80"/>
      <c r="X36" s="80"/>
    </row>
    <row r="37" spans="2:24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80" t="s">
        <v>9</v>
      </c>
      <c r="W37" s="80"/>
      <c r="X37" s="80"/>
    </row>
    <row r="38" spans="2:24" x14ac:dyDescent="0.35">
      <c r="B38" s="80" t="s">
        <v>5</v>
      </c>
      <c r="C38" s="80"/>
      <c r="D38" s="80"/>
      <c r="E38" s="2"/>
      <c r="F38" s="2"/>
      <c r="G38" s="2"/>
      <c r="H38" s="2"/>
      <c r="I38" s="2"/>
      <c r="J38" s="2"/>
      <c r="K38" s="3"/>
      <c r="L38" s="2"/>
      <c r="M38" s="2"/>
      <c r="N38" s="2"/>
      <c r="O38" s="2"/>
      <c r="P38" s="2"/>
      <c r="Q38" s="2"/>
      <c r="R38" s="2"/>
      <c r="S38" s="2"/>
      <c r="T38" s="2"/>
      <c r="U38" s="2"/>
      <c r="V38" s="80" t="s">
        <v>9</v>
      </c>
      <c r="W38" s="80"/>
      <c r="X38" s="80"/>
    </row>
    <row r="39" spans="2:24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2:24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</row>
    <row r="41" spans="2:24" x14ac:dyDescent="0.35">
      <c r="B41" s="80" t="s">
        <v>6</v>
      </c>
      <c r="C41" s="80"/>
      <c r="D41" s="80"/>
      <c r="E41" s="2"/>
      <c r="F41" s="2"/>
      <c r="G41" s="2"/>
      <c r="H41" s="2"/>
      <c r="I41" s="2"/>
      <c r="J41" s="2"/>
      <c r="K41" s="2"/>
      <c r="L41" s="2"/>
      <c r="M41" s="2"/>
      <c r="N41" s="2"/>
      <c r="O41" s="5"/>
      <c r="P41" s="2"/>
      <c r="Q41" s="2"/>
      <c r="R41" s="2"/>
      <c r="S41" s="2"/>
      <c r="T41" s="2"/>
      <c r="U41" s="3"/>
      <c r="V41" s="80" t="s">
        <v>7</v>
      </c>
      <c r="W41" s="80"/>
      <c r="X41" s="80"/>
    </row>
    <row r="42" spans="2:24" x14ac:dyDescent="0.35">
      <c r="B42" s="80" t="s">
        <v>6</v>
      </c>
      <c r="C42" s="80"/>
      <c r="D42" s="8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5"/>
      <c r="Q42" s="5"/>
      <c r="R42" s="2"/>
      <c r="S42" s="3"/>
      <c r="T42" s="2"/>
      <c r="U42" s="2"/>
      <c r="V42" s="80" t="s">
        <v>8</v>
      </c>
      <c r="W42" s="80"/>
      <c r="X42" s="80"/>
    </row>
    <row r="43" spans="2:24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2"/>
      <c r="L43" s="2"/>
      <c r="M43" s="2"/>
      <c r="N43" s="2"/>
      <c r="O43" s="5"/>
      <c r="P43" s="2"/>
      <c r="Q43" s="3"/>
      <c r="R43" s="2"/>
      <c r="S43" s="5"/>
      <c r="T43" s="2"/>
      <c r="U43" s="2"/>
      <c r="V43" s="80" t="s">
        <v>9</v>
      </c>
      <c r="W43" s="80"/>
      <c r="X43" s="80"/>
    </row>
    <row r="44" spans="2:24" x14ac:dyDescent="0.35">
      <c r="B44" s="80" t="s">
        <v>6</v>
      </c>
      <c r="C44" s="80"/>
      <c r="D44" s="80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5"/>
      <c r="V44" s="80" t="s">
        <v>9</v>
      </c>
      <c r="W44" s="80"/>
      <c r="X44" s="80"/>
    </row>
    <row r="45" spans="2:24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</row>
    <row r="47" spans="2:24" x14ac:dyDescent="0.35">
      <c r="B47" s="80" t="s">
        <v>7</v>
      </c>
      <c r="C47" s="80"/>
      <c r="D47" s="80"/>
      <c r="E47" s="2"/>
      <c r="F47" s="2"/>
      <c r="G47" s="3"/>
      <c r="H47" s="2"/>
      <c r="I47" s="2"/>
      <c r="J47" s="2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</row>
    <row r="48" spans="2:24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80" t="s">
        <v>9</v>
      </c>
      <c r="W48" s="80"/>
      <c r="X48" s="80"/>
    </row>
    <row r="49" spans="2:42" x14ac:dyDescent="0.35">
      <c r="B49" s="80" t="s">
        <v>7</v>
      </c>
      <c r="C49" s="80"/>
      <c r="D49" s="80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80" t="s">
        <v>9</v>
      </c>
      <c r="W49" s="80"/>
      <c r="X49" s="80"/>
    </row>
    <row r="50" spans="2:42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2:42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</row>
    <row r="52" spans="2:42" x14ac:dyDescent="0.35">
      <c r="B52" s="80" t="s">
        <v>8</v>
      </c>
      <c r="C52" s="80"/>
      <c r="D52" s="80"/>
      <c r="E52" s="2"/>
      <c r="F52" s="2"/>
      <c r="G52" s="2"/>
      <c r="H52" s="2"/>
      <c r="I52" s="5"/>
      <c r="J52" s="2"/>
      <c r="K52" s="5"/>
      <c r="L52" s="2"/>
      <c r="M52" s="2"/>
      <c r="N52" s="2"/>
      <c r="O52" s="2"/>
      <c r="P52" s="2"/>
      <c r="Q52" s="2"/>
      <c r="R52" s="2"/>
      <c r="S52" s="3"/>
      <c r="T52" s="2"/>
      <c r="U52" s="2"/>
      <c r="V52" s="80" t="s">
        <v>9</v>
      </c>
      <c r="W52" s="80"/>
      <c r="X52" s="80"/>
    </row>
    <row r="53" spans="2:42" x14ac:dyDescent="0.35">
      <c r="B53" s="80" t="s">
        <v>8</v>
      </c>
      <c r="C53" s="80"/>
      <c r="D53" s="80"/>
      <c r="E53" s="2"/>
      <c r="F53" s="2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80" t="s">
        <v>9</v>
      </c>
      <c r="W53" s="80"/>
      <c r="X53" s="80"/>
    </row>
    <row r="54" spans="2:42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2:42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</row>
    <row r="56" spans="2:42" x14ac:dyDescent="0.35">
      <c r="B56" s="80" t="s">
        <v>9</v>
      </c>
      <c r="C56" s="80"/>
      <c r="D56" s="80"/>
      <c r="E56" s="2"/>
      <c r="F56" s="2"/>
      <c r="G56" s="3"/>
      <c r="H56" s="2"/>
      <c r="I56" s="2"/>
      <c r="J56" s="2"/>
      <c r="K56" s="2"/>
      <c r="L56" s="5"/>
      <c r="M56" s="2"/>
      <c r="N56" s="2"/>
      <c r="O56" s="2"/>
      <c r="P56" s="2"/>
      <c r="Q56" s="2"/>
      <c r="R56" s="2"/>
      <c r="S56" s="2"/>
      <c r="T56" s="2"/>
      <c r="U56" s="2"/>
      <c r="V56" s="80" t="s">
        <v>9</v>
      </c>
      <c r="W56" s="80"/>
      <c r="X56" s="80"/>
    </row>
    <row r="59" spans="2:42" x14ac:dyDescent="0.35">
      <c r="B59" s="85" t="s">
        <v>10</v>
      </c>
      <c r="C59" s="85"/>
    </row>
    <row r="61" spans="2:42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60"/>
    </row>
    <row r="62" spans="2:42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5"/>
      <c r="P62" s="2"/>
      <c r="Q62" s="2"/>
      <c r="R62" s="2"/>
      <c r="S62" s="3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</row>
    <row r="63" spans="2:42" x14ac:dyDescent="0.35">
      <c r="B63" s="80" t="s">
        <v>11</v>
      </c>
      <c r="C63" s="80"/>
      <c r="D63" s="8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5"/>
      <c r="R63" s="2"/>
      <c r="S63" s="2"/>
      <c r="T63" s="2"/>
      <c r="U63" s="3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7</v>
      </c>
      <c r="AF63" s="64"/>
      <c r="AG63" s="63">
        <v>9</v>
      </c>
      <c r="AH63" s="64"/>
      <c r="AI63" s="63">
        <f>1/5</f>
        <v>0.2</v>
      </c>
      <c r="AJ63" s="64"/>
      <c r="AK63" s="63">
        <v>5</v>
      </c>
      <c r="AL63" s="64"/>
      <c r="AM63" s="63">
        <f>1/5</f>
        <v>0.2</v>
      </c>
      <c r="AN63" s="64"/>
      <c r="AO63" s="63">
        <f>1/5</f>
        <v>0.2</v>
      </c>
      <c r="AP63" s="64"/>
    </row>
    <row r="64" spans="2:42" x14ac:dyDescent="0.35">
      <c r="B64" s="80" t="s">
        <v>11</v>
      </c>
      <c r="C64" s="80"/>
      <c r="D64" s="80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66"/>
    </row>
    <row r="65" spans="2:42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5"/>
      <c r="V65" s="81" t="s">
        <v>29</v>
      </c>
      <c r="W65" s="82"/>
      <c r="X65" s="83"/>
      <c r="AA65" s="60" t="s">
        <v>81</v>
      </c>
      <c r="AB65" s="60"/>
      <c r="AC65" s="60">
        <f>1/7</f>
        <v>0.14285714285714285</v>
      </c>
      <c r="AD65" s="60"/>
      <c r="AE65" s="62">
        <v>1</v>
      </c>
      <c r="AF65" s="62"/>
      <c r="AG65" s="60">
        <v>7</v>
      </c>
      <c r="AH65" s="60"/>
      <c r="AI65" s="60">
        <f>1/5</f>
        <v>0.2</v>
      </c>
      <c r="AJ65" s="60"/>
      <c r="AK65" s="60">
        <v>7</v>
      </c>
      <c r="AL65" s="60"/>
      <c r="AM65" s="60">
        <f>1/5</f>
        <v>0.2</v>
      </c>
      <c r="AN65" s="60"/>
      <c r="AO65" s="60">
        <f>1/3</f>
        <v>0.33333333333333331</v>
      </c>
      <c r="AP65" s="60"/>
    </row>
    <row r="66" spans="2:42" x14ac:dyDescent="0.35">
      <c r="B66" s="80" t="s">
        <v>11</v>
      </c>
      <c r="C66" s="80"/>
      <c r="D66" s="80"/>
      <c r="E66" s="2"/>
      <c r="F66" s="2"/>
      <c r="G66" s="2"/>
      <c r="H66" s="2"/>
      <c r="I66" s="3"/>
      <c r="J66" s="2"/>
      <c r="K66" s="2"/>
      <c r="L66" s="2"/>
      <c r="M66" s="2"/>
      <c r="N66" s="2"/>
      <c r="O66" s="5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60"/>
    </row>
    <row r="67" spans="2:42" x14ac:dyDescent="0.35">
      <c r="B67" s="80" t="s">
        <v>11</v>
      </c>
      <c r="C67" s="80"/>
      <c r="D67" s="80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1" t="s">
        <v>30</v>
      </c>
      <c r="W67" s="82"/>
      <c r="X67" s="83"/>
      <c r="AA67" s="60" t="s">
        <v>27</v>
      </c>
      <c r="AB67" s="60"/>
      <c r="AC67" s="60">
        <f>1/9</f>
        <v>0.1111111111111111</v>
      </c>
      <c r="AD67" s="60"/>
      <c r="AE67" s="60">
        <f>1/7</f>
        <v>0.14285714285714285</v>
      </c>
      <c r="AF67" s="60"/>
      <c r="AG67" s="62">
        <v>1</v>
      </c>
      <c r="AH67" s="62"/>
      <c r="AI67" s="60">
        <f>1/9</f>
        <v>0.1111111111111111</v>
      </c>
      <c r="AJ67" s="60"/>
      <c r="AK67" s="60">
        <v>5</v>
      </c>
      <c r="AL67" s="60"/>
      <c r="AM67" s="60">
        <f>1/5</f>
        <v>0.2</v>
      </c>
      <c r="AN67" s="60"/>
      <c r="AO67" s="60">
        <v>7</v>
      </c>
      <c r="AP67" s="60"/>
    </row>
    <row r="68" spans="2:42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60"/>
    </row>
    <row r="69" spans="2:42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v>7</v>
      </c>
      <c r="AD69" s="60"/>
      <c r="AE69" s="60">
        <v>5</v>
      </c>
      <c r="AF69" s="60"/>
      <c r="AG69" s="60">
        <v>9</v>
      </c>
      <c r="AH69" s="60"/>
      <c r="AI69" s="62">
        <v>1</v>
      </c>
      <c r="AJ69" s="62"/>
      <c r="AK69" s="60">
        <v>9</v>
      </c>
      <c r="AL69" s="60"/>
      <c r="AM69" s="60">
        <f>1/5</f>
        <v>0.2</v>
      </c>
      <c r="AN69" s="60"/>
      <c r="AO69" s="60">
        <v>3</v>
      </c>
      <c r="AP69" s="60"/>
    </row>
    <row r="70" spans="2:42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5"/>
      <c r="L70" s="2"/>
      <c r="M70" s="2"/>
      <c r="N70" s="2"/>
      <c r="O70" s="2"/>
      <c r="P70" s="2"/>
      <c r="Q70" s="2"/>
      <c r="R70" s="2"/>
      <c r="S70" s="3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60"/>
    </row>
    <row r="71" spans="2:42" x14ac:dyDescent="0.35">
      <c r="B71" s="80" t="s">
        <v>81</v>
      </c>
      <c r="C71" s="80"/>
      <c r="D71" s="80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1/7</f>
        <v>0.14285714285714285</v>
      </c>
      <c r="AF71" s="60"/>
      <c r="AG71" s="60">
        <f>1/5</f>
        <v>0.2</v>
      </c>
      <c r="AH71" s="60"/>
      <c r="AI71" s="60">
        <f>1/9</f>
        <v>0.1111111111111111</v>
      </c>
      <c r="AJ71" s="60"/>
      <c r="AK71" s="62">
        <v>1</v>
      </c>
      <c r="AL71" s="62"/>
      <c r="AM71" s="60">
        <f>1/5</f>
        <v>0.2</v>
      </c>
      <c r="AN71" s="60"/>
      <c r="AO71" s="60">
        <v>6</v>
      </c>
      <c r="AP71" s="60"/>
    </row>
    <row r="72" spans="2:42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2"/>
      <c r="U72" s="2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60"/>
    </row>
    <row r="73" spans="2:42" x14ac:dyDescent="0.35">
      <c r="B73" s="80" t="s">
        <v>81</v>
      </c>
      <c r="C73" s="80"/>
      <c r="D73" s="80"/>
      <c r="E73" s="2"/>
      <c r="F73" s="2"/>
      <c r="G73" s="2"/>
      <c r="H73" s="2"/>
      <c r="I73" s="3"/>
      <c r="J73" s="2"/>
      <c r="K73" s="2"/>
      <c r="L73" s="2"/>
      <c r="M73" s="2"/>
      <c r="N73" s="2"/>
      <c r="O73" s="5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v>5</v>
      </c>
      <c r="AD73" s="60"/>
      <c r="AE73" s="60">
        <v>5</v>
      </c>
      <c r="AF73" s="60"/>
      <c r="AG73" s="60">
        <v>5</v>
      </c>
      <c r="AH73" s="60"/>
      <c r="AI73" s="60">
        <v>5</v>
      </c>
      <c r="AJ73" s="60"/>
      <c r="AK73" s="60">
        <v>5</v>
      </c>
      <c r="AL73" s="60"/>
      <c r="AM73" s="62">
        <v>1</v>
      </c>
      <c r="AN73" s="62"/>
      <c r="AO73" s="60">
        <f>1/5</f>
        <v>0.2</v>
      </c>
      <c r="AP73" s="60"/>
    </row>
    <row r="74" spans="2:42" x14ac:dyDescent="0.35">
      <c r="B74" s="80" t="s">
        <v>81</v>
      </c>
      <c r="C74" s="80"/>
      <c r="D74" s="80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60"/>
    </row>
    <row r="75" spans="2:42" x14ac:dyDescent="0.35">
      <c r="AA75" s="60" t="s">
        <v>91</v>
      </c>
      <c r="AB75" s="60"/>
      <c r="AC75" s="60">
        <v>5</v>
      </c>
      <c r="AD75" s="60"/>
      <c r="AE75" s="60">
        <v>3</v>
      </c>
      <c r="AF75" s="60"/>
      <c r="AG75" s="60">
        <f>1/7</f>
        <v>0.14285714285714285</v>
      </c>
      <c r="AH75" s="60"/>
      <c r="AI75" s="60">
        <f>1/3</f>
        <v>0.33333333333333331</v>
      </c>
      <c r="AJ75" s="60"/>
      <c r="AK75" s="60">
        <f>1/6</f>
        <v>0.16666666666666666</v>
      </c>
      <c r="AL75" s="60"/>
      <c r="AM75" s="60">
        <v>5</v>
      </c>
      <c r="AN75" s="60"/>
      <c r="AO75" s="62">
        <v>1</v>
      </c>
      <c r="AP75" s="62"/>
    </row>
    <row r="76" spans="2:42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2"/>
      <c r="AP76" s="62"/>
    </row>
    <row r="77" spans="2:42" x14ac:dyDescent="0.35">
      <c r="B77" s="81" t="s">
        <v>27</v>
      </c>
      <c r="C77" s="82"/>
      <c r="D77" s="8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</row>
    <row r="78" spans="2:42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5"/>
      <c r="P78" s="2"/>
      <c r="Q78" s="3"/>
      <c r="R78" s="2"/>
      <c r="S78" s="2"/>
      <c r="T78" s="2"/>
      <c r="U78" s="5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</row>
    <row r="79" spans="2:42" x14ac:dyDescent="0.35">
      <c r="B79" s="81" t="s">
        <v>27</v>
      </c>
      <c r="C79" s="82"/>
      <c r="D79" s="83"/>
      <c r="E79" s="2"/>
      <c r="F79" s="2"/>
      <c r="G79" s="2"/>
      <c r="H79" s="2"/>
      <c r="I79" s="3"/>
      <c r="J79" s="2"/>
      <c r="K79" s="2"/>
      <c r="L79" s="2"/>
      <c r="M79" s="2"/>
      <c r="N79" s="2"/>
      <c r="O79" s="5"/>
      <c r="P79" s="2"/>
      <c r="Q79" s="2"/>
      <c r="R79" s="2"/>
      <c r="S79" s="2"/>
      <c r="T79" s="2"/>
      <c r="U79" s="2"/>
      <c r="V79" s="81" t="s">
        <v>82</v>
      </c>
      <c r="W79" s="82"/>
      <c r="X79" s="83"/>
    </row>
    <row r="80" spans="2:42" x14ac:dyDescent="0.35">
      <c r="B80" s="81" t="s">
        <v>27</v>
      </c>
      <c r="C80" s="82"/>
      <c r="D80" s="83"/>
      <c r="E80" s="2"/>
      <c r="F80" s="2"/>
      <c r="G80" s="2"/>
      <c r="H80" s="2"/>
      <c r="I80" s="5"/>
      <c r="J80" s="2"/>
      <c r="K80" s="2"/>
      <c r="L80" s="2"/>
      <c r="M80" s="2"/>
      <c r="N80" s="2"/>
      <c r="O80" s="2"/>
      <c r="P80" s="2"/>
      <c r="Q80" s="2"/>
      <c r="R80" s="2"/>
      <c r="S80" s="3"/>
      <c r="T80" s="2"/>
      <c r="U80" s="2"/>
      <c r="V80" s="81" t="s">
        <v>30</v>
      </c>
      <c r="W80" s="82"/>
      <c r="X80" s="83"/>
    </row>
    <row r="82" spans="2:24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</row>
    <row r="83" spans="2:24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2"/>
      <c r="Q83" s="2"/>
      <c r="R83" s="2"/>
      <c r="S83" s="2"/>
      <c r="T83" s="2"/>
      <c r="U83" s="3"/>
      <c r="V83" s="81" t="s">
        <v>29</v>
      </c>
      <c r="W83" s="82"/>
      <c r="X83" s="83"/>
    </row>
    <row r="84" spans="2:24" x14ac:dyDescent="0.35">
      <c r="B84" s="81" t="s">
        <v>28</v>
      </c>
      <c r="C84" s="82"/>
      <c r="D84" s="83"/>
      <c r="E84" s="2"/>
      <c r="F84" s="2"/>
      <c r="G84" s="2"/>
      <c r="H84" s="2"/>
      <c r="I84" s="3"/>
      <c r="J84" s="2"/>
      <c r="K84" s="5"/>
      <c r="L84" s="2"/>
      <c r="M84" s="2"/>
      <c r="N84" s="2"/>
      <c r="O84" s="2"/>
      <c r="P84" s="2"/>
      <c r="Q84" s="2"/>
      <c r="R84" s="2"/>
      <c r="S84" s="2"/>
      <c r="T84" s="2"/>
      <c r="U84" s="2"/>
      <c r="V84" s="81" t="s">
        <v>82</v>
      </c>
      <c r="W84" s="82"/>
      <c r="X84" s="83"/>
    </row>
    <row r="85" spans="2:24" x14ac:dyDescent="0.35">
      <c r="B85" s="81" t="s">
        <v>28</v>
      </c>
      <c r="C85" s="82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81" t="s">
        <v>30</v>
      </c>
      <c r="W85" s="82"/>
      <c r="X85" s="83"/>
    </row>
    <row r="87" spans="2:24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</row>
    <row r="88" spans="2:24" x14ac:dyDescent="0.35">
      <c r="B88" s="81" t="s">
        <v>29</v>
      </c>
      <c r="C88" s="82"/>
      <c r="D88" s="83"/>
      <c r="E88" s="2"/>
      <c r="F88" s="2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1" t="s">
        <v>82</v>
      </c>
      <c r="W88" s="82"/>
      <c r="X88" s="83"/>
    </row>
    <row r="89" spans="2:24" x14ac:dyDescent="0.35">
      <c r="B89" s="81" t="s">
        <v>29</v>
      </c>
      <c r="C89" s="82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5"/>
      <c r="P89" s="2"/>
      <c r="Q89" s="2"/>
      <c r="R89" s="3"/>
      <c r="S89" s="2"/>
      <c r="T89" s="2"/>
      <c r="U89" s="2"/>
      <c r="V89" s="81" t="s">
        <v>30</v>
      </c>
      <c r="W89" s="82"/>
      <c r="X89" s="83"/>
    </row>
    <row r="91" spans="2:24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</row>
    <row r="92" spans="2:24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81" t="s">
        <v>30</v>
      </c>
      <c r="W92" s="82"/>
      <c r="X92" s="83"/>
    </row>
    <row r="95" spans="2:24" x14ac:dyDescent="0.35">
      <c r="B95" s="84" t="s">
        <v>12</v>
      </c>
      <c r="C95" s="84"/>
      <c r="D95" s="84"/>
    </row>
    <row r="96" spans="2:24" x14ac:dyDescent="0.35">
      <c r="B96" s="7"/>
      <c r="C96" s="7"/>
      <c r="D96" s="7"/>
    </row>
    <row r="97" spans="2:44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</row>
    <row r="98" spans="2:44" x14ac:dyDescent="0.35">
      <c r="B98" s="80" t="s">
        <v>13</v>
      </c>
      <c r="C98" s="80"/>
      <c r="D98" s="80"/>
      <c r="E98" s="2"/>
      <c r="F98" s="2"/>
      <c r="G98" s="5"/>
      <c r="H98" s="2"/>
      <c r="I98" s="5"/>
      <c r="J98" s="2"/>
      <c r="K98" s="2"/>
      <c r="L98" s="2"/>
      <c r="M98" s="2"/>
      <c r="N98" s="2"/>
      <c r="O98" s="2"/>
      <c r="P98" s="2"/>
      <c r="Q98" s="2"/>
      <c r="R98" s="2"/>
      <c r="S98" s="3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</row>
    <row r="99" spans="2:44" x14ac:dyDescent="0.35">
      <c r="B99" s="80" t="s">
        <v>13</v>
      </c>
      <c r="C99" s="80"/>
      <c r="D99" s="80"/>
      <c r="E99" s="2"/>
      <c r="F99" s="2"/>
      <c r="G99" s="2"/>
      <c r="H99" s="2"/>
      <c r="I99" s="3"/>
      <c r="J99" s="2"/>
      <c r="K99" s="5"/>
      <c r="L99" s="2"/>
      <c r="M99" s="2"/>
      <c r="N99" s="2"/>
      <c r="O99" s="2"/>
      <c r="P99" s="2"/>
      <c r="Q99" s="2"/>
      <c r="R99" s="2"/>
      <c r="S99" s="2"/>
      <c r="T99" s="2"/>
      <c r="U99" s="2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v>7</v>
      </c>
      <c r="AF99" s="60"/>
      <c r="AG99" s="63">
        <f>1/5</f>
        <v>0.2</v>
      </c>
      <c r="AH99" s="64"/>
    </row>
    <row r="100" spans="2:44" x14ac:dyDescent="0.35">
      <c r="AA100" s="60"/>
      <c r="AB100" s="60"/>
      <c r="AC100" s="62"/>
      <c r="AD100" s="62"/>
      <c r="AE100" s="60"/>
      <c r="AF100" s="60"/>
      <c r="AG100" s="65"/>
      <c r="AH100" s="66"/>
    </row>
    <row r="101" spans="2:44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f>1/7</f>
        <v>0.14285714285714285</v>
      </c>
      <c r="AD101" s="60"/>
      <c r="AE101" s="62">
        <v>1</v>
      </c>
      <c r="AF101" s="62"/>
      <c r="AG101" s="60">
        <v>5</v>
      </c>
      <c r="AH101" s="60"/>
    </row>
    <row r="102" spans="2:44" x14ac:dyDescent="0.35">
      <c r="B102" s="80" t="s">
        <v>14</v>
      </c>
      <c r="C102" s="80"/>
      <c r="D102" s="80"/>
      <c r="E102" s="2"/>
      <c r="F102" s="2"/>
      <c r="G102" s="2"/>
      <c r="H102" s="2"/>
      <c r="I102" s="2"/>
      <c r="J102" s="2"/>
      <c r="K102" s="5"/>
      <c r="L102" s="2"/>
      <c r="M102" s="2"/>
      <c r="N102" s="2"/>
      <c r="O102" s="2"/>
      <c r="P102" s="2"/>
      <c r="Q102" s="3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</row>
    <row r="103" spans="2:44" x14ac:dyDescent="0.35">
      <c r="AA103" s="60" t="s">
        <v>15</v>
      </c>
      <c r="AB103" s="60"/>
      <c r="AC103" s="60">
        <v>5</v>
      </c>
      <c r="AD103" s="60"/>
      <c r="AE103" s="60">
        <f>1/5</f>
        <v>0.2</v>
      </c>
      <c r="AF103" s="60"/>
      <c r="AG103" s="62">
        <v>1</v>
      </c>
      <c r="AH103" s="62"/>
    </row>
    <row r="104" spans="2:44" x14ac:dyDescent="0.35">
      <c r="AA104" s="60"/>
      <c r="AB104" s="60"/>
      <c r="AC104" s="60"/>
      <c r="AD104" s="60"/>
      <c r="AE104" s="60"/>
      <c r="AF104" s="60"/>
      <c r="AG104" s="62"/>
      <c r="AH104" s="62"/>
    </row>
    <row r="105" spans="2:44" x14ac:dyDescent="0.35">
      <c r="B105" s="8" t="s">
        <v>16</v>
      </c>
    </row>
    <row r="107" spans="2:44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</row>
    <row r="108" spans="2:44" x14ac:dyDescent="0.35">
      <c r="B108" s="80" t="s">
        <v>17</v>
      </c>
      <c r="C108" s="80"/>
      <c r="D108" s="8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2:44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2"/>
      <c r="U109" s="2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v>5</v>
      </c>
      <c r="AF109" s="60"/>
      <c r="AG109" s="63">
        <v>7</v>
      </c>
      <c r="AH109" s="64"/>
      <c r="AI109" s="60">
        <v>7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v>3</v>
      </c>
      <c r="AR109" s="60"/>
    </row>
    <row r="110" spans="2:44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2:44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f>1/5</f>
        <v>0.2</v>
      </c>
      <c r="AD111" s="60"/>
      <c r="AE111" s="62">
        <v>1</v>
      </c>
      <c r="AF111" s="62"/>
      <c r="AG111" s="60">
        <f>1/7</f>
        <v>0.14285714285714285</v>
      </c>
      <c r="AH111" s="60"/>
      <c r="AI111" s="60">
        <f>1/5</f>
        <v>0.2</v>
      </c>
      <c r="AJ111" s="60"/>
      <c r="AK111" s="60">
        <f>1/5</f>
        <v>0.2</v>
      </c>
      <c r="AL111" s="60"/>
      <c r="AM111" s="60">
        <v>3</v>
      </c>
      <c r="AN111" s="60"/>
      <c r="AO111" s="60">
        <v>7</v>
      </c>
      <c r="AP111" s="60"/>
      <c r="AQ111" s="60">
        <f>1/3</f>
        <v>0.33333333333333331</v>
      </c>
      <c r="AR111" s="60"/>
    </row>
    <row r="112" spans="2:44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2:44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1/7</f>
        <v>0.14285714285714285</v>
      </c>
      <c r="AD113" s="60"/>
      <c r="AE113" s="60">
        <v>7</v>
      </c>
      <c r="AF113" s="60"/>
      <c r="AG113" s="62">
        <v>1</v>
      </c>
      <c r="AH113" s="62"/>
      <c r="AI113" s="60">
        <f>1/7</f>
        <v>0.14285714285714285</v>
      </c>
      <c r="AJ113" s="60"/>
      <c r="AK113" s="60">
        <f>1/5</f>
        <v>0.2</v>
      </c>
      <c r="AL113" s="60"/>
      <c r="AM113" s="60">
        <f>1/3</f>
        <v>0.33333333333333331</v>
      </c>
      <c r="AN113" s="60"/>
      <c r="AO113" s="60">
        <v>3</v>
      </c>
      <c r="AP113" s="60"/>
      <c r="AQ113" s="60">
        <v>3</v>
      </c>
      <c r="AR113" s="60"/>
    </row>
    <row r="114" spans="2:44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2:44" x14ac:dyDescent="0.35">
      <c r="AA115" s="60" t="s">
        <v>31</v>
      </c>
      <c r="AB115" s="60"/>
      <c r="AC115" s="60">
        <f>1/7</f>
        <v>0.14285714285714285</v>
      </c>
      <c r="AD115" s="60"/>
      <c r="AE115" s="60">
        <v>5</v>
      </c>
      <c r="AF115" s="60"/>
      <c r="AG115" s="60">
        <v>7</v>
      </c>
      <c r="AH115" s="60"/>
      <c r="AI115" s="62">
        <v>1</v>
      </c>
      <c r="AJ115" s="62"/>
      <c r="AK115" s="60">
        <f>1/7</f>
        <v>0.14285714285714285</v>
      </c>
      <c r="AL115" s="60"/>
      <c r="AM115" s="60">
        <v>3</v>
      </c>
      <c r="AN115" s="60"/>
      <c r="AO115" s="60">
        <v>5</v>
      </c>
      <c r="AP115" s="60"/>
      <c r="AQ115" s="60">
        <f>1/7</f>
        <v>0.14285714285714285</v>
      </c>
      <c r="AR115" s="60"/>
    </row>
    <row r="116" spans="2:44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</row>
    <row r="117" spans="2:44" x14ac:dyDescent="0.35">
      <c r="B117" s="80" t="s">
        <v>18</v>
      </c>
      <c r="C117" s="80"/>
      <c r="D117" s="80"/>
      <c r="E117" s="2"/>
      <c r="F117" s="2"/>
      <c r="G117" s="3"/>
      <c r="H117" s="2"/>
      <c r="I117" s="2"/>
      <c r="J117" s="2"/>
      <c r="K117" s="5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5</v>
      </c>
      <c r="AF117" s="60"/>
      <c r="AG117" s="60">
        <v>5</v>
      </c>
      <c r="AH117" s="60"/>
      <c r="AI117" s="60">
        <v>7</v>
      </c>
      <c r="AJ117" s="60"/>
      <c r="AK117" s="62">
        <v>1</v>
      </c>
      <c r="AL117" s="62"/>
      <c r="AM117" s="60">
        <v>7</v>
      </c>
      <c r="AN117" s="60"/>
      <c r="AO117" s="60">
        <v>9</v>
      </c>
      <c r="AP117" s="60"/>
      <c r="AQ117" s="60">
        <f>1/5</f>
        <v>0.2</v>
      </c>
      <c r="AR117" s="60"/>
    </row>
    <row r="118" spans="2:44" x14ac:dyDescent="0.35">
      <c r="B118" s="80" t="s">
        <v>18</v>
      </c>
      <c r="C118" s="80"/>
      <c r="D118" s="80"/>
      <c r="E118" s="2"/>
      <c r="F118" s="2"/>
      <c r="G118" s="2"/>
      <c r="H118" s="2"/>
      <c r="I118" s="3"/>
      <c r="J118" s="2"/>
      <c r="K118" s="2"/>
      <c r="L118" s="5"/>
      <c r="M118" s="2"/>
      <c r="N118" s="2"/>
      <c r="O118" s="2"/>
      <c r="P118" s="2"/>
      <c r="Q118" s="2"/>
      <c r="R118" s="2"/>
      <c r="S118" s="2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</row>
    <row r="119" spans="2:44" x14ac:dyDescent="0.35">
      <c r="B119" s="80" t="s">
        <v>18</v>
      </c>
      <c r="C119" s="80"/>
      <c r="D119" s="80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f>1/3</f>
        <v>0.33333333333333331</v>
      </c>
      <c r="AF119" s="60"/>
      <c r="AG119" s="60">
        <v>3</v>
      </c>
      <c r="AH119" s="60"/>
      <c r="AI119" s="60">
        <f>1/3</f>
        <v>0.33333333333333331</v>
      </c>
      <c r="AJ119" s="60"/>
      <c r="AK119" s="60">
        <f>1/7</f>
        <v>0.14285714285714285</v>
      </c>
      <c r="AL119" s="60"/>
      <c r="AM119" s="62">
        <v>1</v>
      </c>
      <c r="AN119" s="62"/>
      <c r="AO119" s="60">
        <v>8</v>
      </c>
      <c r="AP119" s="60"/>
      <c r="AQ119" s="60">
        <v>5</v>
      </c>
      <c r="AR119" s="60"/>
    </row>
    <row r="120" spans="2:44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</row>
    <row r="121" spans="2:44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1/7</f>
        <v>0.14285714285714285</v>
      </c>
      <c r="AF121" s="60"/>
      <c r="AG121" s="60">
        <f>1/3</f>
        <v>0.33333333333333331</v>
      </c>
      <c r="AH121" s="60"/>
      <c r="AI121" s="60">
        <f>1/5</f>
        <v>0.2</v>
      </c>
      <c r="AJ121" s="60"/>
      <c r="AK121" s="60">
        <f>1/9</f>
        <v>0.1111111111111111</v>
      </c>
      <c r="AL121" s="60"/>
      <c r="AM121" s="60">
        <f>1/8</f>
        <v>0.125</v>
      </c>
      <c r="AN121" s="60"/>
      <c r="AO121" s="62">
        <v>1</v>
      </c>
      <c r="AP121" s="62"/>
      <c r="AQ121" s="60">
        <f>1/7</f>
        <v>0.14285714285714285</v>
      </c>
      <c r="AR121" s="60"/>
    </row>
    <row r="122" spans="2:44" x14ac:dyDescent="0.35">
      <c r="B122" s="80" t="s">
        <v>18</v>
      </c>
      <c r="C122" s="80"/>
      <c r="D122" s="80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</row>
    <row r="123" spans="2:44" x14ac:dyDescent="0.35">
      <c r="AA123" s="60" t="s">
        <v>83</v>
      </c>
      <c r="AB123" s="60"/>
      <c r="AC123" s="60">
        <f>1/3</f>
        <v>0.33333333333333331</v>
      </c>
      <c r="AD123" s="60"/>
      <c r="AE123" s="60">
        <v>3</v>
      </c>
      <c r="AF123" s="60"/>
      <c r="AG123" s="60">
        <f>1/3</f>
        <v>0.33333333333333331</v>
      </c>
      <c r="AH123" s="60"/>
      <c r="AI123" s="60">
        <v>7</v>
      </c>
      <c r="AJ123" s="60"/>
      <c r="AK123" s="60">
        <v>5</v>
      </c>
      <c r="AL123" s="60"/>
      <c r="AM123" s="60">
        <f>1/5</f>
        <v>0.2</v>
      </c>
      <c r="AN123" s="60"/>
      <c r="AO123" s="60">
        <v>7</v>
      </c>
      <c r="AP123" s="60"/>
      <c r="AQ123" s="62">
        <v>1</v>
      </c>
      <c r="AR123" s="62"/>
    </row>
    <row r="124" spans="2:44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</row>
    <row r="125" spans="2:44" x14ac:dyDescent="0.35">
      <c r="B125" s="80" t="s">
        <v>19</v>
      </c>
      <c r="C125" s="80"/>
      <c r="D125" s="80"/>
      <c r="E125" s="2"/>
      <c r="F125" s="2"/>
      <c r="G125" s="3"/>
      <c r="H125" s="2"/>
      <c r="I125" s="2"/>
      <c r="J125" s="2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0" t="s">
        <v>31</v>
      </c>
      <c r="W125" s="80"/>
      <c r="X125" s="80"/>
    </row>
    <row r="126" spans="2:44" x14ac:dyDescent="0.35">
      <c r="B126" s="80" t="s">
        <v>19</v>
      </c>
      <c r="C126" s="80"/>
      <c r="D126" s="80"/>
      <c r="E126" s="2"/>
      <c r="F126" s="2"/>
      <c r="G126" s="2"/>
      <c r="H126" s="2"/>
      <c r="I126" s="3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</row>
    <row r="127" spans="2:44" x14ac:dyDescent="0.35">
      <c r="B127" s="80" t="s">
        <v>19</v>
      </c>
      <c r="C127" s="80"/>
      <c r="D127" s="80"/>
      <c r="E127" s="2"/>
      <c r="F127" s="2"/>
      <c r="G127" s="2"/>
      <c r="H127" s="2"/>
      <c r="I127" s="2"/>
      <c r="J127" s="2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</row>
    <row r="128" spans="2:44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5"/>
      <c r="R128" s="2"/>
      <c r="S128" s="2"/>
      <c r="T128" s="2"/>
      <c r="U128" s="3"/>
      <c r="V128" s="80" t="s">
        <v>22</v>
      </c>
      <c r="W128" s="80"/>
      <c r="X128" s="80"/>
    </row>
    <row r="129" spans="2:24" x14ac:dyDescent="0.35">
      <c r="B129" s="80" t="s">
        <v>19</v>
      </c>
      <c r="C129" s="80"/>
      <c r="D129" s="8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5"/>
      <c r="P129" s="2"/>
      <c r="Q129" s="2"/>
      <c r="R129" s="2"/>
      <c r="S129" s="2"/>
      <c r="T129" s="2"/>
      <c r="U129" s="3"/>
      <c r="V129" s="80" t="s">
        <v>83</v>
      </c>
      <c r="W129" s="80"/>
      <c r="X129" s="80"/>
    </row>
    <row r="131" spans="2:24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</row>
    <row r="132" spans="2:24" x14ac:dyDescent="0.35">
      <c r="B132" s="80" t="s">
        <v>31</v>
      </c>
      <c r="C132" s="80"/>
      <c r="D132" s="80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</row>
    <row r="133" spans="2:24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</row>
    <row r="134" spans="2:24" x14ac:dyDescent="0.35">
      <c r="B134" s="80" t="s">
        <v>31</v>
      </c>
      <c r="C134" s="80"/>
      <c r="D134" s="8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80" t="s">
        <v>22</v>
      </c>
      <c r="W134" s="80"/>
      <c r="X134" s="80"/>
    </row>
    <row r="135" spans="2:24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</row>
    <row r="137" spans="2:24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</row>
    <row r="138" spans="2:24" x14ac:dyDescent="0.35">
      <c r="B138" s="80" t="s">
        <v>20</v>
      </c>
      <c r="C138" s="80"/>
      <c r="D138" s="8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5"/>
      <c r="P138" s="2"/>
      <c r="Q138" s="2"/>
      <c r="R138" s="2"/>
      <c r="S138" s="3"/>
      <c r="T138" s="2"/>
      <c r="U138" s="2"/>
      <c r="V138" s="80" t="s">
        <v>21</v>
      </c>
      <c r="W138" s="80"/>
      <c r="X138" s="80"/>
    </row>
    <row r="139" spans="2:24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5"/>
      <c r="P139" s="2"/>
      <c r="Q139" s="2"/>
      <c r="R139" s="2"/>
      <c r="S139" s="2"/>
      <c r="T139" s="2"/>
      <c r="U139" s="3"/>
      <c r="V139" s="80" t="s">
        <v>22</v>
      </c>
      <c r="W139" s="80"/>
      <c r="X139" s="80"/>
    </row>
    <row r="140" spans="2:24" x14ac:dyDescent="0.35">
      <c r="B140" s="80" t="s">
        <v>20</v>
      </c>
      <c r="C140" s="80"/>
      <c r="D140" s="80"/>
      <c r="E140" s="5"/>
      <c r="F140" s="2"/>
      <c r="G140" s="2"/>
      <c r="H140" s="2"/>
      <c r="I140" s="3"/>
      <c r="J140" s="2"/>
      <c r="K140" s="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0" t="s">
        <v>83</v>
      </c>
      <c r="W140" s="80"/>
      <c r="X140" s="80"/>
    </row>
    <row r="142" spans="2:24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</row>
    <row r="143" spans="2:24" x14ac:dyDescent="0.35">
      <c r="B143" s="80" t="s">
        <v>21</v>
      </c>
      <c r="C143" s="80"/>
      <c r="D143" s="8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5"/>
      <c r="P143" s="2"/>
      <c r="Q143" s="2"/>
      <c r="R143" s="2"/>
      <c r="S143" s="2"/>
      <c r="T143" s="3"/>
      <c r="U143" s="2"/>
      <c r="V143" s="80" t="s">
        <v>22</v>
      </c>
      <c r="W143" s="80"/>
      <c r="X143" s="80"/>
    </row>
    <row r="144" spans="2:24" x14ac:dyDescent="0.35">
      <c r="B144" s="80" t="s">
        <v>21</v>
      </c>
      <c r="C144" s="80"/>
      <c r="D144" s="80"/>
      <c r="E144" s="5"/>
      <c r="F144" s="2"/>
      <c r="G144" s="2"/>
      <c r="H144" s="2"/>
      <c r="I144" s="2"/>
      <c r="J144" s="2"/>
      <c r="K144" s="5"/>
      <c r="L144" s="2"/>
      <c r="M144" s="2"/>
      <c r="N144" s="2"/>
      <c r="O144" s="2"/>
      <c r="P144" s="2"/>
      <c r="Q144" s="3"/>
      <c r="R144" s="2"/>
      <c r="S144" s="2"/>
      <c r="T144" s="2"/>
      <c r="U144" s="2"/>
      <c r="V144" s="80" t="s">
        <v>83</v>
      </c>
      <c r="W144" s="80"/>
      <c r="X144" s="80"/>
    </row>
    <row r="146" spans="2:34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</row>
    <row r="147" spans="2:34" x14ac:dyDescent="0.35">
      <c r="B147" s="80" t="s">
        <v>22</v>
      </c>
      <c r="C147" s="80"/>
      <c r="D147" s="80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5"/>
      <c r="P147" s="2"/>
      <c r="Q147" s="2"/>
      <c r="R147" s="2"/>
      <c r="S147" s="2"/>
      <c r="T147" s="2"/>
      <c r="U147" s="2"/>
      <c r="V147" s="80" t="s">
        <v>83</v>
      </c>
      <c r="W147" s="80"/>
      <c r="X147" s="80"/>
    </row>
    <row r="148" spans="2:34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2:34" x14ac:dyDescent="0.35">
      <c r="B149" s="8" t="s">
        <v>23</v>
      </c>
    </row>
    <row r="151" spans="2:34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</row>
    <row r="152" spans="2:34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3"/>
      <c r="K152" s="5"/>
      <c r="L152" s="2"/>
      <c r="M152" s="2"/>
      <c r="N152" s="2"/>
      <c r="O152" s="5"/>
      <c r="P152" s="2"/>
      <c r="Q152" s="2"/>
      <c r="R152" s="2"/>
      <c r="S152" s="2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</row>
    <row r="153" spans="2:34" x14ac:dyDescent="0.35">
      <c r="B153" s="80" t="s">
        <v>24</v>
      </c>
      <c r="C153" s="80"/>
      <c r="D153" s="80"/>
      <c r="E153" s="2"/>
      <c r="F153" s="2"/>
      <c r="G153" s="2"/>
      <c r="H153" s="2"/>
      <c r="I153" s="5"/>
      <c r="J153" s="2"/>
      <c r="K153" s="2"/>
      <c r="L153" s="2"/>
      <c r="M153" s="2"/>
      <c r="N153" s="2"/>
      <c r="O153" s="2"/>
      <c r="P153" s="2"/>
      <c r="Q153" s="3"/>
      <c r="R153" s="2"/>
      <c r="S153" s="2"/>
      <c r="T153" s="2"/>
      <c r="U153" s="2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f>1/4</f>
        <v>0.25</v>
      </c>
      <c r="AF153" s="60"/>
      <c r="AG153" s="63">
        <v>5</v>
      </c>
      <c r="AH153" s="64"/>
    </row>
    <row r="154" spans="2:34" x14ac:dyDescent="0.35">
      <c r="AA154" s="60"/>
      <c r="AB154" s="60"/>
      <c r="AC154" s="62"/>
      <c r="AD154" s="62"/>
      <c r="AE154" s="60"/>
      <c r="AF154" s="60"/>
      <c r="AG154" s="65"/>
      <c r="AH154" s="66"/>
    </row>
    <row r="155" spans="2:34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v>4</v>
      </c>
      <c r="AD155" s="60"/>
      <c r="AE155" s="62">
        <v>1</v>
      </c>
      <c r="AF155" s="62"/>
      <c r="AG155" s="60">
        <f>1/9</f>
        <v>0.1111111111111111</v>
      </c>
      <c r="AH155" s="60"/>
    </row>
    <row r="156" spans="2:34" x14ac:dyDescent="0.35">
      <c r="B156" s="80" t="s">
        <v>25</v>
      </c>
      <c r="C156" s="80"/>
      <c r="D156" s="80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5"/>
      <c r="R156" s="2"/>
      <c r="S156" s="2"/>
      <c r="T156" s="2"/>
      <c r="U156" s="2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</row>
    <row r="157" spans="2:34" x14ac:dyDescent="0.35">
      <c r="AA157" s="60" t="s">
        <v>26</v>
      </c>
      <c r="AB157" s="60"/>
      <c r="AC157" s="60">
        <f>1/5</f>
        <v>0.2</v>
      </c>
      <c r="AD157" s="60"/>
      <c r="AE157" s="60">
        <v>9</v>
      </c>
      <c r="AF157" s="60"/>
      <c r="AG157" s="62">
        <v>1</v>
      </c>
      <c r="AH157" s="62"/>
    </row>
    <row r="158" spans="2:34" x14ac:dyDescent="0.35">
      <c r="AA158" s="60"/>
      <c r="AB158" s="60"/>
      <c r="AC158" s="60"/>
      <c r="AD158" s="60"/>
      <c r="AE158" s="60"/>
      <c r="AF158" s="60"/>
      <c r="AG158" s="62"/>
      <c r="AH158" s="62"/>
    </row>
  </sheetData>
  <mergeCells count="521">
    <mergeCell ref="AC123:AD124"/>
    <mergeCell ref="AE123:AF124"/>
    <mergeCell ref="AG123:AH124"/>
    <mergeCell ref="AI123:AJ124"/>
    <mergeCell ref="AK123:AL124"/>
    <mergeCell ref="AM123:AN124"/>
    <mergeCell ref="AO123:AP124"/>
    <mergeCell ref="AQ123:AR124"/>
    <mergeCell ref="AA157:AB158"/>
    <mergeCell ref="AC157:AD158"/>
    <mergeCell ref="AE157:AF158"/>
    <mergeCell ref="AG157:AH158"/>
    <mergeCell ref="AA151:AB152"/>
    <mergeCell ref="AC151:AD152"/>
    <mergeCell ref="AE151:AF152"/>
    <mergeCell ref="AG151:AH152"/>
    <mergeCell ref="AA153:AB154"/>
    <mergeCell ref="AC153:AD154"/>
    <mergeCell ref="AE153:AF154"/>
    <mergeCell ref="AG153:AH154"/>
    <mergeCell ref="AA155:AB156"/>
    <mergeCell ref="AC155:AD156"/>
    <mergeCell ref="AE155:AF156"/>
    <mergeCell ref="AG155:AH156"/>
    <mergeCell ref="AC119:AD120"/>
    <mergeCell ref="AE119:AF120"/>
    <mergeCell ref="AG119:AH120"/>
    <mergeCell ref="AI119:AJ120"/>
    <mergeCell ref="AK119:AL120"/>
    <mergeCell ref="AM119:AN120"/>
    <mergeCell ref="AO119:AP120"/>
    <mergeCell ref="AQ119:AR120"/>
    <mergeCell ref="AC121:AD122"/>
    <mergeCell ref="AE121:AF122"/>
    <mergeCell ref="AG121:AH122"/>
    <mergeCell ref="AI121:AJ122"/>
    <mergeCell ref="AK121:AL122"/>
    <mergeCell ref="AM121:AN122"/>
    <mergeCell ref="AO121:AP122"/>
    <mergeCell ref="AQ121:AR122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Q117:AR118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AQ115:AR116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Q113:AR114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Q111:AR112"/>
    <mergeCell ref="AA109:AB110"/>
    <mergeCell ref="AC109:AD110"/>
    <mergeCell ref="AE109:AF110"/>
    <mergeCell ref="AG109:AH110"/>
    <mergeCell ref="AI109:AJ110"/>
    <mergeCell ref="AK109:AL110"/>
    <mergeCell ref="AM109:AN110"/>
    <mergeCell ref="AO109:AP110"/>
    <mergeCell ref="AQ109:AR110"/>
    <mergeCell ref="AA107:AB108"/>
    <mergeCell ref="AC107:AD108"/>
    <mergeCell ref="AE107:AF108"/>
    <mergeCell ref="AG107:AH108"/>
    <mergeCell ref="AI107:AJ108"/>
    <mergeCell ref="AK107:AL108"/>
    <mergeCell ref="AM107:AN108"/>
    <mergeCell ref="AO107:AP108"/>
    <mergeCell ref="AQ107:AR108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AA103:AB104"/>
    <mergeCell ref="AC103:AD104"/>
    <mergeCell ref="AE103:AF104"/>
    <mergeCell ref="AG103:AH104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AA97:AB98"/>
    <mergeCell ref="AC97:AD98"/>
    <mergeCell ref="AE97:AF98"/>
    <mergeCell ref="AG97:AH98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5:AB76"/>
    <mergeCell ref="AC75:AD76"/>
    <mergeCell ref="AE75:AF76"/>
    <mergeCell ref="AG75:AH76"/>
    <mergeCell ref="AI75:AJ76"/>
    <mergeCell ref="AK75:AL76"/>
    <mergeCell ref="AM75:AN76"/>
    <mergeCell ref="AO75:AP76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E2:U2"/>
    <mergeCell ref="B4:C4"/>
    <mergeCell ref="B6:D6"/>
    <mergeCell ref="V6:X6"/>
    <mergeCell ref="AA6:AB7"/>
    <mergeCell ref="AC6:AD7"/>
    <mergeCell ref="AO8:AP9"/>
    <mergeCell ref="AQ8:AR9"/>
    <mergeCell ref="AS8:AT9"/>
    <mergeCell ref="AQ6:AR7"/>
    <mergeCell ref="AS6:AT7"/>
    <mergeCell ref="B7:D7"/>
    <mergeCell ref="V7:X7"/>
    <mergeCell ref="B8:D8"/>
    <mergeCell ref="V8:X8"/>
    <mergeCell ref="AA8:AB9"/>
    <mergeCell ref="AC8:AD9"/>
    <mergeCell ref="AE8:AF9"/>
    <mergeCell ref="AG8:AH9"/>
    <mergeCell ref="AE6:AF7"/>
    <mergeCell ref="AG6:AH7"/>
    <mergeCell ref="AI6:AJ7"/>
    <mergeCell ref="AK6:AL7"/>
    <mergeCell ref="AM6:AN7"/>
    <mergeCell ref="AO6:AP7"/>
    <mergeCell ref="B9:D9"/>
    <mergeCell ref="V9:X9"/>
    <mergeCell ref="B10:D10"/>
    <mergeCell ref="V10:X10"/>
    <mergeCell ref="AA10:AB11"/>
    <mergeCell ref="AC10:AD11"/>
    <mergeCell ref="AI8:AJ9"/>
    <mergeCell ref="AK8:AL9"/>
    <mergeCell ref="AM8:AN9"/>
    <mergeCell ref="B11:D11"/>
    <mergeCell ref="V11:X11"/>
    <mergeCell ref="B12:D12"/>
    <mergeCell ref="V12:X12"/>
    <mergeCell ref="AA12:AB13"/>
    <mergeCell ref="AC12:AD13"/>
    <mergeCell ref="AE12:AF13"/>
    <mergeCell ref="AG12:AH13"/>
    <mergeCell ref="AE10:AF11"/>
    <mergeCell ref="AG10:AH11"/>
    <mergeCell ref="B13:D13"/>
    <mergeCell ref="V13:X13"/>
    <mergeCell ref="AI12:AJ13"/>
    <mergeCell ref="AK12:AL13"/>
    <mergeCell ref="AM12:AN13"/>
    <mergeCell ref="AM16:AN17"/>
    <mergeCell ref="AO16:AP17"/>
    <mergeCell ref="AO12:AP13"/>
    <mergeCell ref="AQ12:AR13"/>
    <mergeCell ref="AS12:AT13"/>
    <mergeCell ref="AQ10:AR11"/>
    <mergeCell ref="AS10:AT11"/>
    <mergeCell ref="AI10:AJ11"/>
    <mergeCell ref="AK10:AL11"/>
    <mergeCell ref="AM10:AN11"/>
    <mergeCell ref="AO10:AP11"/>
    <mergeCell ref="AQ16:AR17"/>
    <mergeCell ref="AS16:AT17"/>
    <mergeCell ref="B17:D17"/>
    <mergeCell ref="V17:X17"/>
    <mergeCell ref="AQ14:AR15"/>
    <mergeCell ref="AS14:AT15"/>
    <mergeCell ref="B16:D16"/>
    <mergeCell ref="V16:X16"/>
    <mergeCell ref="AA16:AB17"/>
    <mergeCell ref="AC16:AD17"/>
    <mergeCell ref="AE16:AF17"/>
    <mergeCell ref="AG16:AH17"/>
    <mergeCell ref="AI16:AJ17"/>
    <mergeCell ref="AK16:AL17"/>
    <mergeCell ref="AE14:AF15"/>
    <mergeCell ref="AG14:AH15"/>
    <mergeCell ref="AI14:AJ15"/>
    <mergeCell ref="AK14:AL15"/>
    <mergeCell ref="AM14:AN15"/>
    <mergeCell ref="AO14:AP15"/>
    <mergeCell ref="B14:D14"/>
    <mergeCell ref="V14:X14"/>
    <mergeCell ref="AA14:AB15"/>
    <mergeCell ref="AC14:AD15"/>
    <mergeCell ref="AI18:AJ19"/>
    <mergeCell ref="AK18:AL19"/>
    <mergeCell ref="AM18:AN19"/>
    <mergeCell ref="AO18:AP19"/>
    <mergeCell ref="AQ18:AR19"/>
    <mergeCell ref="AS18:AT19"/>
    <mergeCell ref="B18:D18"/>
    <mergeCell ref="V18:X18"/>
    <mergeCell ref="AA18:AB19"/>
    <mergeCell ref="AC18:AD19"/>
    <mergeCell ref="AE18:AF19"/>
    <mergeCell ref="AG18:AH19"/>
    <mergeCell ref="B19:D19"/>
    <mergeCell ref="V19:X19"/>
    <mergeCell ref="AI20:AJ21"/>
    <mergeCell ref="AK20:AL21"/>
    <mergeCell ref="AM20:AN21"/>
    <mergeCell ref="AO20:AP21"/>
    <mergeCell ref="AQ20:AR21"/>
    <mergeCell ref="AS20:AT21"/>
    <mergeCell ref="B20:D20"/>
    <mergeCell ref="V20:X20"/>
    <mergeCell ref="AA20:AB21"/>
    <mergeCell ref="AC20:AD21"/>
    <mergeCell ref="AE20:AF21"/>
    <mergeCell ref="AG20:AH21"/>
    <mergeCell ref="B21:D21"/>
    <mergeCell ref="V21:X21"/>
    <mergeCell ref="AI22:AJ23"/>
    <mergeCell ref="AK22:AL23"/>
    <mergeCell ref="AM22:AN23"/>
    <mergeCell ref="AO22:AP23"/>
    <mergeCell ref="AQ22:AR23"/>
    <mergeCell ref="AS22:AT23"/>
    <mergeCell ref="B22:D22"/>
    <mergeCell ref="V22:X22"/>
    <mergeCell ref="AA22:AB23"/>
    <mergeCell ref="AC22:AD23"/>
    <mergeCell ref="AE22:AF23"/>
    <mergeCell ref="AG22:AH23"/>
    <mergeCell ref="B23:D23"/>
    <mergeCell ref="V23:X23"/>
    <mergeCell ref="AS24:AT25"/>
    <mergeCell ref="B25:D25"/>
    <mergeCell ref="V25:X25"/>
    <mergeCell ref="AA24:AB25"/>
    <mergeCell ref="AC24:AD25"/>
    <mergeCell ref="AE24:AF25"/>
    <mergeCell ref="AG24:AH25"/>
    <mergeCell ref="AI24:AJ25"/>
    <mergeCell ref="AK24:AL25"/>
    <mergeCell ref="B26:D26"/>
    <mergeCell ref="V26:X26"/>
    <mergeCell ref="B27:D27"/>
    <mergeCell ref="V27:X27"/>
    <mergeCell ref="B28:D28"/>
    <mergeCell ref="V28:X28"/>
    <mergeCell ref="AM24:AN25"/>
    <mergeCell ref="AO24:AP25"/>
    <mergeCell ref="AQ24:AR25"/>
    <mergeCell ref="B33:D33"/>
    <mergeCell ref="V33:X33"/>
    <mergeCell ref="B34:D34"/>
    <mergeCell ref="V34:X34"/>
    <mergeCell ref="B35:D35"/>
    <mergeCell ref="V35:X35"/>
    <mergeCell ref="B29:D29"/>
    <mergeCell ref="V29:X29"/>
    <mergeCell ref="B30:D30"/>
    <mergeCell ref="V30:X30"/>
    <mergeCell ref="B31:D31"/>
    <mergeCell ref="V31:X31"/>
    <mergeCell ref="B40:D40"/>
    <mergeCell ref="V40:X40"/>
    <mergeCell ref="B41:D41"/>
    <mergeCell ref="V41:X41"/>
    <mergeCell ref="B42:D42"/>
    <mergeCell ref="V42:X42"/>
    <mergeCell ref="B36:D36"/>
    <mergeCell ref="V36:X36"/>
    <mergeCell ref="B37:D37"/>
    <mergeCell ref="V37:X37"/>
    <mergeCell ref="B38:D38"/>
    <mergeCell ref="V38:X38"/>
    <mergeCell ref="B47:D47"/>
    <mergeCell ref="V47:X47"/>
    <mergeCell ref="B48:D48"/>
    <mergeCell ref="V48:X48"/>
    <mergeCell ref="B49:D49"/>
    <mergeCell ref="V49:X49"/>
    <mergeCell ref="B43:D43"/>
    <mergeCell ref="V43:X43"/>
    <mergeCell ref="B44:D44"/>
    <mergeCell ref="V44:X44"/>
    <mergeCell ref="B46:D46"/>
    <mergeCell ref="V46:X46"/>
    <mergeCell ref="B55:D55"/>
    <mergeCell ref="V55:X55"/>
    <mergeCell ref="B56:D56"/>
    <mergeCell ref="V56:X56"/>
    <mergeCell ref="B59:C59"/>
    <mergeCell ref="B61:D61"/>
    <mergeCell ref="V61:X61"/>
    <mergeCell ref="B51:D51"/>
    <mergeCell ref="V51:X51"/>
    <mergeCell ref="B52:D52"/>
    <mergeCell ref="V52:X52"/>
    <mergeCell ref="B53:D53"/>
    <mergeCell ref="V53:X53"/>
    <mergeCell ref="B65:D65"/>
    <mergeCell ref="V65:X65"/>
    <mergeCell ref="B66:D66"/>
    <mergeCell ref="V66:X66"/>
    <mergeCell ref="B67:D67"/>
    <mergeCell ref="V67:X67"/>
    <mergeCell ref="B62:D62"/>
    <mergeCell ref="V62:X62"/>
    <mergeCell ref="B63:D63"/>
    <mergeCell ref="V63:X63"/>
    <mergeCell ref="B64:D64"/>
    <mergeCell ref="V64:X64"/>
    <mergeCell ref="B72:D72"/>
    <mergeCell ref="V72:X72"/>
    <mergeCell ref="B73:D73"/>
    <mergeCell ref="V73:X73"/>
    <mergeCell ref="B74:D74"/>
    <mergeCell ref="V74:X74"/>
    <mergeCell ref="B69:D69"/>
    <mergeCell ref="V69:X69"/>
    <mergeCell ref="B70:D70"/>
    <mergeCell ref="V70:X70"/>
    <mergeCell ref="B71:D71"/>
    <mergeCell ref="V71:X71"/>
    <mergeCell ref="B79:D79"/>
    <mergeCell ref="V79:X79"/>
    <mergeCell ref="B80:D80"/>
    <mergeCell ref="V80:X80"/>
    <mergeCell ref="B82:D82"/>
    <mergeCell ref="V82:X82"/>
    <mergeCell ref="B76:D76"/>
    <mergeCell ref="V76:X76"/>
    <mergeCell ref="B77:D77"/>
    <mergeCell ref="V77:X77"/>
    <mergeCell ref="B78:D78"/>
    <mergeCell ref="V78:X78"/>
    <mergeCell ref="B87:D87"/>
    <mergeCell ref="V87:X87"/>
    <mergeCell ref="B88:D88"/>
    <mergeCell ref="V88:X88"/>
    <mergeCell ref="B89:D89"/>
    <mergeCell ref="V89:X89"/>
    <mergeCell ref="B83:D83"/>
    <mergeCell ref="V83:X83"/>
    <mergeCell ref="B84:D84"/>
    <mergeCell ref="V84:X84"/>
    <mergeCell ref="B85:D85"/>
    <mergeCell ref="V85:X85"/>
    <mergeCell ref="B98:D98"/>
    <mergeCell ref="V98:X98"/>
    <mergeCell ref="B99:D99"/>
    <mergeCell ref="V99:X99"/>
    <mergeCell ref="B101:D101"/>
    <mergeCell ref="V101:X101"/>
    <mergeCell ref="B91:D91"/>
    <mergeCell ref="V91:X91"/>
    <mergeCell ref="B92:D92"/>
    <mergeCell ref="V92:X92"/>
    <mergeCell ref="B95:D95"/>
    <mergeCell ref="B97:D97"/>
    <mergeCell ref="V97:X97"/>
    <mergeCell ref="B109:D109"/>
    <mergeCell ref="V109:X109"/>
    <mergeCell ref="B110:D110"/>
    <mergeCell ref="V110:X110"/>
    <mergeCell ref="B111:D111"/>
    <mergeCell ref="V111:X111"/>
    <mergeCell ref="B102:D102"/>
    <mergeCell ref="V102:X102"/>
    <mergeCell ref="B107:D107"/>
    <mergeCell ref="V107:X107"/>
    <mergeCell ref="B108:D108"/>
    <mergeCell ref="V108:X108"/>
    <mergeCell ref="B116:D116"/>
    <mergeCell ref="V116:X116"/>
    <mergeCell ref="B117:D117"/>
    <mergeCell ref="V117:X117"/>
    <mergeCell ref="B118:D118"/>
    <mergeCell ref="V118:X118"/>
    <mergeCell ref="B112:D112"/>
    <mergeCell ref="V112:X112"/>
    <mergeCell ref="B113:D113"/>
    <mergeCell ref="V113:X113"/>
    <mergeCell ref="B114:D114"/>
    <mergeCell ref="V114:X114"/>
    <mergeCell ref="B122:D122"/>
    <mergeCell ref="V122:X122"/>
    <mergeCell ref="B124:D124"/>
    <mergeCell ref="V124:X124"/>
    <mergeCell ref="B125:D125"/>
    <mergeCell ref="V125:X125"/>
    <mergeCell ref="AA121:AB122"/>
    <mergeCell ref="B119:D119"/>
    <mergeCell ref="V119:X119"/>
    <mergeCell ref="B120:D120"/>
    <mergeCell ref="V120:X120"/>
    <mergeCell ref="B121:D121"/>
    <mergeCell ref="V121:X121"/>
    <mergeCell ref="AA119:AB120"/>
    <mergeCell ref="AA123:AB124"/>
    <mergeCell ref="B129:D129"/>
    <mergeCell ref="V129:X129"/>
    <mergeCell ref="B131:D131"/>
    <mergeCell ref="V131:X131"/>
    <mergeCell ref="B132:D132"/>
    <mergeCell ref="V132:X132"/>
    <mergeCell ref="B126:D126"/>
    <mergeCell ref="V126:X126"/>
    <mergeCell ref="B127:D127"/>
    <mergeCell ref="V127:X127"/>
    <mergeCell ref="B128:D128"/>
    <mergeCell ref="V128:X128"/>
    <mergeCell ref="B137:D137"/>
    <mergeCell ref="V137:X137"/>
    <mergeCell ref="B138:D138"/>
    <mergeCell ref="V138:X138"/>
    <mergeCell ref="B139:D139"/>
    <mergeCell ref="V139:X139"/>
    <mergeCell ref="B133:D133"/>
    <mergeCell ref="V133:X133"/>
    <mergeCell ref="B134:D134"/>
    <mergeCell ref="V134:X134"/>
    <mergeCell ref="B135:D135"/>
    <mergeCell ref="V135:X135"/>
    <mergeCell ref="B144:D144"/>
    <mergeCell ref="V144:X144"/>
    <mergeCell ref="B146:D146"/>
    <mergeCell ref="V146:X146"/>
    <mergeCell ref="B147:D147"/>
    <mergeCell ref="V147:X147"/>
    <mergeCell ref="B140:D140"/>
    <mergeCell ref="V140:X140"/>
    <mergeCell ref="B142:D142"/>
    <mergeCell ref="V142:X142"/>
    <mergeCell ref="B143:D143"/>
    <mergeCell ref="V143:X143"/>
    <mergeCell ref="B155:D155"/>
    <mergeCell ref="V155:X155"/>
    <mergeCell ref="B156:D156"/>
    <mergeCell ref="V156:X156"/>
    <mergeCell ref="B151:D151"/>
    <mergeCell ref="V151:X151"/>
    <mergeCell ref="B152:D152"/>
    <mergeCell ref="V152:X152"/>
    <mergeCell ref="B153:D153"/>
    <mergeCell ref="V153:X1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C530-13CA-4CC5-805F-0BD87AE1F5A5}">
  <dimension ref="B2:AT158"/>
  <sheetViews>
    <sheetView topLeftCell="O133" zoomScale="70" workbookViewId="0">
      <selection activeCell="AA6" sqref="AA6:AT158"/>
    </sheetView>
  </sheetViews>
  <sheetFormatPr defaultRowHeight="14.5" x14ac:dyDescent="0.35"/>
  <cols>
    <col min="4" max="4" width="10.81640625" customWidth="1"/>
    <col min="5" max="21" width="2.54296875" customWidth="1"/>
  </cols>
  <sheetData>
    <row r="2" spans="2:46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</row>
    <row r="4" spans="2:46" x14ac:dyDescent="0.35">
      <c r="B4" s="85" t="s">
        <v>1</v>
      </c>
      <c r="C4" s="85"/>
    </row>
    <row r="6" spans="2:46" ht="15" customHeight="1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79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80</v>
      </c>
      <c r="AR6" s="60"/>
      <c r="AS6" s="60" t="s">
        <v>33</v>
      </c>
      <c r="AT6" s="60"/>
    </row>
    <row r="7" spans="2:46" x14ac:dyDescent="0.35">
      <c r="B7" s="80" t="s">
        <v>78</v>
      </c>
      <c r="C7" s="80"/>
      <c r="D7" s="80"/>
      <c r="E7" s="2"/>
      <c r="G7" s="2"/>
      <c r="H7" s="2"/>
      <c r="I7" s="2"/>
      <c r="J7" s="2"/>
      <c r="K7" s="4"/>
      <c r="L7" s="2"/>
      <c r="M7" s="2"/>
      <c r="N7" s="2"/>
      <c r="O7" s="10"/>
      <c r="P7" s="2"/>
      <c r="Q7" s="2"/>
      <c r="R7" s="2"/>
      <c r="S7" s="2"/>
      <c r="T7" s="2"/>
      <c r="U7" s="2"/>
      <c r="V7" s="80" t="s">
        <v>79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</row>
    <row r="8" spans="2:46" ht="15" customHeight="1" x14ac:dyDescent="0.35">
      <c r="B8" s="80" t="s">
        <v>78</v>
      </c>
      <c r="C8" s="80"/>
      <c r="D8" s="80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5"/>
      <c r="R8" s="2"/>
      <c r="S8" s="2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v>3</v>
      </c>
      <c r="AF8" s="60"/>
      <c r="AG8" s="63">
        <f>1/9</f>
        <v>0.1111111111111111</v>
      </c>
      <c r="AH8" s="64"/>
      <c r="AI8" s="60">
        <v>7</v>
      </c>
      <c r="AJ8" s="60"/>
      <c r="AK8" s="60">
        <v>7</v>
      </c>
      <c r="AL8" s="60"/>
      <c r="AM8" s="60">
        <v>3</v>
      </c>
      <c r="AN8" s="60"/>
      <c r="AO8" s="60">
        <f>1/7</f>
        <v>0.14285714285714285</v>
      </c>
      <c r="AP8" s="60"/>
      <c r="AQ8" s="60">
        <f>1/4</f>
        <v>0.25</v>
      </c>
      <c r="AR8" s="60"/>
      <c r="AS8" s="60">
        <f>1/5</f>
        <v>0.2</v>
      </c>
      <c r="AT8" s="60"/>
    </row>
    <row r="9" spans="2:46" x14ac:dyDescent="0.35">
      <c r="B9" s="80" t="s">
        <v>78</v>
      </c>
      <c r="C9" s="80"/>
      <c r="D9" s="80"/>
      <c r="E9" s="2"/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</row>
    <row r="10" spans="2:46" ht="15" customHeight="1" x14ac:dyDescent="0.35">
      <c r="B10" s="80" t="s">
        <v>78</v>
      </c>
      <c r="C10" s="80"/>
      <c r="D10" s="80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"/>
      <c r="T10" s="2"/>
      <c r="U10" s="2"/>
      <c r="V10" s="80" t="s">
        <v>6</v>
      </c>
      <c r="W10" s="80"/>
      <c r="X10" s="80"/>
      <c r="AA10" s="60" t="s">
        <v>79</v>
      </c>
      <c r="AB10" s="60"/>
      <c r="AC10" s="60">
        <f>1/3</f>
        <v>0.33333333333333331</v>
      </c>
      <c r="AD10" s="60"/>
      <c r="AE10" s="62">
        <v>1</v>
      </c>
      <c r="AF10" s="62"/>
      <c r="AG10" s="60">
        <f>1/9</f>
        <v>0.1111111111111111</v>
      </c>
      <c r="AH10" s="60"/>
      <c r="AI10" s="60">
        <v>7</v>
      </c>
      <c r="AJ10" s="60"/>
      <c r="AK10" s="60">
        <f>1/7</f>
        <v>0.14285714285714285</v>
      </c>
      <c r="AL10" s="60"/>
      <c r="AM10" s="60">
        <v>7</v>
      </c>
      <c r="AN10" s="60"/>
      <c r="AO10" s="60">
        <f>1/7</f>
        <v>0.14285714285714285</v>
      </c>
      <c r="AP10" s="60"/>
      <c r="AQ10" s="60">
        <v>5</v>
      </c>
      <c r="AR10" s="60"/>
      <c r="AS10" s="60">
        <v>3</v>
      </c>
      <c r="AT10" s="60"/>
    </row>
    <row r="11" spans="2:46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</row>
    <row r="12" spans="2:46" ht="15" customHeight="1" x14ac:dyDescent="0.35">
      <c r="B12" s="80" t="s">
        <v>78</v>
      </c>
      <c r="C12" s="80"/>
      <c r="D12" s="80"/>
      <c r="E12" s="2"/>
      <c r="F12" s="2"/>
      <c r="G12" s="3"/>
      <c r="H12" s="2"/>
      <c r="I12" s="2"/>
      <c r="J12" s="2"/>
      <c r="K12" s="2"/>
      <c r="L12" s="2"/>
      <c r="M12" s="2"/>
      <c r="N12" s="2"/>
      <c r="O12" s="2"/>
      <c r="P12" s="2"/>
      <c r="Q12" s="5"/>
      <c r="R12" s="2"/>
      <c r="S12" s="2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v>9</v>
      </c>
      <c r="AD12" s="60"/>
      <c r="AE12" s="60">
        <v>9</v>
      </c>
      <c r="AF12" s="60"/>
      <c r="AG12" s="62">
        <v>1</v>
      </c>
      <c r="AH12" s="62"/>
      <c r="AI12" s="60">
        <v>9</v>
      </c>
      <c r="AJ12" s="60"/>
      <c r="AK12" s="60">
        <f>1/7</f>
        <v>0.14285714285714285</v>
      </c>
      <c r="AL12" s="60"/>
      <c r="AM12" s="60">
        <v>7</v>
      </c>
      <c r="AN12" s="60"/>
      <c r="AO12" s="60">
        <f>1/5</f>
        <v>0.2</v>
      </c>
      <c r="AP12" s="60"/>
      <c r="AQ12" s="60">
        <v>5</v>
      </c>
      <c r="AR12" s="60"/>
      <c r="AS12" s="60">
        <v>7</v>
      </c>
      <c r="AT12" s="60"/>
    </row>
    <row r="13" spans="2:46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3"/>
      <c r="K13" s="2"/>
      <c r="L13" s="5"/>
      <c r="M13" s="2"/>
      <c r="N13" s="2"/>
      <c r="O13" s="2"/>
      <c r="P13" s="2"/>
      <c r="Q13" s="2"/>
      <c r="R13" s="2"/>
      <c r="S13" s="2"/>
      <c r="T13" s="2"/>
      <c r="U13" s="5"/>
      <c r="V13" s="80" t="s">
        <v>80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</row>
    <row r="14" spans="2:46" ht="15" customHeight="1" x14ac:dyDescent="0.35">
      <c r="B14" s="80" t="s">
        <v>78</v>
      </c>
      <c r="C14" s="80"/>
      <c r="D14" s="80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5"/>
      <c r="T14" s="2"/>
      <c r="U14" s="2"/>
      <c r="V14" s="80" t="s">
        <v>9</v>
      </c>
      <c r="W14" s="80"/>
      <c r="X14" s="80"/>
      <c r="AA14" s="60" t="s">
        <v>5</v>
      </c>
      <c r="AB14" s="60"/>
      <c r="AC14" s="60">
        <f>1/7</f>
        <v>0.14285714285714285</v>
      </c>
      <c r="AD14" s="60"/>
      <c r="AE14" s="60">
        <f>1/7</f>
        <v>0.14285714285714285</v>
      </c>
      <c r="AF14" s="60"/>
      <c r="AG14" s="60">
        <f>1/9</f>
        <v>0.1111111111111111</v>
      </c>
      <c r="AH14" s="60"/>
      <c r="AI14" s="62">
        <v>1</v>
      </c>
      <c r="AJ14" s="62"/>
      <c r="AK14" s="60">
        <f>1/5</f>
        <v>0.2</v>
      </c>
      <c r="AL14" s="60"/>
      <c r="AM14" s="60">
        <v>9</v>
      </c>
      <c r="AN14" s="60"/>
      <c r="AO14" s="60">
        <v>7</v>
      </c>
      <c r="AP14" s="60"/>
      <c r="AQ14" s="60">
        <v>9</v>
      </c>
      <c r="AR14" s="60"/>
      <c r="AS14" s="60"/>
      <c r="AT14" s="60"/>
    </row>
    <row r="15" spans="2:46" x14ac:dyDescent="0.3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</row>
    <row r="16" spans="2:46" ht="15" customHeight="1" x14ac:dyDescent="0.35">
      <c r="B16" s="79" t="s">
        <v>2</v>
      </c>
      <c r="C16" s="79"/>
      <c r="D16" s="79"/>
      <c r="E16" s="2">
        <v>9</v>
      </c>
      <c r="F16" s="2">
        <v>8</v>
      </c>
      <c r="G16" s="2">
        <v>7</v>
      </c>
      <c r="H16" s="2">
        <v>6</v>
      </c>
      <c r="I16" s="2">
        <v>5</v>
      </c>
      <c r="J16" s="2">
        <v>4</v>
      </c>
      <c r="K16" s="2">
        <v>3</v>
      </c>
      <c r="L16" s="2">
        <v>2</v>
      </c>
      <c r="M16" s="2">
        <v>1</v>
      </c>
      <c r="N16" s="2">
        <v>2</v>
      </c>
      <c r="O16" s="2">
        <v>3</v>
      </c>
      <c r="P16" s="2">
        <v>4</v>
      </c>
      <c r="Q16" s="2">
        <v>5</v>
      </c>
      <c r="R16" s="2">
        <v>6</v>
      </c>
      <c r="S16" s="2">
        <v>7</v>
      </c>
      <c r="T16" s="2">
        <v>8</v>
      </c>
      <c r="U16" s="2">
        <v>9</v>
      </c>
      <c r="V16" s="79" t="s">
        <v>3</v>
      </c>
      <c r="W16" s="79"/>
      <c r="X16" s="79"/>
      <c r="AA16" s="60" t="s">
        <v>32</v>
      </c>
      <c r="AB16" s="60"/>
      <c r="AC16" s="60">
        <f>1/7</f>
        <v>0.14285714285714285</v>
      </c>
      <c r="AD16" s="60"/>
      <c r="AE16" s="60">
        <v>7</v>
      </c>
      <c r="AF16" s="60"/>
      <c r="AG16" s="60">
        <v>7</v>
      </c>
      <c r="AH16" s="60"/>
      <c r="AI16" s="60">
        <v>5</v>
      </c>
      <c r="AJ16" s="60"/>
      <c r="AK16" s="62">
        <v>1</v>
      </c>
      <c r="AL16" s="62"/>
      <c r="AM16" s="60">
        <v>9</v>
      </c>
      <c r="AN16" s="60"/>
      <c r="AO16" s="60">
        <f>1/5</f>
        <v>0.2</v>
      </c>
      <c r="AP16" s="60"/>
      <c r="AQ16" s="60">
        <v>7</v>
      </c>
      <c r="AR16" s="60"/>
      <c r="AS16" s="60">
        <v>9</v>
      </c>
      <c r="AT16" s="60"/>
    </row>
    <row r="17" spans="2:46" x14ac:dyDescent="0.35">
      <c r="B17" s="80" t="s">
        <v>79</v>
      </c>
      <c r="C17" s="80"/>
      <c r="D17" s="80"/>
      <c r="E17" s="3"/>
      <c r="F17" s="2"/>
      <c r="G17" s="2"/>
      <c r="H17" s="2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</row>
    <row r="18" spans="2:46" ht="15" customHeight="1" x14ac:dyDescent="0.35">
      <c r="B18" s="80" t="s">
        <v>79</v>
      </c>
      <c r="C18" s="80"/>
      <c r="D18" s="80"/>
      <c r="E18" s="2"/>
      <c r="F18" s="2"/>
      <c r="G18" s="2"/>
      <c r="H18" s="2"/>
      <c r="I18" s="2"/>
      <c r="J18" s="2"/>
      <c r="K18" s="5"/>
      <c r="L18" s="2"/>
      <c r="M18" s="2"/>
      <c r="N18" s="2"/>
      <c r="O18" s="2"/>
      <c r="P18" s="2"/>
      <c r="Q18" s="2"/>
      <c r="R18" s="2"/>
      <c r="S18" s="3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f>1/3</f>
        <v>0.33333333333333331</v>
      </c>
      <c r="AD18" s="60"/>
      <c r="AE18" s="60">
        <f>1/7</f>
        <v>0.14285714285714285</v>
      </c>
      <c r="AF18" s="60"/>
      <c r="AG18" s="60">
        <f>1/7</f>
        <v>0.14285714285714285</v>
      </c>
      <c r="AH18" s="60"/>
      <c r="AI18" s="60">
        <f>1/9</f>
        <v>0.1111111111111111</v>
      </c>
      <c r="AJ18" s="60"/>
      <c r="AK18" s="60">
        <f>1/9</f>
        <v>0.1111111111111111</v>
      </c>
      <c r="AL18" s="60"/>
      <c r="AM18" s="62">
        <v>1</v>
      </c>
      <c r="AN18" s="62"/>
      <c r="AO18" s="60">
        <f>1/7</f>
        <v>0.14285714285714285</v>
      </c>
      <c r="AP18" s="60"/>
      <c r="AQ18" s="60">
        <v>7</v>
      </c>
      <c r="AR18" s="60"/>
      <c r="AS18" s="60">
        <v>5</v>
      </c>
      <c r="AT18" s="60"/>
    </row>
    <row r="19" spans="2:46" x14ac:dyDescent="0.35">
      <c r="B19" s="80" t="s">
        <v>79</v>
      </c>
      <c r="C19" s="80"/>
      <c r="D19" s="80"/>
      <c r="E19" s="2"/>
      <c r="F19" s="2"/>
      <c r="G19" s="3"/>
      <c r="H19" s="2"/>
      <c r="I19" s="2"/>
      <c r="J19" s="2"/>
      <c r="K19" s="5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</row>
    <row r="20" spans="2:46" ht="15" customHeight="1" x14ac:dyDescent="0.35">
      <c r="B20" s="80" t="s">
        <v>79</v>
      </c>
      <c r="C20" s="80"/>
      <c r="D20" s="8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v>7</v>
      </c>
      <c r="AD20" s="60"/>
      <c r="AE20" s="60">
        <v>9</v>
      </c>
      <c r="AF20" s="60"/>
      <c r="AG20" s="60">
        <v>5</v>
      </c>
      <c r="AH20" s="60"/>
      <c r="AI20" s="60">
        <f>1/7</f>
        <v>0.14285714285714285</v>
      </c>
      <c r="AJ20" s="60"/>
      <c r="AK20" s="60">
        <v>5</v>
      </c>
      <c r="AL20" s="60"/>
      <c r="AM20" s="60">
        <v>7</v>
      </c>
      <c r="AN20" s="60"/>
      <c r="AO20" s="62">
        <v>1</v>
      </c>
      <c r="AP20" s="62"/>
      <c r="AQ20" s="60">
        <v>9</v>
      </c>
      <c r="AR20" s="60"/>
      <c r="AS20" s="61">
        <f>1/9</f>
        <v>0.1111111111111111</v>
      </c>
      <c r="AT20" s="61"/>
    </row>
    <row r="21" spans="2:46" x14ac:dyDescent="0.35">
      <c r="B21" s="80" t="s">
        <v>79</v>
      </c>
      <c r="C21" s="80"/>
      <c r="D21" s="80"/>
      <c r="E21" s="3"/>
      <c r="F21" s="2"/>
      <c r="G21" s="2"/>
      <c r="H21" s="2"/>
      <c r="I21" s="2"/>
      <c r="J21" s="2"/>
      <c r="K21" s="2"/>
      <c r="L21" s="2"/>
      <c r="M21" s="2"/>
      <c r="N21" s="2"/>
      <c r="O21" s="5"/>
      <c r="P21" s="2"/>
      <c r="Q21" s="2"/>
      <c r="R21" s="2"/>
      <c r="S21" s="2"/>
      <c r="T21" s="2"/>
      <c r="U21" s="5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1"/>
      <c r="AT21" s="61"/>
    </row>
    <row r="22" spans="2:46" ht="15" customHeight="1" x14ac:dyDescent="0.35">
      <c r="B22" s="80" t="s">
        <v>79</v>
      </c>
      <c r="C22" s="80"/>
      <c r="D22" s="8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/>
      <c r="R22" s="2"/>
      <c r="S22" s="2"/>
      <c r="T22" s="2"/>
      <c r="U22" s="2"/>
      <c r="V22" s="80" t="s">
        <v>80</v>
      </c>
      <c r="W22" s="80"/>
      <c r="X22" s="80"/>
      <c r="AA22" s="60" t="s">
        <v>80</v>
      </c>
      <c r="AB22" s="60"/>
      <c r="AC22" s="60">
        <v>4</v>
      </c>
      <c r="AD22" s="60"/>
      <c r="AE22" s="60">
        <f>1/5</f>
        <v>0.2</v>
      </c>
      <c r="AF22" s="60"/>
      <c r="AG22" s="60">
        <f>1/5</f>
        <v>0.2</v>
      </c>
      <c r="AH22" s="60"/>
      <c r="AI22" s="60">
        <f>1/9</f>
        <v>0.1111111111111111</v>
      </c>
      <c r="AJ22" s="60"/>
      <c r="AK22" s="60">
        <f>1/7</f>
        <v>0.14285714285714285</v>
      </c>
      <c r="AL22" s="60"/>
      <c r="AM22" s="60">
        <f>1/7</f>
        <v>0.14285714285714285</v>
      </c>
      <c r="AN22" s="60"/>
      <c r="AO22" s="60">
        <f>1/9</f>
        <v>0.1111111111111111</v>
      </c>
      <c r="AP22" s="60"/>
      <c r="AQ22" s="62">
        <v>1</v>
      </c>
      <c r="AR22" s="62"/>
      <c r="AS22" s="60">
        <f>1/7</f>
        <v>0.14285714285714285</v>
      </c>
      <c r="AT22" s="60"/>
    </row>
    <row r="23" spans="2:46" x14ac:dyDescent="0.35">
      <c r="B23" s="80" t="s">
        <v>79</v>
      </c>
      <c r="C23" s="80"/>
      <c r="D23" s="80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80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</row>
    <row r="24" spans="2:46" ht="15" customHeight="1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v>5</v>
      </c>
      <c r="AD24" s="60"/>
      <c r="AE24" s="60">
        <f>1/3</f>
        <v>0.33333333333333331</v>
      </c>
      <c r="AF24" s="60"/>
      <c r="AG24" s="60">
        <f>1/7</f>
        <v>0.14285714285714285</v>
      </c>
      <c r="AH24" s="60"/>
      <c r="AI24" s="60">
        <v>7</v>
      </c>
      <c r="AJ24" s="60"/>
      <c r="AK24" s="60">
        <f>1/9</f>
        <v>0.1111111111111111</v>
      </c>
      <c r="AL24" s="60"/>
      <c r="AM24" s="60">
        <f>1/5</f>
        <v>0.2</v>
      </c>
      <c r="AN24" s="60"/>
      <c r="AO24" s="60">
        <v>9</v>
      </c>
      <c r="AP24" s="60"/>
      <c r="AQ24" s="60">
        <v>7</v>
      </c>
      <c r="AR24" s="60"/>
      <c r="AS24" s="62">
        <v>1</v>
      </c>
      <c r="AT24" s="62"/>
    </row>
    <row r="25" spans="2:46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</row>
    <row r="26" spans="2:46" x14ac:dyDescent="0.35">
      <c r="B26" s="80" t="s">
        <v>4</v>
      </c>
      <c r="C26" s="80"/>
      <c r="D26" s="8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5"/>
      <c r="T26" s="2"/>
      <c r="U26" s="3"/>
      <c r="V26" s="80" t="s">
        <v>5</v>
      </c>
      <c r="W26" s="80"/>
      <c r="X26" s="80"/>
    </row>
    <row r="27" spans="2:46" x14ac:dyDescent="0.35">
      <c r="B27" s="80" t="s">
        <v>4</v>
      </c>
      <c r="C27" s="80"/>
      <c r="D27" s="80"/>
      <c r="E27" s="2"/>
      <c r="F27" s="2"/>
      <c r="G27" s="3"/>
      <c r="H27" s="2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</row>
    <row r="28" spans="2:46" x14ac:dyDescent="0.35">
      <c r="B28" s="80" t="s">
        <v>4</v>
      </c>
      <c r="C28" s="80"/>
      <c r="D28" s="80"/>
      <c r="E28" s="2"/>
      <c r="F28" s="2"/>
      <c r="G28" s="2"/>
      <c r="H28" s="2"/>
      <c r="I28" s="2"/>
      <c r="J28" s="2"/>
      <c r="K28" s="2"/>
      <c r="L28" s="2"/>
      <c r="M28" s="2"/>
      <c r="N28" s="2"/>
      <c r="O28" s="5"/>
      <c r="P28" s="2"/>
      <c r="Q28" s="2"/>
      <c r="R28" s="2"/>
      <c r="S28" s="3"/>
      <c r="T28" s="2"/>
      <c r="U28" s="2"/>
      <c r="V28" s="80" t="s">
        <v>7</v>
      </c>
      <c r="W28" s="80"/>
      <c r="X28" s="80"/>
    </row>
    <row r="29" spans="2:46" x14ac:dyDescent="0.35">
      <c r="B29" s="80" t="s">
        <v>4</v>
      </c>
      <c r="C29" s="80"/>
      <c r="D29" s="80"/>
      <c r="E29" s="2"/>
      <c r="F29" s="2"/>
      <c r="G29" s="2"/>
      <c r="H29" s="2"/>
      <c r="I29" s="3"/>
      <c r="J29" s="2"/>
      <c r="K29" s="2"/>
      <c r="L29" s="2"/>
      <c r="M29" s="2"/>
      <c r="N29" s="2"/>
      <c r="O29" s="2"/>
      <c r="P29" s="2"/>
      <c r="Q29" s="5"/>
      <c r="R29" s="2"/>
      <c r="S29" s="2"/>
      <c r="T29" s="2"/>
      <c r="U29" s="2"/>
      <c r="V29" s="80" t="s">
        <v>8</v>
      </c>
      <c r="W29" s="80"/>
      <c r="X29" s="80"/>
    </row>
    <row r="30" spans="2:46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5"/>
      <c r="L30" s="2"/>
      <c r="M30" s="2"/>
      <c r="N30" s="2"/>
      <c r="O30" s="2"/>
      <c r="P30" s="2"/>
      <c r="Q30" s="3"/>
      <c r="R30" s="2"/>
      <c r="S30" s="2"/>
      <c r="T30" s="2"/>
      <c r="U30" s="2"/>
      <c r="V30" s="80" t="s">
        <v>80</v>
      </c>
      <c r="W30" s="80"/>
      <c r="X30" s="80"/>
    </row>
    <row r="31" spans="2:46" x14ac:dyDescent="0.35">
      <c r="B31" s="80" t="s">
        <v>4</v>
      </c>
      <c r="C31" s="80"/>
      <c r="D31" s="80"/>
      <c r="E31" s="2"/>
      <c r="F31" s="2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0" t="s">
        <v>9</v>
      </c>
      <c r="W31" s="80"/>
      <c r="X31" s="80"/>
    </row>
    <row r="32" spans="2:46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2:24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</row>
    <row r="34" spans="2:24" x14ac:dyDescent="0.35">
      <c r="B34" s="80" t="s">
        <v>5</v>
      </c>
      <c r="C34" s="80"/>
      <c r="D34" s="80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</row>
    <row r="35" spans="2:24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5"/>
      <c r="T35" s="2"/>
      <c r="U35" s="3"/>
      <c r="V35" s="80" t="s">
        <v>7</v>
      </c>
      <c r="W35" s="80"/>
      <c r="X35" s="80"/>
    </row>
    <row r="36" spans="2:24" x14ac:dyDescent="0.35">
      <c r="B36" s="80" t="s">
        <v>5</v>
      </c>
      <c r="C36" s="80"/>
      <c r="D36" s="8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5"/>
      <c r="R36" s="2"/>
      <c r="S36" s="3"/>
      <c r="T36" s="2"/>
      <c r="U36" s="5"/>
      <c r="V36" s="80" t="s">
        <v>8</v>
      </c>
      <c r="W36" s="80"/>
      <c r="X36" s="80"/>
    </row>
    <row r="37" spans="2:24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5"/>
      <c r="P37" s="2"/>
      <c r="Q37" s="2"/>
      <c r="R37" s="2"/>
      <c r="S37" s="2"/>
      <c r="T37" s="2"/>
      <c r="U37" s="3"/>
      <c r="V37" s="80" t="s">
        <v>80</v>
      </c>
      <c r="W37" s="80"/>
      <c r="X37" s="80"/>
    </row>
    <row r="38" spans="2:24" x14ac:dyDescent="0.35">
      <c r="B38" s="80" t="s">
        <v>5</v>
      </c>
      <c r="C38" s="80"/>
      <c r="D38" s="80"/>
      <c r="E38" s="2"/>
      <c r="F38" s="2"/>
      <c r="G38" s="3"/>
      <c r="H38" s="2"/>
      <c r="I38" s="2"/>
      <c r="J38" s="2"/>
      <c r="K38" s="5"/>
      <c r="L38" s="2"/>
      <c r="M38" s="2"/>
      <c r="N38" s="2"/>
      <c r="O38" s="2"/>
      <c r="P38" s="2"/>
      <c r="Q38" s="2"/>
      <c r="R38" s="2"/>
      <c r="S38" s="2"/>
      <c r="T38" s="2"/>
      <c r="U38" s="2"/>
      <c r="V38" s="80" t="s">
        <v>9</v>
      </c>
      <c r="W38" s="80"/>
      <c r="X38" s="80"/>
    </row>
    <row r="39" spans="2:24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2:24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</row>
    <row r="41" spans="2:24" x14ac:dyDescent="0.35">
      <c r="B41" s="80" t="s">
        <v>6</v>
      </c>
      <c r="C41" s="80"/>
      <c r="D41" s="80"/>
      <c r="E41" s="2"/>
      <c r="F41" s="2"/>
      <c r="G41" s="2"/>
      <c r="H41" s="2"/>
      <c r="I41" s="2"/>
      <c r="J41" s="2"/>
      <c r="K41" s="2"/>
      <c r="L41" s="2"/>
      <c r="M41" s="2"/>
      <c r="N41" s="2"/>
      <c r="O41" s="5"/>
      <c r="P41" s="2"/>
      <c r="Q41" s="2"/>
      <c r="R41" s="2"/>
      <c r="S41" s="2"/>
      <c r="T41" s="2"/>
      <c r="U41" s="3"/>
      <c r="V41" s="80" t="s">
        <v>7</v>
      </c>
      <c r="W41" s="80"/>
      <c r="X41" s="80"/>
    </row>
    <row r="42" spans="2:24" x14ac:dyDescent="0.35">
      <c r="B42" s="80" t="s">
        <v>6</v>
      </c>
      <c r="C42" s="80"/>
      <c r="D42" s="80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5"/>
      <c r="Q42" s="5"/>
      <c r="R42" s="2"/>
      <c r="S42" s="2"/>
      <c r="T42" s="2"/>
      <c r="U42" s="2"/>
      <c r="V42" s="80" t="s">
        <v>8</v>
      </c>
      <c r="W42" s="80"/>
      <c r="X42" s="80"/>
    </row>
    <row r="43" spans="2:24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2"/>
      <c r="L43" s="2"/>
      <c r="M43" s="2"/>
      <c r="N43" s="2"/>
      <c r="O43" s="5"/>
      <c r="P43" s="2"/>
      <c r="Q43" s="2"/>
      <c r="R43" s="2"/>
      <c r="S43" s="3"/>
      <c r="T43" s="2"/>
      <c r="U43" s="2"/>
      <c r="V43" s="80" t="s">
        <v>80</v>
      </c>
      <c r="W43" s="80"/>
      <c r="X43" s="80"/>
    </row>
    <row r="44" spans="2:24" x14ac:dyDescent="0.35">
      <c r="B44" s="80" t="s">
        <v>6</v>
      </c>
      <c r="C44" s="80"/>
      <c r="D44" s="80"/>
      <c r="E44" s="2"/>
      <c r="F44" s="2"/>
      <c r="G44" s="2"/>
      <c r="H44" s="2"/>
      <c r="I44" s="2"/>
      <c r="J44" s="2"/>
      <c r="K44" s="2"/>
      <c r="L44" s="2"/>
      <c r="M44" s="2"/>
      <c r="N44" s="2"/>
      <c r="O44" s="5"/>
      <c r="P44" s="2"/>
      <c r="Q44" s="2"/>
      <c r="R44" s="2"/>
      <c r="S44" s="2"/>
      <c r="T44" s="2"/>
      <c r="U44" s="3"/>
      <c r="V44" s="80" t="s">
        <v>9</v>
      </c>
      <c r="W44" s="80"/>
      <c r="X44" s="80"/>
    </row>
    <row r="45" spans="2:24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2:24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</row>
    <row r="47" spans="2:24" x14ac:dyDescent="0.35">
      <c r="B47" s="80" t="s">
        <v>7</v>
      </c>
      <c r="C47" s="80"/>
      <c r="D47" s="80"/>
      <c r="E47" s="2"/>
      <c r="F47" s="2"/>
      <c r="G47" s="3"/>
      <c r="H47" s="2"/>
      <c r="I47" s="2"/>
      <c r="J47" s="2"/>
      <c r="K47" s="5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</row>
    <row r="48" spans="2:24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5"/>
      <c r="P48" s="2"/>
      <c r="Q48" s="2"/>
      <c r="R48" s="2"/>
      <c r="S48" s="3"/>
      <c r="T48" s="2"/>
      <c r="U48" s="2"/>
      <c r="V48" s="80" t="s">
        <v>80</v>
      </c>
      <c r="W48" s="80"/>
      <c r="X48" s="80"/>
    </row>
    <row r="49" spans="2:42" x14ac:dyDescent="0.35">
      <c r="B49" s="80" t="s">
        <v>7</v>
      </c>
      <c r="C49" s="80"/>
      <c r="D49" s="80"/>
      <c r="E49" s="2"/>
      <c r="F49" s="2"/>
      <c r="G49" s="2"/>
      <c r="H49" s="2"/>
      <c r="I49" s="3"/>
      <c r="J49" s="2"/>
      <c r="K49" s="2"/>
      <c r="L49" s="2"/>
      <c r="M49" s="2"/>
      <c r="N49" s="2"/>
      <c r="O49" s="5"/>
      <c r="P49" s="2"/>
      <c r="Q49" s="2"/>
      <c r="R49" s="2"/>
      <c r="S49" s="2"/>
      <c r="T49" s="2"/>
      <c r="U49" s="2"/>
      <c r="V49" s="80" t="s">
        <v>9</v>
      </c>
      <c r="W49" s="80"/>
      <c r="X49" s="80"/>
    </row>
    <row r="50" spans="2:42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2:42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</row>
    <row r="52" spans="2:42" x14ac:dyDescent="0.35">
      <c r="B52" s="80" t="s">
        <v>8</v>
      </c>
      <c r="C52" s="80"/>
      <c r="D52" s="80"/>
      <c r="E52" s="2"/>
      <c r="F52" s="2"/>
      <c r="G52" s="5"/>
      <c r="H52" s="2"/>
      <c r="I52" s="2"/>
      <c r="J52" s="2"/>
      <c r="K52" s="5"/>
      <c r="L52" s="2"/>
      <c r="M52" s="2"/>
      <c r="N52" s="2"/>
      <c r="O52" s="2"/>
      <c r="P52" s="2"/>
      <c r="Q52" s="2"/>
      <c r="R52" s="2"/>
      <c r="S52" s="2"/>
      <c r="T52" s="2"/>
      <c r="U52" s="3"/>
      <c r="V52" s="80" t="s">
        <v>80</v>
      </c>
      <c r="W52" s="80"/>
      <c r="X52" s="80"/>
    </row>
    <row r="53" spans="2:42" x14ac:dyDescent="0.35">
      <c r="B53" s="80" t="s">
        <v>8</v>
      </c>
      <c r="C53" s="80"/>
      <c r="D53" s="80"/>
      <c r="E53" s="3"/>
      <c r="F53" s="2"/>
      <c r="G53" s="2"/>
      <c r="H53" s="2"/>
      <c r="I53" s="2"/>
      <c r="J53" s="2"/>
      <c r="K53" s="5"/>
      <c r="L53" s="2"/>
      <c r="M53" s="2"/>
      <c r="N53" s="2"/>
      <c r="O53" s="2"/>
      <c r="P53" s="2"/>
      <c r="Q53" s="2"/>
      <c r="R53" s="2"/>
      <c r="S53" s="2"/>
      <c r="T53" s="2"/>
      <c r="U53" s="5"/>
      <c r="V53" s="80" t="s">
        <v>9</v>
      </c>
      <c r="W53" s="80"/>
      <c r="X53" s="80"/>
    </row>
    <row r="54" spans="2:42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2:42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</row>
    <row r="56" spans="2:42" x14ac:dyDescent="0.35">
      <c r="B56" s="80" t="s">
        <v>80</v>
      </c>
      <c r="C56" s="80"/>
      <c r="D56" s="80"/>
      <c r="E56" s="2"/>
      <c r="F56" s="2"/>
      <c r="G56" s="3"/>
      <c r="H56" s="2"/>
      <c r="I56" s="2"/>
      <c r="J56" s="2"/>
      <c r="K56" s="2"/>
      <c r="L56" s="5"/>
      <c r="M56" s="2"/>
      <c r="N56" s="2"/>
      <c r="O56" s="2"/>
      <c r="P56" s="2"/>
      <c r="Q56" s="2"/>
      <c r="R56" s="2"/>
      <c r="S56" s="2"/>
      <c r="T56" s="2"/>
      <c r="U56" s="2"/>
      <c r="V56" s="80" t="s">
        <v>9</v>
      </c>
      <c r="W56" s="80"/>
      <c r="X56" s="80"/>
    </row>
    <row r="59" spans="2:42" x14ac:dyDescent="0.35">
      <c r="B59" s="85" t="s">
        <v>10</v>
      </c>
      <c r="C59" s="85"/>
    </row>
    <row r="61" spans="2:42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60"/>
    </row>
    <row r="62" spans="2:42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5"/>
      <c r="P62" s="2"/>
      <c r="Q62" s="2"/>
      <c r="R62" s="2"/>
      <c r="S62" s="3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</row>
    <row r="63" spans="2:42" x14ac:dyDescent="0.35">
      <c r="B63" s="80" t="s">
        <v>11</v>
      </c>
      <c r="C63" s="80"/>
      <c r="D63" s="80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5"/>
      <c r="R63" s="2"/>
      <c r="S63" s="2"/>
      <c r="T63" s="2"/>
      <c r="U63" s="2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7</v>
      </c>
      <c r="AF63" s="64"/>
      <c r="AG63" s="63">
        <v>3</v>
      </c>
      <c r="AH63" s="64"/>
      <c r="AI63" s="63">
        <f>1/7</f>
        <v>0.14285714285714285</v>
      </c>
      <c r="AJ63" s="64"/>
      <c r="AK63" s="63">
        <v>5</v>
      </c>
      <c r="AL63" s="64"/>
      <c r="AM63" s="63">
        <v>5</v>
      </c>
      <c r="AN63" s="64"/>
      <c r="AO63" s="63">
        <v>5</v>
      </c>
      <c r="AP63" s="64"/>
    </row>
    <row r="64" spans="2:42" x14ac:dyDescent="0.35">
      <c r="B64" s="80" t="s">
        <v>11</v>
      </c>
      <c r="C64" s="80"/>
      <c r="D64" s="80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66"/>
    </row>
    <row r="65" spans="2:42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5"/>
      <c r="V65" s="81" t="s">
        <v>29</v>
      </c>
      <c r="W65" s="82"/>
      <c r="X65" s="83"/>
      <c r="AA65" s="60" t="s">
        <v>81</v>
      </c>
      <c r="AB65" s="60"/>
      <c r="AC65" s="60">
        <f>1/7</f>
        <v>0.14285714285714285</v>
      </c>
      <c r="AD65" s="60"/>
      <c r="AE65" s="62">
        <v>1</v>
      </c>
      <c r="AF65" s="62"/>
      <c r="AG65" s="60">
        <v>5</v>
      </c>
      <c r="AH65" s="60"/>
      <c r="AI65" s="60">
        <f>1/9</f>
        <v>0.1111111111111111</v>
      </c>
      <c r="AJ65" s="60"/>
      <c r="AK65" s="60">
        <v>9</v>
      </c>
      <c r="AL65" s="60"/>
      <c r="AM65" s="60">
        <v>3</v>
      </c>
      <c r="AN65" s="60"/>
      <c r="AO65" s="60">
        <f>1/5</f>
        <v>0.2</v>
      </c>
      <c r="AP65" s="60"/>
    </row>
    <row r="66" spans="2:42" x14ac:dyDescent="0.35">
      <c r="B66" s="80" t="s">
        <v>11</v>
      </c>
      <c r="C66" s="80"/>
      <c r="D66" s="80"/>
      <c r="E66" s="2"/>
      <c r="F66" s="2"/>
      <c r="G66" s="2"/>
      <c r="H66" s="2"/>
      <c r="I66" s="3"/>
      <c r="J66" s="2"/>
      <c r="K66" s="2"/>
      <c r="L66" s="2"/>
      <c r="M66" s="2"/>
      <c r="N66" s="2"/>
      <c r="O66" s="5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60"/>
    </row>
    <row r="67" spans="2:42" x14ac:dyDescent="0.35">
      <c r="B67" s="80" t="s">
        <v>11</v>
      </c>
      <c r="C67" s="80"/>
      <c r="D67" s="80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1" t="s">
        <v>30</v>
      </c>
      <c r="W67" s="82"/>
      <c r="X67" s="83"/>
      <c r="AA67" s="60" t="s">
        <v>27</v>
      </c>
      <c r="AB67" s="60"/>
      <c r="AC67" s="60">
        <f>1/3</f>
        <v>0.33333333333333331</v>
      </c>
      <c r="AD67" s="60"/>
      <c r="AE67" s="60">
        <f>1/5</f>
        <v>0.2</v>
      </c>
      <c r="AF67" s="60"/>
      <c r="AG67" s="62">
        <v>1</v>
      </c>
      <c r="AH67" s="62"/>
      <c r="AI67" s="60">
        <f>1/9</f>
        <v>0.1111111111111111</v>
      </c>
      <c r="AJ67" s="60"/>
      <c r="AK67" s="60">
        <v>5</v>
      </c>
      <c r="AL67" s="60"/>
      <c r="AM67" s="60">
        <v>3</v>
      </c>
      <c r="AN67" s="60"/>
      <c r="AO67" s="60">
        <f>1/5</f>
        <v>0.2</v>
      </c>
      <c r="AP67" s="60"/>
    </row>
    <row r="68" spans="2:42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60"/>
    </row>
    <row r="69" spans="2:42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v>7</v>
      </c>
      <c r="AD69" s="60"/>
      <c r="AE69" s="60">
        <v>9</v>
      </c>
      <c r="AF69" s="60"/>
      <c r="AG69" s="60">
        <v>9</v>
      </c>
      <c r="AH69" s="60"/>
      <c r="AI69" s="62">
        <v>1</v>
      </c>
      <c r="AJ69" s="62"/>
      <c r="AK69" s="60">
        <v>7</v>
      </c>
      <c r="AL69" s="60"/>
      <c r="AM69" s="60">
        <f>1/3</f>
        <v>0.33333333333333331</v>
      </c>
      <c r="AN69" s="60"/>
      <c r="AO69" s="60">
        <f>1/7</f>
        <v>0.14285714285714285</v>
      </c>
      <c r="AP69" s="60"/>
    </row>
    <row r="70" spans="2:42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5"/>
      <c r="L70" s="2"/>
      <c r="M70" s="2"/>
      <c r="N70" s="2"/>
      <c r="O70" s="2"/>
      <c r="P70" s="2"/>
      <c r="Q70" s="3"/>
      <c r="R70" s="2"/>
      <c r="S70" s="2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60"/>
    </row>
    <row r="71" spans="2:42" x14ac:dyDescent="0.35">
      <c r="B71" s="80" t="s">
        <v>81</v>
      </c>
      <c r="C71" s="80"/>
      <c r="D71" s="80"/>
      <c r="E71" s="3"/>
      <c r="F71" s="2"/>
      <c r="G71" s="2"/>
      <c r="H71" s="2"/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1/9</f>
        <v>0.1111111111111111</v>
      </c>
      <c r="AF71" s="60"/>
      <c r="AG71" s="60">
        <f>1/5</f>
        <v>0.2</v>
      </c>
      <c r="AH71" s="60"/>
      <c r="AI71" s="60">
        <f>1/7</f>
        <v>0.14285714285714285</v>
      </c>
      <c r="AJ71" s="60"/>
      <c r="AK71" s="62">
        <v>1</v>
      </c>
      <c r="AL71" s="62"/>
      <c r="AM71" s="60">
        <f>1/5</f>
        <v>0.2</v>
      </c>
      <c r="AN71" s="60"/>
      <c r="AO71" s="60">
        <v>7</v>
      </c>
      <c r="AP71" s="60"/>
    </row>
    <row r="72" spans="2:42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5"/>
      <c r="T72" s="2"/>
      <c r="U72" s="3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60"/>
    </row>
    <row r="73" spans="2:42" x14ac:dyDescent="0.35">
      <c r="B73" s="80" t="s">
        <v>81</v>
      </c>
      <c r="C73" s="80"/>
      <c r="D73" s="80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f>1/5</f>
        <v>0.2</v>
      </c>
      <c r="AD73" s="60"/>
      <c r="AE73" s="60">
        <f>1/3</f>
        <v>0.33333333333333331</v>
      </c>
      <c r="AF73" s="60"/>
      <c r="AG73" s="60">
        <f>1/3</f>
        <v>0.33333333333333331</v>
      </c>
      <c r="AH73" s="60"/>
      <c r="AI73" s="60">
        <v>3</v>
      </c>
      <c r="AJ73" s="60"/>
      <c r="AK73" s="60">
        <v>5</v>
      </c>
      <c r="AL73" s="60"/>
      <c r="AM73" s="62">
        <v>1</v>
      </c>
      <c r="AN73" s="62"/>
      <c r="AO73" s="60">
        <v>5</v>
      </c>
      <c r="AP73" s="60"/>
    </row>
    <row r="74" spans="2:42" x14ac:dyDescent="0.35">
      <c r="B74" s="80" t="s">
        <v>81</v>
      </c>
      <c r="C74" s="80"/>
      <c r="D74" s="80"/>
      <c r="E74" s="2"/>
      <c r="F74" s="2"/>
      <c r="G74" s="2"/>
      <c r="H74" s="2"/>
      <c r="I74" s="3"/>
      <c r="J74" s="2"/>
      <c r="K74" s="5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60"/>
    </row>
    <row r="75" spans="2:42" x14ac:dyDescent="0.35">
      <c r="AA75" s="60" t="s">
        <v>91</v>
      </c>
      <c r="AB75" s="60"/>
      <c r="AC75" s="60">
        <f>1/5</f>
        <v>0.2</v>
      </c>
      <c r="AD75" s="60"/>
      <c r="AE75" s="60">
        <v>5</v>
      </c>
      <c r="AF75" s="60"/>
      <c r="AG75" s="60">
        <v>5</v>
      </c>
      <c r="AH75" s="60"/>
      <c r="AI75" s="60">
        <v>7</v>
      </c>
      <c r="AJ75" s="60"/>
      <c r="AK75" s="60">
        <f>1/7</f>
        <v>0.14285714285714285</v>
      </c>
      <c r="AL75" s="60"/>
      <c r="AM75" s="60">
        <f>1/5</f>
        <v>0.2</v>
      </c>
      <c r="AN75" s="60"/>
      <c r="AO75" s="62">
        <v>1</v>
      </c>
      <c r="AP75" s="62"/>
    </row>
    <row r="76" spans="2:42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2"/>
      <c r="AP76" s="62"/>
    </row>
    <row r="77" spans="2:42" x14ac:dyDescent="0.35">
      <c r="B77" s="81" t="s">
        <v>27</v>
      </c>
      <c r="C77" s="82"/>
      <c r="D77" s="8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</row>
    <row r="78" spans="2:42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5"/>
      <c r="P78" s="2"/>
      <c r="Q78" s="3"/>
      <c r="R78" s="2"/>
      <c r="S78" s="2"/>
      <c r="T78" s="2"/>
      <c r="U78" s="5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</row>
    <row r="79" spans="2:42" x14ac:dyDescent="0.35">
      <c r="B79" s="81" t="s">
        <v>27</v>
      </c>
      <c r="C79" s="82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81" t="s">
        <v>82</v>
      </c>
      <c r="W79" s="82"/>
      <c r="X79" s="83"/>
    </row>
    <row r="80" spans="2:42" x14ac:dyDescent="0.35">
      <c r="B80" s="81" t="s">
        <v>27</v>
      </c>
      <c r="C80" s="82"/>
      <c r="D80" s="83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81" t="s">
        <v>30</v>
      </c>
      <c r="W80" s="82"/>
      <c r="X80" s="83"/>
    </row>
    <row r="82" spans="2:24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</row>
    <row r="83" spans="2:24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5"/>
      <c r="P83" s="2"/>
      <c r="Q83" s="2"/>
      <c r="R83" s="2"/>
      <c r="S83" s="3"/>
      <c r="T83" s="2"/>
      <c r="U83" s="2"/>
      <c r="V83" s="81" t="s">
        <v>29</v>
      </c>
      <c r="W83" s="82"/>
      <c r="X83" s="83"/>
    </row>
    <row r="84" spans="2:24" x14ac:dyDescent="0.35">
      <c r="B84" s="81" t="s">
        <v>28</v>
      </c>
      <c r="C84" s="82"/>
      <c r="D84" s="83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81" t="s">
        <v>82</v>
      </c>
      <c r="W84" s="82"/>
      <c r="X84" s="83"/>
    </row>
    <row r="85" spans="2:24" x14ac:dyDescent="0.35">
      <c r="B85" s="81" t="s">
        <v>28</v>
      </c>
      <c r="C85" s="82"/>
      <c r="D85" s="83"/>
      <c r="E85" s="2"/>
      <c r="F85" s="2"/>
      <c r="G85" s="3"/>
      <c r="H85" s="2"/>
      <c r="I85" s="2"/>
      <c r="J85" s="2"/>
      <c r="K85" s="2"/>
      <c r="L85" s="2"/>
      <c r="M85" s="2"/>
      <c r="N85" s="2"/>
      <c r="O85" s="5"/>
      <c r="P85" s="2"/>
      <c r="Q85" s="2"/>
      <c r="R85" s="2"/>
      <c r="S85" s="2"/>
      <c r="T85" s="2"/>
      <c r="U85" s="2"/>
      <c r="V85" s="81" t="s">
        <v>30</v>
      </c>
      <c r="W85" s="82"/>
      <c r="X85" s="83"/>
    </row>
    <row r="87" spans="2:24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</row>
    <row r="88" spans="2:24" x14ac:dyDescent="0.35">
      <c r="B88" s="81" t="s">
        <v>29</v>
      </c>
      <c r="C88" s="82"/>
      <c r="D88" s="83"/>
      <c r="E88" s="2"/>
      <c r="F88" s="2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1" t="s">
        <v>82</v>
      </c>
      <c r="W88" s="82"/>
      <c r="X88" s="83"/>
    </row>
    <row r="89" spans="2:24" x14ac:dyDescent="0.35">
      <c r="B89" s="81" t="s">
        <v>29</v>
      </c>
      <c r="C89" s="82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5"/>
      <c r="P89" s="2"/>
      <c r="Q89" s="2"/>
      <c r="R89" s="2"/>
      <c r="S89" s="3"/>
      <c r="T89" s="2"/>
      <c r="U89" s="2"/>
      <c r="V89" s="81" t="s">
        <v>30</v>
      </c>
      <c r="W89" s="82"/>
      <c r="X89" s="83"/>
    </row>
    <row r="91" spans="2:24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</row>
    <row r="92" spans="2:24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81" t="s">
        <v>30</v>
      </c>
      <c r="W92" s="82"/>
      <c r="X92" s="83"/>
    </row>
    <row r="95" spans="2:24" x14ac:dyDescent="0.35">
      <c r="B95" s="84" t="s">
        <v>12</v>
      </c>
      <c r="C95" s="84"/>
      <c r="D95" s="84"/>
    </row>
    <row r="96" spans="2:24" x14ac:dyDescent="0.35">
      <c r="B96" s="7"/>
      <c r="C96" s="7"/>
      <c r="D96" s="7"/>
    </row>
    <row r="97" spans="2:44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</row>
    <row r="98" spans="2:44" x14ac:dyDescent="0.35">
      <c r="B98" s="80" t="s">
        <v>13</v>
      </c>
      <c r="C98" s="80"/>
      <c r="D98" s="80"/>
      <c r="E98" s="2"/>
      <c r="F98" s="2"/>
      <c r="G98" s="5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</row>
    <row r="99" spans="2:44" x14ac:dyDescent="0.35">
      <c r="B99" s="80" t="s">
        <v>13</v>
      </c>
      <c r="C99" s="80"/>
      <c r="D99" s="80"/>
      <c r="E99" s="2"/>
      <c r="F99" s="2"/>
      <c r="G99" s="2"/>
      <c r="H99" s="2"/>
      <c r="I99" s="2"/>
      <c r="J99" s="2"/>
      <c r="K99" s="5"/>
      <c r="L99" s="2"/>
      <c r="M99" s="2"/>
      <c r="N99" s="2"/>
      <c r="O99" s="2"/>
      <c r="P99" s="2"/>
      <c r="Q99" s="2"/>
      <c r="R99" s="2"/>
      <c r="S99" s="2"/>
      <c r="T99" s="2"/>
      <c r="U99" s="3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f>1/5</f>
        <v>0.2</v>
      </c>
      <c r="AF99" s="60"/>
      <c r="AG99" s="63">
        <v>7</v>
      </c>
      <c r="AH99" s="64"/>
    </row>
    <row r="100" spans="2:44" x14ac:dyDescent="0.35">
      <c r="AA100" s="60"/>
      <c r="AB100" s="60"/>
      <c r="AC100" s="62"/>
      <c r="AD100" s="62"/>
      <c r="AE100" s="60"/>
      <c r="AF100" s="60"/>
      <c r="AG100" s="65"/>
      <c r="AH100" s="66"/>
    </row>
    <row r="101" spans="2:44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v>5</v>
      </c>
      <c r="AD101" s="60"/>
      <c r="AE101" s="62">
        <v>1</v>
      </c>
      <c r="AF101" s="62"/>
      <c r="AG101" s="60">
        <f>1/5</f>
        <v>0.2</v>
      </c>
      <c r="AH101" s="60"/>
    </row>
    <row r="102" spans="2:44" x14ac:dyDescent="0.35">
      <c r="B102" s="80" t="s">
        <v>14</v>
      </c>
      <c r="C102" s="80"/>
      <c r="D102" s="80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</row>
    <row r="103" spans="2:44" x14ac:dyDescent="0.35">
      <c r="AA103" s="60" t="s">
        <v>15</v>
      </c>
      <c r="AB103" s="60"/>
      <c r="AC103" s="60">
        <f>1/7</f>
        <v>0.14285714285714285</v>
      </c>
      <c r="AD103" s="60"/>
      <c r="AE103" s="60">
        <v>5</v>
      </c>
      <c r="AF103" s="60"/>
      <c r="AG103" s="62">
        <v>1</v>
      </c>
      <c r="AH103" s="62"/>
    </row>
    <row r="104" spans="2:44" x14ac:dyDescent="0.35">
      <c r="AA104" s="60"/>
      <c r="AB104" s="60"/>
      <c r="AC104" s="60"/>
      <c r="AD104" s="60"/>
      <c r="AE104" s="60"/>
      <c r="AF104" s="60"/>
      <c r="AG104" s="62"/>
      <c r="AH104" s="62"/>
    </row>
    <row r="105" spans="2:44" x14ac:dyDescent="0.35">
      <c r="B105" s="8" t="s">
        <v>16</v>
      </c>
    </row>
    <row r="107" spans="2:44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</row>
    <row r="108" spans="2:44" x14ac:dyDescent="0.35">
      <c r="B108" s="80" t="s">
        <v>17</v>
      </c>
      <c r="C108" s="80"/>
      <c r="D108" s="80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5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2:44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5"/>
      <c r="T109" s="2"/>
      <c r="U109" s="3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f>1/7</f>
        <v>0.14285714285714285</v>
      </c>
      <c r="AF109" s="60"/>
      <c r="AG109" s="63">
        <v>9</v>
      </c>
      <c r="AH109" s="64"/>
      <c r="AI109" s="60">
        <v>5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f>1/3</f>
        <v>0.33333333333333331</v>
      </c>
      <c r="AR109" s="60"/>
    </row>
    <row r="110" spans="2:44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3"/>
      <c r="R110" s="2"/>
      <c r="S110" s="5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2:44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v>7</v>
      </c>
      <c r="AD111" s="60"/>
      <c r="AE111" s="62">
        <v>1</v>
      </c>
      <c r="AF111" s="62"/>
      <c r="AG111" s="60">
        <f>1/5</f>
        <v>0.2</v>
      </c>
      <c r="AH111" s="60"/>
      <c r="AI111" s="60">
        <v>3</v>
      </c>
      <c r="AJ111" s="60"/>
      <c r="AK111" s="60">
        <f>1/5</f>
        <v>0.2</v>
      </c>
      <c r="AL111" s="60"/>
      <c r="AM111" s="60">
        <v>3</v>
      </c>
      <c r="AN111" s="60"/>
      <c r="AO111" s="60">
        <v>5</v>
      </c>
      <c r="AP111" s="60"/>
      <c r="AQ111" s="60">
        <f>1/5</f>
        <v>0.2</v>
      </c>
      <c r="AR111" s="60"/>
    </row>
    <row r="112" spans="2:44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2:44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1/9</f>
        <v>0.1111111111111111</v>
      </c>
      <c r="AD113" s="60"/>
      <c r="AE113" s="60">
        <v>5</v>
      </c>
      <c r="AF113" s="60"/>
      <c r="AG113" s="62">
        <v>1</v>
      </c>
      <c r="AH113" s="62"/>
      <c r="AI113" s="60">
        <f>1/7</f>
        <v>0.14285714285714285</v>
      </c>
      <c r="AJ113" s="60"/>
      <c r="AK113" s="60">
        <f>1/9</f>
        <v>0.1111111111111111</v>
      </c>
      <c r="AL113" s="60"/>
      <c r="AM113" s="60">
        <f>1/3</f>
        <v>0.33333333333333331</v>
      </c>
      <c r="AN113" s="60"/>
      <c r="AO113" s="60">
        <v>7</v>
      </c>
      <c r="AP113" s="60"/>
      <c r="AQ113" s="60">
        <f>1/5</f>
        <v>0.2</v>
      </c>
      <c r="AR113" s="60"/>
    </row>
    <row r="114" spans="2:44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3"/>
      <c r="L114" s="2"/>
      <c r="M114" s="2"/>
      <c r="N114" s="2"/>
      <c r="O114" s="5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2:44" x14ac:dyDescent="0.35">
      <c r="AA115" s="60" t="s">
        <v>31</v>
      </c>
      <c r="AB115" s="60"/>
      <c r="AC115" s="60">
        <f>1/5</f>
        <v>0.2</v>
      </c>
      <c r="AD115" s="60"/>
      <c r="AE115" s="60">
        <f>1/3</f>
        <v>0.33333333333333331</v>
      </c>
      <c r="AF115" s="60"/>
      <c r="AG115" s="60">
        <v>7</v>
      </c>
      <c r="AH115" s="60"/>
      <c r="AI115" s="62">
        <v>1</v>
      </c>
      <c r="AJ115" s="62"/>
      <c r="AK115" s="60">
        <f>1/5</f>
        <v>0.2</v>
      </c>
      <c r="AL115" s="60"/>
      <c r="AM115" s="60">
        <v>3</v>
      </c>
      <c r="AN115" s="60"/>
      <c r="AO115" s="60">
        <f>1/9</f>
        <v>0.1111111111111111</v>
      </c>
      <c r="AP115" s="60"/>
      <c r="AQ115" s="60">
        <f>1/7</f>
        <v>0.14285714285714285</v>
      </c>
      <c r="AR115" s="60"/>
    </row>
    <row r="116" spans="2:44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</row>
    <row r="117" spans="2:44" x14ac:dyDescent="0.35">
      <c r="B117" s="80" t="s">
        <v>18</v>
      </c>
      <c r="C117" s="80"/>
      <c r="D117" s="80"/>
      <c r="E117" s="2"/>
      <c r="F117" s="2"/>
      <c r="G117" s="2"/>
      <c r="H117" s="2"/>
      <c r="I117" s="3"/>
      <c r="J117" s="2"/>
      <c r="K117" s="2"/>
      <c r="L117" s="5"/>
      <c r="M117" s="2"/>
      <c r="N117" s="2"/>
      <c r="O117" s="2"/>
      <c r="P117" s="2"/>
      <c r="Q117" s="2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5</v>
      </c>
      <c r="AF117" s="60"/>
      <c r="AG117" s="60">
        <v>9</v>
      </c>
      <c r="AH117" s="60"/>
      <c r="AI117" s="60">
        <v>5</v>
      </c>
      <c r="AJ117" s="60"/>
      <c r="AK117" s="62">
        <v>1</v>
      </c>
      <c r="AL117" s="62"/>
      <c r="AM117" s="60">
        <v>5</v>
      </c>
      <c r="AN117" s="60"/>
      <c r="AO117" s="60">
        <f>1/3</f>
        <v>0.33333333333333331</v>
      </c>
      <c r="AP117" s="60"/>
      <c r="AQ117" s="60">
        <f>1/3</f>
        <v>0.33333333333333331</v>
      </c>
      <c r="AR117" s="60"/>
    </row>
    <row r="118" spans="2:44" x14ac:dyDescent="0.35">
      <c r="B118" s="80" t="s">
        <v>18</v>
      </c>
      <c r="C118" s="80"/>
      <c r="D118" s="80"/>
      <c r="E118" s="2"/>
      <c r="F118" s="2"/>
      <c r="G118" s="2"/>
      <c r="H118" s="2"/>
      <c r="I118" s="2"/>
      <c r="J118" s="2"/>
      <c r="K118" s="2"/>
      <c r="L118" s="5"/>
      <c r="M118" s="2"/>
      <c r="N118" s="2"/>
      <c r="O118" s="3"/>
      <c r="P118" s="2"/>
      <c r="Q118" s="2"/>
      <c r="R118" s="2"/>
      <c r="S118" s="2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</row>
    <row r="119" spans="2:44" x14ac:dyDescent="0.35">
      <c r="B119" s="80" t="s">
        <v>18</v>
      </c>
      <c r="C119" s="80"/>
      <c r="D119" s="80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f>1/3</f>
        <v>0.33333333333333331</v>
      </c>
      <c r="AF119" s="60"/>
      <c r="AG119" s="60">
        <v>3</v>
      </c>
      <c r="AH119" s="60"/>
      <c r="AI119" s="60">
        <f>1/3</f>
        <v>0.33333333333333331</v>
      </c>
      <c r="AJ119" s="60"/>
      <c r="AK119" s="60">
        <f>1/5</f>
        <v>0.2</v>
      </c>
      <c r="AL119" s="60"/>
      <c r="AM119" s="62">
        <v>1</v>
      </c>
      <c r="AN119" s="62"/>
      <c r="AO119" s="60">
        <f>1/5</f>
        <v>0.2</v>
      </c>
      <c r="AP119" s="60"/>
      <c r="AQ119" s="60">
        <v>3</v>
      </c>
      <c r="AR119" s="60"/>
    </row>
    <row r="120" spans="2:44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</row>
    <row r="121" spans="2:44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3"/>
      <c r="R121" s="2"/>
      <c r="S121" s="5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1/5</f>
        <v>0.2</v>
      </c>
      <c r="AF121" s="60"/>
      <c r="AG121" s="60">
        <f>1/7</f>
        <v>0.14285714285714285</v>
      </c>
      <c r="AH121" s="60"/>
      <c r="AI121" s="60">
        <v>9</v>
      </c>
      <c r="AJ121" s="60"/>
      <c r="AK121" s="60">
        <v>3</v>
      </c>
      <c r="AL121" s="60"/>
      <c r="AM121" s="60">
        <v>5</v>
      </c>
      <c r="AN121" s="60"/>
      <c r="AO121" s="62">
        <v>1</v>
      </c>
      <c r="AP121" s="62"/>
      <c r="AQ121" s="60">
        <v>5</v>
      </c>
      <c r="AR121" s="60"/>
    </row>
    <row r="122" spans="2:44" x14ac:dyDescent="0.35">
      <c r="B122" s="80" t="s">
        <v>18</v>
      </c>
      <c r="C122" s="80"/>
      <c r="D122" s="80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</row>
    <row r="123" spans="2:44" x14ac:dyDescent="0.35">
      <c r="AA123" s="60" t="s">
        <v>83</v>
      </c>
      <c r="AB123" s="60"/>
      <c r="AC123" s="60">
        <v>3</v>
      </c>
      <c r="AD123" s="60"/>
      <c r="AE123" s="60">
        <v>5</v>
      </c>
      <c r="AF123" s="60"/>
      <c r="AG123" s="60">
        <v>5</v>
      </c>
      <c r="AH123" s="60"/>
      <c r="AI123" s="60">
        <v>7</v>
      </c>
      <c r="AJ123" s="60"/>
      <c r="AK123" s="60">
        <v>3</v>
      </c>
      <c r="AL123" s="60"/>
      <c r="AM123" s="60">
        <f>1/3</f>
        <v>0.33333333333333331</v>
      </c>
      <c r="AN123" s="60"/>
      <c r="AO123" s="60">
        <f>1/5</f>
        <v>0.2</v>
      </c>
      <c r="AP123" s="60"/>
      <c r="AQ123" s="62">
        <v>1</v>
      </c>
      <c r="AR123" s="62"/>
    </row>
    <row r="124" spans="2:44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</row>
    <row r="125" spans="2:44" x14ac:dyDescent="0.35">
      <c r="B125" s="80" t="s">
        <v>19</v>
      </c>
      <c r="C125" s="80"/>
      <c r="D125" s="80"/>
      <c r="E125" s="2"/>
      <c r="F125" s="2"/>
      <c r="G125" s="3"/>
      <c r="H125" s="2"/>
      <c r="I125" s="2"/>
      <c r="J125" s="2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0" t="s">
        <v>31</v>
      </c>
      <c r="W125" s="80"/>
      <c r="X125" s="80"/>
    </row>
    <row r="126" spans="2:44" x14ac:dyDescent="0.35">
      <c r="B126" s="80" t="s">
        <v>19</v>
      </c>
      <c r="C126" s="80"/>
      <c r="D126" s="80"/>
      <c r="E126" s="3"/>
      <c r="F126" s="2"/>
      <c r="G126" s="2"/>
      <c r="H126" s="2"/>
      <c r="I126" s="2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</row>
    <row r="127" spans="2:44" x14ac:dyDescent="0.35">
      <c r="B127" s="80" t="s">
        <v>19</v>
      </c>
      <c r="C127" s="80"/>
      <c r="D127" s="80"/>
      <c r="E127" s="2"/>
      <c r="F127" s="2"/>
      <c r="G127" s="2"/>
      <c r="H127" s="2"/>
      <c r="I127" s="2"/>
      <c r="J127" s="2"/>
      <c r="K127" s="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</row>
    <row r="128" spans="2:44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5"/>
      <c r="R128" s="2"/>
      <c r="S128" s="3"/>
      <c r="T128" s="2"/>
      <c r="U128" s="2"/>
      <c r="V128" s="80" t="s">
        <v>22</v>
      </c>
      <c r="W128" s="80"/>
      <c r="X128" s="80"/>
    </row>
    <row r="129" spans="2:24" x14ac:dyDescent="0.35">
      <c r="B129" s="80" t="s">
        <v>19</v>
      </c>
      <c r="C129" s="80"/>
      <c r="D129" s="80"/>
      <c r="E129" s="2"/>
      <c r="F129" s="2"/>
      <c r="G129" s="2"/>
      <c r="H129" s="2"/>
      <c r="I129" s="3"/>
      <c r="J129" s="2"/>
      <c r="K129" s="2"/>
      <c r="L129" s="2"/>
      <c r="M129" s="2"/>
      <c r="N129" s="2"/>
      <c r="O129" s="5"/>
      <c r="P129" s="2"/>
      <c r="Q129" s="2"/>
      <c r="R129" s="2"/>
      <c r="S129" s="2"/>
      <c r="T129" s="2"/>
      <c r="U129" s="2"/>
      <c r="V129" s="80" t="s">
        <v>83</v>
      </c>
      <c r="W129" s="80"/>
      <c r="X129" s="80"/>
    </row>
    <row r="131" spans="2:24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</row>
    <row r="132" spans="2:24" x14ac:dyDescent="0.35">
      <c r="B132" s="80" t="s">
        <v>31</v>
      </c>
      <c r="C132" s="80"/>
      <c r="D132" s="80"/>
      <c r="E132" s="2"/>
      <c r="F132" s="2"/>
      <c r="G132" s="2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</row>
    <row r="133" spans="2:24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</row>
    <row r="134" spans="2:24" x14ac:dyDescent="0.35">
      <c r="B134" s="80" t="s">
        <v>31</v>
      </c>
      <c r="C134" s="80"/>
      <c r="D134" s="80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5"/>
      <c r="R134" s="2"/>
      <c r="S134" s="2"/>
      <c r="T134" s="2"/>
      <c r="U134" s="2"/>
      <c r="V134" s="80" t="s">
        <v>22</v>
      </c>
      <c r="W134" s="80"/>
      <c r="X134" s="80"/>
    </row>
    <row r="135" spans="2:24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</row>
    <row r="137" spans="2:24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</row>
    <row r="138" spans="2:24" x14ac:dyDescent="0.35">
      <c r="B138" s="80" t="s">
        <v>20</v>
      </c>
      <c r="C138" s="80"/>
      <c r="D138" s="8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2"/>
      <c r="T138" s="2"/>
      <c r="U138" s="2"/>
      <c r="V138" s="80" t="s">
        <v>21</v>
      </c>
      <c r="W138" s="80"/>
      <c r="X138" s="80"/>
    </row>
    <row r="139" spans="2:24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3"/>
      <c r="L139" s="2"/>
      <c r="M139" s="2"/>
      <c r="N139" s="2"/>
      <c r="O139" s="5"/>
      <c r="P139" s="2"/>
      <c r="Q139" s="2"/>
      <c r="R139" s="2"/>
      <c r="S139" s="2"/>
      <c r="T139" s="2"/>
      <c r="U139" s="2"/>
      <c r="V139" s="80" t="s">
        <v>22</v>
      </c>
      <c r="W139" s="80"/>
      <c r="X139" s="80"/>
    </row>
    <row r="140" spans="2:24" x14ac:dyDescent="0.35">
      <c r="B140" s="80" t="s">
        <v>20</v>
      </c>
      <c r="C140" s="80"/>
      <c r="D140" s="80"/>
      <c r="E140" s="5"/>
      <c r="F140" s="2"/>
      <c r="G140" s="2"/>
      <c r="H140" s="2"/>
      <c r="I140" s="2"/>
      <c r="J140" s="2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0" t="s">
        <v>83</v>
      </c>
      <c r="W140" s="80"/>
      <c r="X140" s="80"/>
    </row>
    <row r="142" spans="2:24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</row>
    <row r="143" spans="2:24" x14ac:dyDescent="0.35">
      <c r="B143" s="80" t="s">
        <v>21</v>
      </c>
      <c r="C143" s="80"/>
      <c r="D143" s="80"/>
      <c r="E143" s="2"/>
      <c r="F143" s="2"/>
      <c r="G143" s="2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80" t="s">
        <v>22</v>
      </c>
      <c r="W143" s="80"/>
      <c r="X143" s="80"/>
    </row>
    <row r="144" spans="2:24" x14ac:dyDescent="0.35">
      <c r="B144" s="80" t="s">
        <v>21</v>
      </c>
      <c r="C144" s="80"/>
      <c r="D144" s="80"/>
      <c r="E144" s="5"/>
      <c r="F144" s="2"/>
      <c r="G144" s="2"/>
      <c r="H144" s="2"/>
      <c r="I144" s="2"/>
      <c r="J144" s="2"/>
      <c r="K144" s="5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80" t="s">
        <v>83</v>
      </c>
      <c r="W144" s="80"/>
      <c r="X144" s="80"/>
    </row>
    <row r="146" spans="2:34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</row>
    <row r="147" spans="2:34" x14ac:dyDescent="0.35">
      <c r="B147" s="80" t="s">
        <v>22</v>
      </c>
      <c r="C147" s="80"/>
      <c r="D147" s="8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3"/>
      <c r="R147" s="2"/>
      <c r="S147" s="2"/>
      <c r="T147" s="2"/>
      <c r="U147" s="2"/>
      <c r="V147" s="80" t="s">
        <v>83</v>
      </c>
      <c r="W147" s="80"/>
      <c r="X147" s="80"/>
    </row>
    <row r="148" spans="2:34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2:34" x14ac:dyDescent="0.35">
      <c r="B149" s="8" t="s">
        <v>23</v>
      </c>
    </row>
    <row r="151" spans="2:34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</row>
    <row r="152" spans="2:34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5"/>
      <c r="P152" s="2"/>
      <c r="Q152" s="2"/>
      <c r="R152" s="2"/>
      <c r="S152" s="3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</row>
    <row r="153" spans="2:34" x14ac:dyDescent="0.35">
      <c r="B153" s="80" t="s">
        <v>24</v>
      </c>
      <c r="C153" s="80"/>
      <c r="D153" s="80"/>
      <c r="E153" s="2"/>
      <c r="F153" s="2"/>
      <c r="G153" s="2"/>
      <c r="H153" s="2"/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3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v>7</v>
      </c>
      <c r="AF153" s="60"/>
      <c r="AG153" s="63">
        <v>9</v>
      </c>
      <c r="AH153" s="64"/>
    </row>
    <row r="154" spans="2:34" x14ac:dyDescent="0.35">
      <c r="AA154" s="60"/>
      <c r="AB154" s="60"/>
      <c r="AC154" s="62"/>
      <c r="AD154" s="62"/>
      <c r="AE154" s="60"/>
      <c r="AF154" s="60"/>
      <c r="AG154" s="65"/>
      <c r="AH154" s="66"/>
    </row>
    <row r="155" spans="2:34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f>1/7</f>
        <v>0.14285714285714285</v>
      </c>
      <c r="AD155" s="60"/>
      <c r="AE155" s="62">
        <v>1</v>
      </c>
      <c r="AF155" s="62"/>
      <c r="AG155" s="60">
        <v>5</v>
      </c>
      <c r="AH155" s="60"/>
    </row>
    <row r="156" spans="2:34" x14ac:dyDescent="0.35">
      <c r="B156" s="80" t="s">
        <v>25</v>
      </c>
      <c r="C156" s="80"/>
      <c r="D156" s="8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2"/>
      <c r="T156" s="2"/>
      <c r="U156" s="2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</row>
    <row r="157" spans="2:34" x14ac:dyDescent="0.35">
      <c r="AA157" s="60" t="s">
        <v>26</v>
      </c>
      <c r="AB157" s="60"/>
      <c r="AC157" s="60">
        <f>1/9</f>
        <v>0.1111111111111111</v>
      </c>
      <c r="AD157" s="60"/>
      <c r="AE157" s="60">
        <f>1/5</f>
        <v>0.2</v>
      </c>
      <c r="AF157" s="60"/>
      <c r="AG157" s="62">
        <v>1</v>
      </c>
      <c r="AH157" s="62"/>
    </row>
    <row r="158" spans="2:34" x14ac:dyDescent="0.35">
      <c r="AA158" s="60"/>
      <c r="AB158" s="60"/>
      <c r="AC158" s="60"/>
      <c r="AD158" s="60"/>
      <c r="AE158" s="60"/>
      <c r="AF158" s="60"/>
      <c r="AG158" s="62"/>
      <c r="AH158" s="62"/>
    </row>
  </sheetData>
  <mergeCells count="521">
    <mergeCell ref="AQ107:AR108"/>
    <mergeCell ref="AQ109:AR110"/>
    <mergeCell ref="AQ111:AR112"/>
    <mergeCell ref="AQ113:AR114"/>
    <mergeCell ref="AQ115:AR116"/>
    <mergeCell ref="AQ117:AR118"/>
    <mergeCell ref="AQ119:AR120"/>
    <mergeCell ref="AQ121:AR122"/>
    <mergeCell ref="AQ123:AR124"/>
    <mergeCell ref="AA153:AB154"/>
    <mergeCell ref="AC153:AD154"/>
    <mergeCell ref="AE153:AF154"/>
    <mergeCell ref="AG153:AH154"/>
    <mergeCell ref="AA155:AB156"/>
    <mergeCell ref="AC155:AD156"/>
    <mergeCell ref="AE155:AF156"/>
    <mergeCell ref="AG155:AH156"/>
    <mergeCell ref="AA157:AB158"/>
    <mergeCell ref="AC157:AD158"/>
    <mergeCell ref="AE157:AF158"/>
    <mergeCell ref="AG157:AH158"/>
    <mergeCell ref="AC123:AD124"/>
    <mergeCell ref="AE123:AF124"/>
    <mergeCell ref="AG123:AH124"/>
    <mergeCell ref="AI123:AJ124"/>
    <mergeCell ref="AK123:AL124"/>
    <mergeCell ref="AM123:AN124"/>
    <mergeCell ref="AO123:AP124"/>
    <mergeCell ref="AA151:AB152"/>
    <mergeCell ref="AC151:AD152"/>
    <mergeCell ref="AE151:AF152"/>
    <mergeCell ref="AG151:AH152"/>
    <mergeCell ref="AC119:AD120"/>
    <mergeCell ref="AE119:AF120"/>
    <mergeCell ref="AG119:AH120"/>
    <mergeCell ref="AI119:AJ120"/>
    <mergeCell ref="AK119:AL120"/>
    <mergeCell ref="AM119:AN120"/>
    <mergeCell ref="AO119:AP120"/>
    <mergeCell ref="AA121:AB122"/>
    <mergeCell ref="AC121:AD122"/>
    <mergeCell ref="AE121:AF122"/>
    <mergeCell ref="AG121:AH122"/>
    <mergeCell ref="AI121:AJ122"/>
    <mergeCell ref="AK121:AL122"/>
    <mergeCell ref="AM121:AN122"/>
    <mergeCell ref="AO121:AP122"/>
    <mergeCell ref="AA115:AB116"/>
    <mergeCell ref="AC115:AD116"/>
    <mergeCell ref="AE115:AF116"/>
    <mergeCell ref="AG115:AH116"/>
    <mergeCell ref="AI115:AJ116"/>
    <mergeCell ref="AK115:AL116"/>
    <mergeCell ref="AM115:AN116"/>
    <mergeCell ref="AO115:AP116"/>
    <mergeCell ref="AA117:AB118"/>
    <mergeCell ref="AC117:AD118"/>
    <mergeCell ref="AE117:AF118"/>
    <mergeCell ref="AG117:AH118"/>
    <mergeCell ref="AI117:AJ118"/>
    <mergeCell ref="AK117:AL118"/>
    <mergeCell ref="AM117:AN118"/>
    <mergeCell ref="AO117:AP118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A107:AB108"/>
    <mergeCell ref="AC107:AD108"/>
    <mergeCell ref="AE107:AF108"/>
    <mergeCell ref="AG107:AH108"/>
    <mergeCell ref="AI107:AJ108"/>
    <mergeCell ref="AK107:AL108"/>
    <mergeCell ref="AM107:AN108"/>
    <mergeCell ref="AO107:AP108"/>
    <mergeCell ref="AA109:AB110"/>
    <mergeCell ref="AC109:AD110"/>
    <mergeCell ref="AE109:AF110"/>
    <mergeCell ref="AG109:AH110"/>
    <mergeCell ref="AI109:AJ110"/>
    <mergeCell ref="AK109:AL110"/>
    <mergeCell ref="AM109:AN110"/>
    <mergeCell ref="AO109:AP110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AA103:AB104"/>
    <mergeCell ref="AC103:AD104"/>
    <mergeCell ref="AE103:AF104"/>
    <mergeCell ref="AG103:AH104"/>
    <mergeCell ref="AA77:AB78"/>
    <mergeCell ref="AC77:AD78"/>
    <mergeCell ref="AE77:AF78"/>
    <mergeCell ref="AG77:AH78"/>
    <mergeCell ref="AI77:AJ78"/>
    <mergeCell ref="AK77:AL78"/>
    <mergeCell ref="AM77:AN78"/>
    <mergeCell ref="AO77:AP78"/>
    <mergeCell ref="AA97:AB98"/>
    <mergeCell ref="AC97:AD98"/>
    <mergeCell ref="AE97:AF98"/>
    <mergeCell ref="AG97:AH98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5:AB76"/>
    <mergeCell ref="AC75:AD76"/>
    <mergeCell ref="AE75:AF76"/>
    <mergeCell ref="AG75:AH76"/>
    <mergeCell ref="AI75:AJ76"/>
    <mergeCell ref="AK75:AL76"/>
    <mergeCell ref="AM75:AN76"/>
    <mergeCell ref="AO75:AP76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A71:AB72"/>
    <mergeCell ref="AC71:AD72"/>
    <mergeCell ref="AE71:AF72"/>
    <mergeCell ref="AG71:AH72"/>
    <mergeCell ref="AI71:AJ72"/>
    <mergeCell ref="AK71:AL72"/>
    <mergeCell ref="AM71:AN72"/>
    <mergeCell ref="AO71:AP72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E2:U2"/>
    <mergeCell ref="B4:C4"/>
    <mergeCell ref="B6:D6"/>
    <mergeCell ref="V6:X6"/>
    <mergeCell ref="AA6:AB7"/>
    <mergeCell ref="AC6:AD7"/>
    <mergeCell ref="AO8:AP9"/>
    <mergeCell ref="AQ8:AR9"/>
    <mergeCell ref="AS8:AT9"/>
    <mergeCell ref="AQ6:AR7"/>
    <mergeCell ref="AS6:AT7"/>
    <mergeCell ref="B7:D7"/>
    <mergeCell ref="V7:X7"/>
    <mergeCell ref="B8:D8"/>
    <mergeCell ref="V8:X8"/>
    <mergeCell ref="AA8:AB9"/>
    <mergeCell ref="AC8:AD9"/>
    <mergeCell ref="AE8:AF9"/>
    <mergeCell ref="AG8:AH9"/>
    <mergeCell ref="AE6:AF7"/>
    <mergeCell ref="AG6:AH7"/>
    <mergeCell ref="AI6:AJ7"/>
    <mergeCell ref="AK6:AL7"/>
    <mergeCell ref="AM6:AN7"/>
    <mergeCell ref="AO6:AP7"/>
    <mergeCell ref="B9:D9"/>
    <mergeCell ref="V9:X9"/>
    <mergeCell ref="B10:D10"/>
    <mergeCell ref="V10:X10"/>
    <mergeCell ref="AA10:AB11"/>
    <mergeCell ref="AC10:AD11"/>
    <mergeCell ref="AI8:AJ9"/>
    <mergeCell ref="AK8:AL9"/>
    <mergeCell ref="AM8:AN9"/>
    <mergeCell ref="B11:D11"/>
    <mergeCell ref="V11:X11"/>
    <mergeCell ref="B12:D12"/>
    <mergeCell ref="V12:X12"/>
    <mergeCell ref="AA12:AB13"/>
    <mergeCell ref="AC12:AD13"/>
    <mergeCell ref="AE12:AF13"/>
    <mergeCell ref="AG12:AH13"/>
    <mergeCell ref="AE10:AF11"/>
    <mergeCell ref="AG10:AH11"/>
    <mergeCell ref="B13:D13"/>
    <mergeCell ref="V13:X13"/>
    <mergeCell ref="AI12:AJ13"/>
    <mergeCell ref="AK12:AL13"/>
    <mergeCell ref="AM12:AN13"/>
    <mergeCell ref="AM16:AN17"/>
    <mergeCell ref="AO16:AP17"/>
    <mergeCell ref="AO12:AP13"/>
    <mergeCell ref="AQ12:AR13"/>
    <mergeCell ref="AS12:AT13"/>
    <mergeCell ref="AQ10:AR11"/>
    <mergeCell ref="AS10:AT11"/>
    <mergeCell ref="AI10:AJ11"/>
    <mergeCell ref="AK10:AL11"/>
    <mergeCell ref="AM10:AN11"/>
    <mergeCell ref="AO10:AP11"/>
    <mergeCell ref="AQ16:AR17"/>
    <mergeCell ref="AS16:AT17"/>
    <mergeCell ref="B17:D17"/>
    <mergeCell ref="V17:X17"/>
    <mergeCell ref="AQ14:AR15"/>
    <mergeCell ref="AS14:AT15"/>
    <mergeCell ref="B16:D16"/>
    <mergeCell ref="V16:X16"/>
    <mergeCell ref="AA16:AB17"/>
    <mergeCell ref="AC16:AD17"/>
    <mergeCell ref="AE16:AF17"/>
    <mergeCell ref="AG16:AH17"/>
    <mergeCell ref="AI16:AJ17"/>
    <mergeCell ref="AK16:AL17"/>
    <mergeCell ref="AE14:AF15"/>
    <mergeCell ref="AG14:AH15"/>
    <mergeCell ref="AI14:AJ15"/>
    <mergeCell ref="AK14:AL15"/>
    <mergeCell ref="AM14:AN15"/>
    <mergeCell ref="AO14:AP15"/>
    <mergeCell ref="B14:D14"/>
    <mergeCell ref="V14:X14"/>
    <mergeCell ref="AA14:AB15"/>
    <mergeCell ref="AC14:AD15"/>
    <mergeCell ref="AI18:AJ19"/>
    <mergeCell ref="AK18:AL19"/>
    <mergeCell ref="AM18:AN19"/>
    <mergeCell ref="AO18:AP19"/>
    <mergeCell ref="AQ18:AR19"/>
    <mergeCell ref="AS18:AT19"/>
    <mergeCell ref="B18:D18"/>
    <mergeCell ref="V18:X18"/>
    <mergeCell ref="AA18:AB19"/>
    <mergeCell ref="AC18:AD19"/>
    <mergeCell ref="AE18:AF19"/>
    <mergeCell ref="AG18:AH19"/>
    <mergeCell ref="B19:D19"/>
    <mergeCell ref="V19:X19"/>
    <mergeCell ref="AI20:AJ21"/>
    <mergeCell ref="AK20:AL21"/>
    <mergeCell ref="AM20:AN21"/>
    <mergeCell ref="AO20:AP21"/>
    <mergeCell ref="AQ20:AR21"/>
    <mergeCell ref="AS20:AT21"/>
    <mergeCell ref="B20:D20"/>
    <mergeCell ref="V20:X20"/>
    <mergeCell ref="AA20:AB21"/>
    <mergeCell ref="AC20:AD21"/>
    <mergeCell ref="AE20:AF21"/>
    <mergeCell ref="AG20:AH21"/>
    <mergeCell ref="B21:D21"/>
    <mergeCell ref="V21:X21"/>
    <mergeCell ref="AI22:AJ23"/>
    <mergeCell ref="AK22:AL23"/>
    <mergeCell ref="AM22:AN23"/>
    <mergeCell ref="AO22:AP23"/>
    <mergeCell ref="AQ22:AR23"/>
    <mergeCell ref="AS22:AT23"/>
    <mergeCell ref="B22:D22"/>
    <mergeCell ref="V22:X22"/>
    <mergeCell ref="AA22:AB23"/>
    <mergeCell ref="AC22:AD23"/>
    <mergeCell ref="AE22:AF23"/>
    <mergeCell ref="AG22:AH23"/>
    <mergeCell ref="B23:D23"/>
    <mergeCell ref="V23:X23"/>
    <mergeCell ref="AS24:AT25"/>
    <mergeCell ref="B25:D25"/>
    <mergeCell ref="V25:X25"/>
    <mergeCell ref="AA24:AB25"/>
    <mergeCell ref="AC24:AD25"/>
    <mergeCell ref="AE24:AF25"/>
    <mergeCell ref="AG24:AH25"/>
    <mergeCell ref="AI24:AJ25"/>
    <mergeCell ref="AK24:AL25"/>
    <mergeCell ref="B26:D26"/>
    <mergeCell ref="V26:X26"/>
    <mergeCell ref="B27:D27"/>
    <mergeCell ref="V27:X27"/>
    <mergeCell ref="B28:D28"/>
    <mergeCell ref="V28:X28"/>
    <mergeCell ref="AM24:AN25"/>
    <mergeCell ref="AO24:AP25"/>
    <mergeCell ref="AQ24:AR25"/>
    <mergeCell ref="B33:D33"/>
    <mergeCell ref="V33:X33"/>
    <mergeCell ref="B34:D34"/>
    <mergeCell ref="V34:X34"/>
    <mergeCell ref="B35:D35"/>
    <mergeCell ref="V35:X35"/>
    <mergeCell ref="B29:D29"/>
    <mergeCell ref="V29:X29"/>
    <mergeCell ref="B30:D30"/>
    <mergeCell ref="V30:X30"/>
    <mergeCell ref="B31:D31"/>
    <mergeCell ref="V31:X31"/>
    <mergeCell ref="B40:D40"/>
    <mergeCell ref="V40:X40"/>
    <mergeCell ref="B41:D41"/>
    <mergeCell ref="V41:X41"/>
    <mergeCell ref="B42:D42"/>
    <mergeCell ref="V42:X42"/>
    <mergeCell ref="B36:D36"/>
    <mergeCell ref="V36:X36"/>
    <mergeCell ref="B37:D37"/>
    <mergeCell ref="V37:X37"/>
    <mergeCell ref="B38:D38"/>
    <mergeCell ref="V38:X38"/>
    <mergeCell ref="B47:D47"/>
    <mergeCell ref="V47:X47"/>
    <mergeCell ref="B48:D48"/>
    <mergeCell ref="V48:X48"/>
    <mergeCell ref="B49:D49"/>
    <mergeCell ref="V49:X49"/>
    <mergeCell ref="B43:D43"/>
    <mergeCell ref="V43:X43"/>
    <mergeCell ref="B44:D44"/>
    <mergeCell ref="V44:X44"/>
    <mergeCell ref="B46:D46"/>
    <mergeCell ref="V46:X46"/>
    <mergeCell ref="B55:D55"/>
    <mergeCell ref="V55:X55"/>
    <mergeCell ref="B56:D56"/>
    <mergeCell ref="V56:X56"/>
    <mergeCell ref="B59:C59"/>
    <mergeCell ref="B61:D61"/>
    <mergeCell ref="V61:X61"/>
    <mergeCell ref="B51:D51"/>
    <mergeCell ref="V51:X51"/>
    <mergeCell ref="B52:D52"/>
    <mergeCell ref="V52:X52"/>
    <mergeCell ref="B53:D53"/>
    <mergeCell ref="V53:X53"/>
    <mergeCell ref="B65:D65"/>
    <mergeCell ref="V65:X65"/>
    <mergeCell ref="B66:D66"/>
    <mergeCell ref="V66:X66"/>
    <mergeCell ref="B67:D67"/>
    <mergeCell ref="V67:X67"/>
    <mergeCell ref="B62:D62"/>
    <mergeCell ref="V62:X62"/>
    <mergeCell ref="B63:D63"/>
    <mergeCell ref="V63:X63"/>
    <mergeCell ref="B64:D64"/>
    <mergeCell ref="V64:X64"/>
    <mergeCell ref="B72:D72"/>
    <mergeCell ref="V72:X72"/>
    <mergeCell ref="B73:D73"/>
    <mergeCell ref="V73:X73"/>
    <mergeCell ref="B74:D74"/>
    <mergeCell ref="V74:X74"/>
    <mergeCell ref="B69:D69"/>
    <mergeCell ref="V69:X69"/>
    <mergeCell ref="B70:D70"/>
    <mergeCell ref="V70:X70"/>
    <mergeCell ref="B71:D71"/>
    <mergeCell ref="V71:X71"/>
    <mergeCell ref="B79:D79"/>
    <mergeCell ref="V79:X79"/>
    <mergeCell ref="B80:D80"/>
    <mergeCell ref="V80:X80"/>
    <mergeCell ref="B82:D82"/>
    <mergeCell ref="V82:X82"/>
    <mergeCell ref="B76:D76"/>
    <mergeCell ref="V76:X76"/>
    <mergeCell ref="B77:D77"/>
    <mergeCell ref="V77:X77"/>
    <mergeCell ref="B78:D78"/>
    <mergeCell ref="V78:X78"/>
    <mergeCell ref="B87:D87"/>
    <mergeCell ref="V87:X87"/>
    <mergeCell ref="B88:D88"/>
    <mergeCell ref="V88:X88"/>
    <mergeCell ref="B89:D89"/>
    <mergeCell ref="V89:X89"/>
    <mergeCell ref="B83:D83"/>
    <mergeCell ref="V83:X83"/>
    <mergeCell ref="B84:D84"/>
    <mergeCell ref="V84:X84"/>
    <mergeCell ref="B85:D85"/>
    <mergeCell ref="V85:X85"/>
    <mergeCell ref="B98:D98"/>
    <mergeCell ref="V98:X98"/>
    <mergeCell ref="B99:D99"/>
    <mergeCell ref="V99:X99"/>
    <mergeCell ref="B101:D101"/>
    <mergeCell ref="V101:X101"/>
    <mergeCell ref="B91:D91"/>
    <mergeCell ref="V91:X91"/>
    <mergeCell ref="B92:D92"/>
    <mergeCell ref="V92:X92"/>
    <mergeCell ref="B95:D95"/>
    <mergeCell ref="B97:D97"/>
    <mergeCell ref="V97:X97"/>
    <mergeCell ref="B109:D109"/>
    <mergeCell ref="V109:X109"/>
    <mergeCell ref="B110:D110"/>
    <mergeCell ref="V110:X110"/>
    <mergeCell ref="B111:D111"/>
    <mergeCell ref="V111:X111"/>
    <mergeCell ref="B102:D102"/>
    <mergeCell ref="V102:X102"/>
    <mergeCell ref="B107:D107"/>
    <mergeCell ref="V107:X107"/>
    <mergeCell ref="B108:D108"/>
    <mergeCell ref="V108:X108"/>
    <mergeCell ref="B116:D116"/>
    <mergeCell ref="V116:X116"/>
    <mergeCell ref="B117:D117"/>
    <mergeCell ref="V117:X117"/>
    <mergeCell ref="B118:D118"/>
    <mergeCell ref="V118:X118"/>
    <mergeCell ref="B112:D112"/>
    <mergeCell ref="V112:X112"/>
    <mergeCell ref="B113:D113"/>
    <mergeCell ref="V113:X113"/>
    <mergeCell ref="B114:D114"/>
    <mergeCell ref="V114:X114"/>
    <mergeCell ref="B122:D122"/>
    <mergeCell ref="V122:X122"/>
    <mergeCell ref="B124:D124"/>
    <mergeCell ref="V124:X124"/>
    <mergeCell ref="B125:D125"/>
    <mergeCell ref="V125:X125"/>
    <mergeCell ref="AA123:AB124"/>
    <mergeCell ref="B119:D119"/>
    <mergeCell ref="V119:X119"/>
    <mergeCell ref="B120:D120"/>
    <mergeCell ref="V120:X120"/>
    <mergeCell ref="B121:D121"/>
    <mergeCell ref="V121:X121"/>
    <mergeCell ref="AA119:AB120"/>
    <mergeCell ref="B129:D129"/>
    <mergeCell ref="V129:X129"/>
    <mergeCell ref="B131:D131"/>
    <mergeCell ref="V131:X131"/>
    <mergeCell ref="B132:D132"/>
    <mergeCell ref="V132:X132"/>
    <mergeCell ref="B126:D126"/>
    <mergeCell ref="V126:X126"/>
    <mergeCell ref="B127:D127"/>
    <mergeCell ref="V127:X127"/>
    <mergeCell ref="B128:D128"/>
    <mergeCell ref="V128:X128"/>
    <mergeCell ref="B137:D137"/>
    <mergeCell ref="V137:X137"/>
    <mergeCell ref="B138:D138"/>
    <mergeCell ref="V138:X138"/>
    <mergeCell ref="B139:D139"/>
    <mergeCell ref="V139:X139"/>
    <mergeCell ref="B133:D133"/>
    <mergeCell ref="V133:X133"/>
    <mergeCell ref="B134:D134"/>
    <mergeCell ref="V134:X134"/>
    <mergeCell ref="B135:D135"/>
    <mergeCell ref="V135:X135"/>
    <mergeCell ref="B144:D144"/>
    <mergeCell ref="V144:X144"/>
    <mergeCell ref="B146:D146"/>
    <mergeCell ref="V146:X146"/>
    <mergeCell ref="B147:D147"/>
    <mergeCell ref="V147:X147"/>
    <mergeCell ref="B140:D140"/>
    <mergeCell ref="V140:X140"/>
    <mergeCell ref="B142:D142"/>
    <mergeCell ref="V142:X142"/>
    <mergeCell ref="B143:D143"/>
    <mergeCell ref="V143:X143"/>
    <mergeCell ref="B155:D155"/>
    <mergeCell ref="V155:X155"/>
    <mergeCell ref="B156:D156"/>
    <mergeCell ref="V156:X156"/>
    <mergeCell ref="B151:D151"/>
    <mergeCell ref="V151:X151"/>
    <mergeCell ref="B152:D152"/>
    <mergeCell ref="V152:X152"/>
    <mergeCell ref="B153:D153"/>
    <mergeCell ref="V153:X15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478D-8062-4B1B-B063-4B22C228EE94}">
  <dimension ref="B2:AT158"/>
  <sheetViews>
    <sheetView topLeftCell="A13" zoomScale="14" zoomScaleNormal="100" workbookViewId="0">
      <selection activeCell="AA6" sqref="AA6:AT159"/>
    </sheetView>
  </sheetViews>
  <sheetFormatPr defaultRowHeight="14.5" x14ac:dyDescent="0.35"/>
  <cols>
    <col min="4" max="4" width="9.1796875" customWidth="1"/>
    <col min="5" max="21" width="2.453125" customWidth="1"/>
    <col min="52" max="68" width="2.453125" customWidth="1"/>
  </cols>
  <sheetData>
    <row r="2" spans="2:46" x14ac:dyDescent="0.35">
      <c r="E2" s="86" t="s">
        <v>0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</row>
    <row r="4" spans="2:46" x14ac:dyDescent="0.35">
      <c r="B4" s="85" t="s">
        <v>1</v>
      </c>
      <c r="C4" s="85"/>
    </row>
    <row r="6" spans="2:46" ht="15" customHeight="1" x14ac:dyDescent="0.35">
      <c r="B6" s="79" t="s">
        <v>2</v>
      </c>
      <c r="C6" s="79"/>
      <c r="D6" s="79"/>
      <c r="E6" s="2">
        <v>9</v>
      </c>
      <c r="F6" s="2">
        <v>8</v>
      </c>
      <c r="G6" s="2">
        <v>7</v>
      </c>
      <c r="H6" s="2">
        <v>6</v>
      </c>
      <c r="I6" s="2">
        <v>5</v>
      </c>
      <c r="J6" s="2">
        <v>4</v>
      </c>
      <c r="K6" s="2">
        <v>3</v>
      </c>
      <c r="L6" s="2">
        <v>2</v>
      </c>
      <c r="M6" s="2">
        <v>1</v>
      </c>
      <c r="N6" s="2">
        <v>2</v>
      </c>
      <c r="O6" s="2">
        <v>3</v>
      </c>
      <c r="P6" s="2">
        <v>4</v>
      </c>
      <c r="Q6" s="2">
        <v>5</v>
      </c>
      <c r="R6" s="2">
        <v>6</v>
      </c>
      <c r="S6" s="2">
        <v>7</v>
      </c>
      <c r="T6" s="2">
        <v>8</v>
      </c>
      <c r="U6" s="2">
        <v>9</v>
      </c>
      <c r="V6" s="79" t="s">
        <v>3</v>
      </c>
      <c r="W6" s="79"/>
      <c r="X6" s="79"/>
      <c r="AA6" s="60"/>
      <c r="AB6" s="60"/>
      <c r="AC6" s="60" t="s">
        <v>78</v>
      </c>
      <c r="AD6" s="60"/>
      <c r="AE6" s="60" t="s">
        <v>85</v>
      </c>
      <c r="AF6" s="60"/>
      <c r="AG6" s="60" t="s">
        <v>4</v>
      </c>
      <c r="AH6" s="60"/>
      <c r="AI6" s="60" t="s">
        <v>5</v>
      </c>
      <c r="AJ6" s="60"/>
      <c r="AK6" s="60" t="s">
        <v>32</v>
      </c>
      <c r="AL6" s="60"/>
      <c r="AM6" s="60" t="s">
        <v>7</v>
      </c>
      <c r="AN6" s="60"/>
      <c r="AO6" s="60" t="s">
        <v>8</v>
      </c>
      <c r="AP6" s="60"/>
      <c r="AQ6" s="60" t="s">
        <v>80</v>
      </c>
      <c r="AR6" s="60"/>
      <c r="AS6" s="60" t="s">
        <v>33</v>
      </c>
      <c r="AT6" s="60"/>
    </row>
    <row r="7" spans="2:46" x14ac:dyDescent="0.35">
      <c r="B7" s="80" t="s">
        <v>78</v>
      </c>
      <c r="C7" s="80"/>
      <c r="D7" s="8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  <c r="R7" s="2"/>
      <c r="S7" s="2"/>
      <c r="T7" s="2"/>
      <c r="U7" s="2"/>
      <c r="V7" s="80" t="s">
        <v>85</v>
      </c>
      <c r="W7" s="80"/>
      <c r="X7" s="8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</row>
    <row r="8" spans="2:46" ht="15" customHeight="1" x14ac:dyDescent="0.35">
      <c r="B8" s="80" t="s">
        <v>78</v>
      </c>
      <c r="C8" s="80"/>
      <c r="D8" s="8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"/>
      <c r="T8" s="2"/>
      <c r="U8" s="2"/>
      <c r="V8" s="80" t="s">
        <v>4</v>
      </c>
      <c r="W8" s="80"/>
      <c r="X8" s="80"/>
      <c r="AA8" s="60" t="s">
        <v>78</v>
      </c>
      <c r="AB8" s="60"/>
      <c r="AC8" s="62">
        <v>1</v>
      </c>
      <c r="AD8" s="62"/>
      <c r="AE8" s="60">
        <v>5</v>
      </c>
      <c r="AF8" s="60"/>
      <c r="AG8" s="63">
        <v>7</v>
      </c>
      <c r="AH8" s="64"/>
      <c r="AI8" s="60">
        <v>7</v>
      </c>
      <c r="AJ8" s="60"/>
      <c r="AK8" s="60">
        <f>1/5</f>
        <v>0.2</v>
      </c>
      <c r="AL8" s="60"/>
      <c r="AM8" s="60">
        <f>1/3</f>
        <v>0.33333333333333331</v>
      </c>
      <c r="AN8" s="60"/>
      <c r="AO8" s="60">
        <v>7</v>
      </c>
      <c r="AP8" s="60"/>
      <c r="AQ8" s="60">
        <v>3</v>
      </c>
      <c r="AR8" s="60"/>
      <c r="AS8" s="60">
        <f>1/4</f>
        <v>0.25</v>
      </c>
      <c r="AT8" s="60"/>
    </row>
    <row r="9" spans="2:46" x14ac:dyDescent="0.35">
      <c r="B9" s="80" t="s">
        <v>78</v>
      </c>
      <c r="C9" s="80"/>
      <c r="D9" s="8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"/>
      <c r="T9" s="2"/>
      <c r="U9" s="2"/>
      <c r="V9" s="80" t="s">
        <v>5</v>
      </c>
      <c r="W9" s="80"/>
      <c r="X9" s="80"/>
      <c r="AA9" s="60"/>
      <c r="AB9" s="60"/>
      <c r="AC9" s="62"/>
      <c r="AD9" s="62"/>
      <c r="AE9" s="60"/>
      <c r="AF9" s="60"/>
      <c r="AG9" s="65"/>
      <c r="AH9" s="6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</row>
    <row r="10" spans="2:46" ht="15" customHeight="1" x14ac:dyDescent="0.35">
      <c r="B10" s="80" t="s">
        <v>78</v>
      </c>
      <c r="C10" s="80"/>
      <c r="D10" s="80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80" t="s">
        <v>6</v>
      </c>
      <c r="W10" s="80"/>
      <c r="X10" s="80"/>
      <c r="AA10" s="60" t="s">
        <v>85</v>
      </c>
      <c r="AB10" s="60"/>
      <c r="AC10" s="60">
        <f>1/5</f>
        <v>0.2</v>
      </c>
      <c r="AD10" s="60"/>
      <c r="AE10" s="62">
        <v>1</v>
      </c>
      <c r="AF10" s="62"/>
      <c r="AG10" s="60">
        <f>1/2</f>
        <v>0.5</v>
      </c>
      <c r="AH10" s="60"/>
      <c r="AI10" s="60">
        <f>1/2</f>
        <v>0.5</v>
      </c>
      <c r="AJ10" s="60"/>
      <c r="AK10" s="60">
        <f>1/5</f>
        <v>0.2</v>
      </c>
      <c r="AL10" s="60"/>
      <c r="AM10" s="60">
        <v>3</v>
      </c>
      <c r="AN10" s="60"/>
      <c r="AO10" s="60">
        <v>7</v>
      </c>
      <c r="AP10" s="60"/>
      <c r="AQ10" s="60">
        <f>1/5</f>
        <v>0.2</v>
      </c>
      <c r="AR10" s="60"/>
      <c r="AS10" s="60">
        <v>6</v>
      </c>
      <c r="AT10" s="60"/>
    </row>
    <row r="11" spans="2:46" x14ac:dyDescent="0.35">
      <c r="B11" s="80" t="s">
        <v>78</v>
      </c>
      <c r="C11" s="80"/>
      <c r="D11" s="80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80" t="s">
        <v>7</v>
      </c>
      <c r="W11" s="80"/>
      <c r="X11" s="80"/>
      <c r="AA11" s="60"/>
      <c r="AB11" s="60"/>
      <c r="AC11" s="60"/>
      <c r="AD11" s="60"/>
      <c r="AE11" s="62"/>
      <c r="AF11" s="62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</row>
    <row r="12" spans="2:46" ht="15" customHeight="1" x14ac:dyDescent="0.35">
      <c r="B12" s="80" t="s">
        <v>78</v>
      </c>
      <c r="C12" s="80"/>
      <c r="D12" s="8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"/>
      <c r="T12" s="2"/>
      <c r="U12" s="2"/>
      <c r="V12" s="80" t="s">
        <v>8</v>
      </c>
      <c r="W12" s="80"/>
      <c r="X12" s="80"/>
      <c r="AA12" s="60" t="s">
        <v>4</v>
      </c>
      <c r="AB12" s="60"/>
      <c r="AC12" s="60">
        <f>1/7</f>
        <v>0.14285714285714285</v>
      </c>
      <c r="AD12" s="60"/>
      <c r="AE12" s="60">
        <v>2</v>
      </c>
      <c r="AF12" s="60"/>
      <c r="AG12" s="62">
        <v>1</v>
      </c>
      <c r="AH12" s="62"/>
      <c r="AI12" s="60">
        <f>1/7</f>
        <v>0.14285714285714285</v>
      </c>
      <c r="AJ12" s="60"/>
      <c r="AK12" s="60">
        <f>1/7</f>
        <v>0.14285714285714285</v>
      </c>
      <c r="AL12" s="60"/>
      <c r="AM12" s="60">
        <v>5</v>
      </c>
      <c r="AN12" s="60"/>
      <c r="AO12" s="60">
        <v>3</v>
      </c>
      <c r="AP12" s="60"/>
      <c r="AQ12" s="60">
        <v>7</v>
      </c>
      <c r="AR12" s="60"/>
      <c r="AS12" s="60">
        <f>1/5</f>
        <v>0.2</v>
      </c>
      <c r="AT12" s="60"/>
    </row>
    <row r="13" spans="2:46" x14ac:dyDescent="0.35">
      <c r="B13" s="80" t="s">
        <v>78</v>
      </c>
      <c r="C13" s="80"/>
      <c r="D13" s="80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80" t="s">
        <v>80</v>
      </c>
      <c r="W13" s="80"/>
      <c r="X13" s="80"/>
      <c r="AA13" s="60"/>
      <c r="AB13" s="60"/>
      <c r="AC13" s="60"/>
      <c r="AD13" s="60"/>
      <c r="AE13" s="60"/>
      <c r="AF13" s="60"/>
      <c r="AG13" s="62"/>
      <c r="AH13" s="62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</row>
    <row r="14" spans="2:46" ht="15" customHeight="1" x14ac:dyDescent="0.35">
      <c r="B14" s="80" t="s">
        <v>78</v>
      </c>
      <c r="C14" s="80"/>
      <c r="D14" s="80"/>
      <c r="E14" s="38"/>
      <c r="F14" s="38"/>
      <c r="G14" s="38"/>
      <c r="H14" s="38"/>
      <c r="I14" s="38"/>
      <c r="J14" s="3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80" t="s">
        <v>9</v>
      </c>
      <c r="W14" s="80"/>
      <c r="X14" s="80"/>
      <c r="AA14" s="60" t="s">
        <v>5</v>
      </c>
      <c r="AB14" s="60"/>
      <c r="AC14" s="60">
        <f>1/7</f>
        <v>0.14285714285714285</v>
      </c>
      <c r="AD14" s="60"/>
      <c r="AE14" s="60">
        <v>2</v>
      </c>
      <c r="AF14" s="60"/>
      <c r="AG14" s="60">
        <v>7</v>
      </c>
      <c r="AH14" s="60"/>
      <c r="AI14" s="62">
        <v>1</v>
      </c>
      <c r="AJ14" s="62"/>
      <c r="AK14" s="60">
        <f>1/3</f>
        <v>0.33333333333333331</v>
      </c>
      <c r="AL14" s="60"/>
      <c r="AM14" s="60">
        <f>1/3</f>
        <v>0.33333333333333331</v>
      </c>
      <c r="AN14" s="60"/>
      <c r="AO14" s="60">
        <f>1/9</f>
        <v>0.1111111111111111</v>
      </c>
      <c r="AP14" s="60"/>
      <c r="AQ14" s="60">
        <v>5</v>
      </c>
      <c r="AR14" s="60"/>
      <c r="AS14" s="60">
        <v>3</v>
      </c>
      <c r="AT14" s="60"/>
    </row>
    <row r="15" spans="2:46" x14ac:dyDescent="0.35">
      <c r="B15" s="6"/>
      <c r="C15" s="6"/>
      <c r="D15" s="6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6"/>
      <c r="W15" s="6"/>
      <c r="X15" s="6"/>
      <c r="AA15" s="60"/>
      <c r="AB15" s="60"/>
      <c r="AC15" s="60"/>
      <c r="AD15" s="60"/>
      <c r="AE15" s="60"/>
      <c r="AF15" s="60"/>
      <c r="AG15" s="60"/>
      <c r="AH15" s="60"/>
      <c r="AI15" s="62"/>
      <c r="AJ15" s="62"/>
      <c r="AK15" s="60"/>
      <c r="AL15" s="60"/>
      <c r="AM15" s="60"/>
      <c r="AN15" s="60"/>
      <c r="AO15" s="60"/>
      <c r="AP15" s="60"/>
      <c r="AQ15" s="60"/>
      <c r="AR15" s="60"/>
      <c r="AS15" s="60"/>
      <c r="AT15" s="60"/>
    </row>
    <row r="16" spans="2:46" ht="15" customHeight="1" x14ac:dyDescent="0.35">
      <c r="B16" s="79" t="s">
        <v>2</v>
      </c>
      <c r="C16" s="79"/>
      <c r="D16" s="79"/>
      <c r="E16" s="36">
        <v>9</v>
      </c>
      <c r="F16" s="36">
        <v>8</v>
      </c>
      <c r="G16" s="36">
        <v>7</v>
      </c>
      <c r="H16" s="36">
        <v>6</v>
      </c>
      <c r="I16" s="36">
        <v>5</v>
      </c>
      <c r="J16" s="36">
        <v>4</v>
      </c>
      <c r="K16" s="36">
        <v>3</v>
      </c>
      <c r="L16" s="36">
        <v>2</v>
      </c>
      <c r="M16" s="36">
        <v>1</v>
      </c>
      <c r="N16" s="36">
        <v>2</v>
      </c>
      <c r="O16" s="36">
        <v>3</v>
      </c>
      <c r="P16" s="36">
        <v>4</v>
      </c>
      <c r="Q16" s="36">
        <v>5</v>
      </c>
      <c r="R16" s="36">
        <v>6</v>
      </c>
      <c r="S16" s="36">
        <v>7</v>
      </c>
      <c r="T16" s="36">
        <v>8</v>
      </c>
      <c r="U16" s="36">
        <v>9</v>
      </c>
      <c r="V16" s="79" t="s">
        <v>3</v>
      </c>
      <c r="W16" s="79"/>
      <c r="X16" s="79"/>
      <c r="AA16" s="60" t="s">
        <v>32</v>
      </c>
      <c r="AB16" s="60"/>
      <c r="AC16" s="60">
        <v>5</v>
      </c>
      <c r="AD16" s="60"/>
      <c r="AE16" s="60">
        <v>5</v>
      </c>
      <c r="AF16" s="60"/>
      <c r="AG16" s="60">
        <v>7</v>
      </c>
      <c r="AH16" s="60"/>
      <c r="AI16" s="60">
        <v>3</v>
      </c>
      <c r="AJ16" s="60"/>
      <c r="AK16" s="62">
        <v>1</v>
      </c>
      <c r="AL16" s="62"/>
      <c r="AM16" s="60">
        <f>1/5</f>
        <v>0.2</v>
      </c>
      <c r="AN16" s="60"/>
      <c r="AO16" s="60">
        <v>3</v>
      </c>
      <c r="AP16" s="60"/>
      <c r="AQ16" s="60">
        <v>5</v>
      </c>
      <c r="AR16" s="60"/>
      <c r="AS16" s="60">
        <f>1/7</f>
        <v>0.14285714285714285</v>
      </c>
      <c r="AT16" s="60"/>
    </row>
    <row r="17" spans="2:46" x14ac:dyDescent="0.35">
      <c r="B17" s="80" t="s">
        <v>85</v>
      </c>
      <c r="C17" s="80"/>
      <c r="D17" s="80"/>
      <c r="E17" s="2"/>
      <c r="F17" s="2"/>
      <c r="G17" s="2"/>
      <c r="H17" s="2"/>
      <c r="I17" s="2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80" t="s">
        <v>4</v>
      </c>
      <c r="W17" s="80"/>
      <c r="X17" s="8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2"/>
      <c r="AL17" s="62"/>
      <c r="AM17" s="60"/>
      <c r="AN17" s="60"/>
      <c r="AO17" s="60"/>
      <c r="AP17" s="60"/>
      <c r="AQ17" s="60"/>
      <c r="AR17" s="60"/>
      <c r="AS17" s="60"/>
      <c r="AT17" s="60"/>
    </row>
    <row r="18" spans="2:46" ht="15" customHeight="1" x14ac:dyDescent="0.35">
      <c r="B18" s="80" t="s">
        <v>85</v>
      </c>
      <c r="C18" s="80"/>
      <c r="D18" s="80"/>
      <c r="E18" s="2"/>
      <c r="F18" s="2"/>
      <c r="G18" s="2"/>
      <c r="H18" s="2"/>
      <c r="I18" s="2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80" t="s">
        <v>5</v>
      </c>
      <c r="W18" s="80"/>
      <c r="X18" s="80"/>
      <c r="AA18" s="60" t="s">
        <v>7</v>
      </c>
      <c r="AB18" s="60"/>
      <c r="AC18" s="60">
        <v>3</v>
      </c>
      <c r="AD18" s="60"/>
      <c r="AE18" s="60">
        <f>1/3</f>
        <v>0.33333333333333331</v>
      </c>
      <c r="AF18" s="60"/>
      <c r="AG18" s="60">
        <f>1/5</f>
        <v>0.2</v>
      </c>
      <c r="AH18" s="60"/>
      <c r="AI18" s="60">
        <v>3</v>
      </c>
      <c r="AJ18" s="60"/>
      <c r="AK18" s="60">
        <v>5</v>
      </c>
      <c r="AL18" s="60"/>
      <c r="AM18" s="62">
        <v>1</v>
      </c>
      <c r="AN18" s="62"/>
      <c r="AO18" s="60">
        <f>1/5</f>
        <v>0.2</v>
      </c>
      <c r="AP18" s="60"/>
      <c r="AQ18" s="60">
        <v>3</v>
      </c>
      <c r="AR18" s="60"/>
      <c r="AS18" s="60">
        <f>1/3</f>
        <v>0.33333333333333331</v>
      </c>
      <c r="AT18" s="60"/>
    </row>
    <row r="19" spans="2:46" x14ac:dyDescent="0.35">
      <c r="B19" s="80" t="s">
        <v>85</v>
      </c>
      <c r="C19" s="80"/>
      <c r="D19" s="80"/>
      <c r="E19" s="2"/>
      <c r="F19" s="2"/>
      <c r="G19" s="2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80" t="s">
        <v>6</v>
      </c>
      <c r="W19" s="80"/>
      <c r="X19" s="8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2"/>
      <c r="AN19" s="62"/>
      <c r="AO19" s="60"/>
      <c r="AP19" s="60"/>
      <c r="AQ19" s="60"/>
      <c r="AR19" s="60"/>
      <c r="AS19" s="60"/>
      <c r="AT19" s="60"/>
    </row>
    <row r="20" spans="2:46" ht="15" customHeight="1" x14ac:dyDescent="0.35">
      <c r="B20" s="80" t="s">
        <v>85</v>
      </c>
      <c r="C20" s="80"/>
      <c r="D20" s="80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  <c r="V20" s="80" t="s">
        <v>7</v>
      </c>
      <c r="W20" s="80"/>
      <c r="X20" s="80"/>
      <c r="AA20" s="60" t="s">
        <v>8</v>
      </c>
      <c r="AB20" s="60"/>
      <c r="AC20" s="60">
        <f>1/7</f>
        <v>0.14285714285714285</v>
      </c>
      <c r="AD20" s="60"/>
      <c r="AE20" s="60">
        <f>1/7</f>
        <v>0.14285714285714285</v>
      </c>
      <c r="AF20" s="60"/>
      <c r="AG20" s="60">
        <f>1/3</f>
        <v>0.33333333333333331</v>
      </c>
      <c r="AH20" s="60"/>
      <c r="AI20" s="60">
        <v>9</v>
      </c>
      <c r="AJ20" s="60"/>
      <c r="AK20" s="60">
        <f>1/3</f>
        <v>0.33333333333333331</v>
      </c>
      <c r="AL20" s="60"/>
      <c r="AM20" s="60">
        <v>5</v>
      </c>
      <c r="AN20" s="60"/>
      <c r="AO20" s="62">
        <v>1</v>
      </c>
      <c r="AP20" s="62"/>
      <c r="AQ20" s="60">
        <v>3</v>
      </c>
      <c r="AR20" s="60"/>
      <c r="AS20" s="60">
        <f>1/3</f>
        <v>0.33333333333333331</v>
      </c>
      <c r="AT20" s="60"/>
    </row>
    <row r="21" spans="2:46" x14ac:dyDescent="0.35">
      <c r="B21" s="80" t="s">
        <v>85</v>
      </c>
      <c r="C21" s="80"/>
      <c r="D21" s="8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3"/>
      <c r="T21" s="2"/>
      <c r="U21" s="2"/>
      <c r="V21" s="80" t="s">
        <v>8</v>
      </c>
      <c r="W21" s="80"/>
      <c r="X21" s="8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2"/>
      <c r="AP21" s="62"/>
      <c r="AQ21" s="60"/>
      <c r="AR21" s="60"/>
      <c r="AS21" s="60"/>
      <c r="AT21" s="60"/>
    </row>
    <row r="22" spans="2:46" ht="15" customHeight="1" x14ac:dyDescent="0.35">
      <c r="B22" s="80" t="s">
        <v>85</v>
      </c>
      <c r="C22" s="80"/>
      <c r="D22" s="81"/>
      <c r="E22" s="2"/>
      <c r="F22" s="2"/>
      <c r="G22" s="2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83" t="s">
        <v>80</v>
      </c>
      <c r="W22" s="80"/>
      <c r="X22" s="80"/>
      <c r="AA22" s="60" t="s">
        <v>80</v>
      </c>
      <c r="AB22" s="60"/>
      <c r="AC22" s="60">
        <f>1/3</f>
        <v>0.33333333333333331</v>
      </c>
      <c r="AD22" s="60"/>
      <c r="AE22" s="60">
        <v>5</v>
      </c>
      <c r="AF22" s="60"/>
      <c r="AG22" s="60">
        <f>1/7</f>
        <v>0.14285714285714285</v>
      </c>
      <c r="AH22" s="60"/>
      <c r="AI22" s="60">
        <f>1/5</f>
        <v>0.2</v>
      </c>
      <c r="AJ22" s="60"/>
      <c r="AK22" s="60">
        <f>1/5</f>
        <v>0.2</v>
      </c>
      <c r="AL22" s="60"/>
      <c r="AM22" s="60">
        <f>1/3</f>
        <v>0.33333333333333331</v>
      </c>
      <c r="AN22" s="60"/>
      <c r="AO22" s="60">
        <f>1/3</f>
        <v>0.33333333333333331</v>
      </c>
      <c r="AP22" s="60"/>
      <c r="AQ22" s="62">
        <v>1</v>
      </c>
      <c r="AR22" s="62"/>
      <c r="AS22" s="60">
        <f>1/5</f>
        <v>0.2</v>
      </c>
      <c r="AT22" s="60"/>
    </row>
    <row r="23" spans="2:46" x14ac:dyDescent="0.35">
      <c r="B23" s="80" t="s">
        <v>85</v>
      </c>
      <c r="C23" s="80"/>
      <c r="D23" s="8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"/>
      <c r="S23" s="2"/>
      <c r="T23" s="2"/>
      <c r="U23" s="2"/>
      <c r="V23" s="83" t="s">
        <v>9</v>
      </c>
      <c r="W23" s="80"/>
      <c r="X23" s="8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2"/>
      <c r="AR23" s="62"/>
      <c r="AS23" s="60"/>
      <c r="AT23" s="60"/>
    </row>
    <row r="24" spans="2:46" ht="15" customHeight="1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AA24" s="60" t="s">
        <v>33</v>
      </c>
      <c r="AB24" s="60"/>
      <c r="AC24" s="60">
        <v>4</v>
      </c>
      <c r="AD24" s="60"/>
      <c r="AE24" s="60">
        <f>1/6</f>
        <v>0.16666666666666666</v>
      </c>
      <c r="AF24" s="60"/>
      <c r="AG24" s="60">
        <v>5</v>
      </c>
      <c r="AH24" s="60"/>
      <c r="AI24" s="60">
        <f>1/3</f>
        <v>0.33333333333333331</v>
      </c>
      <c r="AJ24" s="60"/>
      <c r="AK24" s="60">
        <v>7</v>
      </c>
      <c r="AL24" s="60"/>
      <c r="AM24" s="60">
        <v>3</v>
      </c>
      <c r="AN24" s="60"/>
      <c r="AO24" s="60">
        <v>3</v>
      </c>
      <c r="AP24" s="60"/>
      <c r="AQ24" s="60">
        <v>5</v>
      </c>
      <c r="AR24" s="60"/>
      <c r="AS24" s="62">
        <v>1</v>
      </c>
      <c r="AT24" s="62"/>
    </row>
    <row r="25" spans="2:46" x14ac:dyDescent="0.35">
      <c r="B25" s="79" t="s">
        <v>2</v>
      </c>
      <c r="C25" s="79"/>
      <c r="D25" s="79"/>
      <c r="E25" s="2">
        <v>9</v>
      </c>
      <c r="F25" s="2">
        <v>8</v>
      </c>
      <c r="G25" s="2">
        <v>7</v>
      </c>
      <c r="H25" s="2">
        <v>6</v>
      </c>
      <c r="I25" s="2">
        <v>5</v>
      </c>
      <c r="J25" s="2">
        <v>4</v>
      </c>
      <c r="K25" s="2">
        <v>3</v>
      </c>
      <c r="L25" s="2">
        <v>2</v>
      </c>
      <c r="M25" s="2">
        <v>1</v>
      </c>
      <c r="N25" s="2">
        <v>2</v>
      </c>
      <c r="O25" s="2">
        <v>3</v>
      </c>
      <c r="P25" s="2">
        <v>4</v>
      </c>
      <c r="Q25" s="2">
        <v>5</v>
      </c>
      <c r="R25" s="2">
        <v>6</v>
      </c>
      <c r="S25" s="2">
        <v>7</v>
      </c>
      <c r="T25" s="2">
        <v>8</v>
      </c>
      <c r="U25" s="2">
        <v>9</v>
      </c>
      <c r="V25" s="79" t="s">
        <v>3</v>
      </c>
      <c r="W25" s="79"/>
      <c r="X25" s="79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2"/>
      <c r="AT25" s="62"/>
    </row>
    <row r="26" spans="2:46" x14ac:dyDescent="0.35">
      <c r="B26" s="80" t="s">
        <v>4</v>
      </c>
      <c r="C26" s="80"/>
      <c r="D26" s="80"/>
      <c r="E26" s="2"/>
      <c r="F26" s="2"/>
      <c r="G26" s="3"/>
      <c r="H26" s="2"/>
      <c r="I26" s="2"/>
      <c r="J26" s="2"/>
      <c r="K26" s="2"/>
      <c r="L26" s="5"/>
      <c r="M26" s="2"/>
      <c r="N26" s="2"/>
      <c r="O26" s="2"/>
      <c r="P26" s="2"/>
      <c r="Q26" s="2"/>
      <c r="R26" s="2"/>
      <c r="S26" s="2"/>
      <c r="T26" s="2"/>
      <c r="U26" s="2"/>
      <c r="V26" s="80" t="s">
        <v>5</v>
      </c>
      <c r="W26" s="80"/>
      <c r="X26" s="80"/>
    </row>
    <row r="27" spans="2:46" x14ac:dyDescent="0.35">
      <c r="B27" s="80" t="s">
        <v>4</v>
      </c>
      <c r="C27" s="80"/>
      <c r="D27" s="80"/>
      <c r="E27" s="2"/>
      <c r="F27" s="2"/>
      <c r="G27" s="3"/>
      <c r="H27" s="2"/>
      <c r="I27" s="2"/>
      <c r="J27" s="2"/>
      <c r="K27" s="2"/>
      <c r="L27" s="5"/>
      <c r="M27" s="2"/>
      <c r="N27" s="2"/>
      <c r="O27" s="2"/>
      <c r="P27" s="2"/>
      <c r="Q27" s="2"/>
      <c r="R27" s="2"/>
      <c r="S27" s="2"/>
      <c r="T27" s="2"/>
      <c r="U27" s="2"/>
      <c r="V27" s="80" t="s">
        <v>6</v>
      </c>
      <c r="W27" s="80"/>
      <c r="X27" s="80"/>
    </row>
    <row r="28" spans="2:46" x14ac:dyDescent="0.35">
      <c r="B28" s="80" t="s">
        <v>4</v>
      </c>
      <c r="C28" s="80"/>
      <c r="D28" s="80"/>
      <c r="E28" s="2"/>
      <c r="F28" s="2"/>
      <c r="G28" s="2"/>
      <c r="H28" s="2"/>
      <c r="I28" s="5"/>
      <c r="J28" s="2"/>
      <c r="K28" s="2"/>
      <c r="L28" s="2"/>
      <c r="M28" s="2"/>
      <c r="N28" s="2"/>
      <c r="O28" s="2"/>
      <c r="P28" s="2"/>
      <c r="Q28" s="3"/>
      <c r="R28" s="2"/>
      <c r="S28" s="2"/>
      <c r="T28" s="2"/>
      <c r="U28" s="2"/>
      <c r="V28" s="80" t="s">
        <v>7</v>
      </c>
      <c r="W28" s="80"/>
      <c r="X28" s="80"/>
    </row>
    <row r="29" spans="2:46" x14ac:dyDescent="0.35">
      <c r="B29" s="80" t="s">
        <v>4</v>
      </c>
      <c r="C29" s="80"/>
      <c r="D29" s="80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S29" s="2"/>
      <c r="T29" s="2"/>
      <c r="U29" s="2"/>
      <c r="V29" s="80" t="s">
        <v>8</v>
      </c>
      <c r="W29" s="80"/>
      <c r="X29" s="80"/>
    </row>
    <row r="30" spans="2:46" x14ac:dyDescent="0.35">
      <c r="B30" s="80" t="s">
        <v>4</v>
      </c>
      <c r="C30" s="80"/>
      <c r="D30" s="8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3"/>
      <c r="T30" s="2"/>
      <c r="U30" s="2"/>
      <c r="V30" s="80" t="s">
        <v>80</v>
      </c>
      <c r="W30" s="80"/>
      <c r="X30" s="80"/>
    </row>
    <row r="31" spans="2:46" x14ac:dyDescent="0.35">
      <c r="B31" s="80" t="s">
        <v>4</v>
      </c>
      <c r="C31" s="80"/>
      <c r="D31" s="80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80" t="s">
        <v>9</v>
      </c>
      <c r="W31" s="80"/>
      <c r="X31" s="80"/>
    </row>
    <row r="32" spans="2:46" x14ac:dyDescent="0.35">
      <c r="B32" s="6"/>
      <c r="C32" s="6"/>
      <c r="D32" s="6"/>
      <c r="V32" s="6"/>
      <c r="W32" s="6"/>
      <c r="X32" s="6"/>
    </row>
    <row r="33" spans="2:24" x14ac:dyDescent="0.35">
      <c r="B33" s="79" t="s">
        <v>2</v>
      </c>
      <c r="C33" s="79"/>
      <c r="D33" s="79"/>
      <c r="E33" s="2">
        <v>9</v>
      </c>
      <c r="F33" s="2">
        <v>8</v>
      </c>
      <c r="G33" s="2">
        <v>7</v>
      </c>
      <c r="H33" s="2">
        <v>6</v>
      </c>
      <c r="I33" s="2">
        <v>5</v>
      </c>
      <c r="J33" s="2">
        <v>4</v>
      </c>
      <c r="K33" s="2">
        <v>3</v>
      </c>
      <c r="L33" s="2">
        <v>2</v>
      </c>
      <c r="M33" s="2">
        <v>1</v>
      </c>
      <c r="N33" s="2">
        <v>2</v>
      </c>
      <c r="O33" s="2">
        <v>3</v>
      </c>
      <c r="P33" s="2">
        <v>4</v>
      </c>
      <c r="Q33" s="2">
        <v>5</v>
      </c>
      <c r="R33" s="2">
        <v>6</v>
      </c>
      <c r="S33" s="2">
        <v>7</v>
      </c>
      <c r="T33" s="2">
        <v>8</v>
      </c>
      <c r="U33" s="2">
        <v>9</v>
      </c>
      <c r="V33" s="79" t="s">
        <v>3</v>
      </c>
      <c r="W33" s="79"/>
      <c r="X33" s="79"/>
    </row>
    <row r="34" spans="2:24" x14ac:dyDescent="0.35">
      <c r="B34" s="80" t="s">
        <v>5</v>
      </c>
      <c r="C34" s="80"/>
      <c r="D34" s="80"/>
      <c r="E34" s="2"/>
      <c r="F34" s="2"/>
      <c r="G34" s="2"/>
      <c r="H34" s="2"/>
      <c r="I34" s="2"/>
      <c r="J34" s="2"/>
      <c r="K34" s="3"/>
      <c r="L34" s="2"/>
      <c r="M34" s="2"/>
      <c r="N34" s="2"/>
      <c r="O34" s="2"/>
      <c r="P34" s="2"/>
      <c r="Q34" s="2"/>
      <c r="R34" s="2"/>
      <c r="S34" s="2"/>
      <c r="T34" s="2"/>
      <c r="U34" s="2"/>
      <c r="V34" s="80" t="s">
        <v>6</v>
      </c>
      <c r="W34" s="80"/>
      <c r="X34" s="80"/>
    </row>
    <row r="35" spans="2:24" x14ac:dyDescent="0.35">
      <c r="B35" s="80" t="s">
        <v>5</v>
      </c>
      <c r="C35" s="80"/>
      <c r="D35" s="80"/>
      <c r="E35" s="2"/>
      <c r="F35" s="2"/>
      <c r="G35" s="2"/>
      <c r="H35" s="2"/>
      <c r="I35" s="2"/>
      <c r="J35" s="2"/>
      <c r="K35" s="3"/>
      <c r="L35" s="2"/>
      <c r="M35" s="2"/>
      <c r="N35" s="2"/>
      <c r="O35" s="2"/>
      <c r="P35" s="2"/>
      <c r="Q35" s="2"/>
      <c r="R35" s="2"/>
      <c r="S35" s="2"/>
      <c r="T35" s="2"/>
      <c r="U35" s="2"/>
      <c r="V35" s="80" t="s">
        <v>7</v>
      </c>
      <c r="W35" s="80"/>
      <c r="X35" s="80"/>
    </row>
    <row r="36" spans="2:24" x14ac:dyDescent="0.35">
      <c r="B36" s="80" t="s">
        <v>5</v>
      </c>
      <c r="C36" s="80"/>
      <c r="D36" s="80"/>
      <c r="E36" s="3"/>
      <c r="F36" s="2"/>
      <c r="G36" s="2"/>
      <c r="H36" s="2"/>
      <c r="I36" s="2"/>
      <c r="J36" s="2"/>
      <c r="K36" s="5"/>
      <c r="L36" s="2"/>
      <c r="M36" s="2"/>
      <c r="N36" s="2"/>
      <c r="O36" s="2"/>
      <c r="P36" s="2"/>
      <c r="Q36" s="2"/>
      <c r="R36" s="2"/>
      <c r="S36" s="2"/>
      <c r="T36" s="2"/>
      <c r="U36" s="2"/>
      <c r="V36" s="80" t="s">
        <v>8</v>
      </c>
      <c r="W36" s="80"/>
      <c r="X36" s="80"/>
    </row>
    <row r="37" spans="2:24" x14ac:dyDescent="0.35">
      <c r="B37" s="80" t="s">
        <v>5</v>
      </c>
      <c r="C37" s="80"/>
      <c r="D37" s="8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3"/>
      <c r="R37" s="2"/>
      <c r="S37" s="2"/>
      <c r="T37" s="2"/>
      <c r="U37" s="2"/>
      <c r="V37" s="80" t="s">
        <v>80</v>
      </c>
      <c r="W37" s="80"/>
      <c r="X37" s="80"/>
    </row>
    <row r="38" spans="2:24" x14ac:dyDescent="0.35">
      <c r="B38" s="80" t="s">
        <v>5</v>
      </c>
      <c r="C38" s="80"/>
      <c r="D38" s="80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80" t="s">
        <v>9</v>
      </c>
      <c r="W38" s="80"/>
      <c r="X38" s="80"/>
    </row>
    <row r="39" spans="2:24" x14ac:dyDescent="0.35">
      <c r="B39" s="6"/>
      <c r="C39" s="6"/>
      <c r="D39" s="6"/>
      <c r="V39" s="6"/>
      <c r="W39" s="6"/>
      <c r="X39" s="6"/>
    </row>
    <row r="40" spans="2:24" x14ac:dyDescent="0.35">
      <c r="B40" s="79" t="s">
        <v>2</v>
      </c>
      <c r="C40" s="79"/>
      <c r="D40" s="79"/>
      <c r="E40" s="2">
        <v>9</v>
      </c>
      <c r="F40" s="2">
        <v>8</v>
      </c>
      <c r="G40" s="2">
        <v>7</v>
      </c>
      <c r="H40" s="2">
        <v>6</v>
      </c>
      <c r="I40" s="2">
        <v>5</v>
      </c>
      <c r="J40" s="2">
        <v>4</v>
      </c>
      <c r="K40" s="2">
        <v>3</v>
      </c>
      <c r="L40" s="2">
        <v>2</v>
      </c>
      <c r="M40" s="2">
        <v>1</v>
      </c>
      <c r="N40" s="2">
        <v>2</v>
      </c>
      <c r="O40" s="2">
        <v>3</v>
      </c>
      <c r="P40" s="2">
        <v>4</v>
      </c>
      <c r="Q40" s="2">
        <v>5</v>
      </c>
      <c r="R40" s="2">
        <v>6</v>
      </c>
      <c r="S40" s="2">
        <v>7</v>
      </c>
      <c r="T40" s="2">
        <v>8</v>
      </c>
      <c r="U40" s="2">
        <v>9</v>
      </c>
      <c r="V40" s="79" t="s">
        <v>3</v>
      </c>
      <c r="W40" s="79"/>
      <c r="X40" s="79"/>
    </row>
    <row r="41" spans="2:24" x14ac:dyDescent="0.35">
      <c r="B41" s="80" t="s">
        <v>6</v>
      </c>
      <c r="C41" s="80"/>
      <c r="D41" s="80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80" t="s">
        <v>7</v>
      </c>
      <c r="W41" s="80"/>
      <c r="X41" s="80"/>
    </row>
    <row r="42" spans="2:24" x14ac:dyDescent="0.35">
      <c r="B42" s="80" t="s">
        <v>6</v>
      </c>
      <c r="C42" s="80"/>
      <c r="D42" s="80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80" t="s">
        <v>8</v>
      </c>
      <c r="W42" s="80"/>
      <c r="X42" s="80"/>
    </row>
    <row r="43" spans="2:24" x14ac:dyDescent="0.35">
      <c r="B43" s="80" t="s">
        <v>6</v>
      </c>
      <c r="C43" s="80"/>
      <c r="D43" s="8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3"/>
      <c r="R43" s="2"/>
      <c r="S43" s="2"/>
      <c r="T43" s="2"/>
      <c r="U43" s="2"/>
      <c r="V43" s="80" t="s">
        <v>80</v>
      </c>
      <c r="W43" s="80"/>
      <c r="X43" s="80"/>
    </row>
    <row r="44" spans="2:24" x14ac:dyDescent="0.35">
      <c r="B44" s="80" t="s">
        <v>6</v>
      </c>
      <c r="C44" s="80"/>
      <c r="D44" s="80"/>
      <c r="E44" s="2"/>
      <c r="F44" s="2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80" t="s">
        <v>9</v>
      </c>
      <c r="W44" s="80"/>
      <c r="X44" s="80"/>
    </row>
    <row r="45" spans="2:24" x14ac:dyDescent="0.35">
      <c r="B45" s="6"/>
      <c r="C45" s="6"/>
      <c r="D45" s="6"/>
      <c r="V45" s="6"/>
      <c r="W45" s="6"/>
      <c r="X45" s="6"/>
    </row>
    <row r="46" spans="2:24" x14ac:dyDescent="0.35">
      <c r="B46" s="79" t="s">
        <v>2</v>
      </c>
      <c r="C46" s="79"/>
      <c r="D46" s="79"/>
      <c r="E46" s="2">
        <v>9</v>
      </c>
      <c r="F46" s="2">
        <v>8</v>
      </c>
      <c r="G46" s="2">
        <v>7</v>
      </c>
      <c r="H46" s="2">
        <v>6</v>
      </c>
      <c r="I46" s="2">
        <v>5</v>
      </c>
      <c r="J46" s="2">
        <v>4</v>
      </c>
      <c r="K46" s="2">
        <v>3</v>
      </c>
      <c r="L46" s="2">
        <v>2</v>
      </c>
      <c r="M46" s="2">
        <v>1</v>
      </c>
      <c r="N46" s="2">
        <v>2</v>
      </c>
      <c r="O46" s="2">
        <v>3</v>
      </c>
      <c r="P46" s="2">
        <v>4</v>
      </c>
      <c r="Q46" s="2">
        <v>5</v>
      </c>
      <c r="R46" s="2">
        <v>6</v>
      </c>
      <c r="S46" s="2">
        <v>7</v>
      </c>
      <c r="T46" s="2">
        <v>8</v>
      </c>
      <c r="U46" s="2">
        <v>9</v>
      </c>
      <c r="V46" s="79" t="s">
        <v>3</v>
      </c>
      <c r="W46" s="79"/>
      <c r="X46" s="79"/>
    </row>
    <row r="47" spans="2:24" x14ac:dyDescent="0.35">
      <c r="B47" s="80" t="s">
        <v>7</v>
      </c>
      <c r="C47" s="80"/>
      <c r="D47" s="80"/>
      <c r="E47" s="2"/>
      <c r="F47" s="2"/>
      <c r="G47" s="2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80" t="s">
        <v>8</v>
      </c>
      <c r="W47" s="80"/>
      <c r="X47" s="80"/>
    </row>
    <row r="48" spans="2:24" x14ac:dyDescent="0.35">
      <c r="B48" s="80" t="s">
        <v>7</v>
      </c>
      <c r="C48" s="80"/>
      <c r="D48" s="80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80" t="s">
        <v>80</v>
      </c>
      <c r="W48" s="80"/>
      <c r="X48" s="80"/>
    </row>
    <row r="49" spans="2:42" x14ac:dyDescent="0.35">
      <c r="B49" s="80" t="s">
        <v>7</v>
      </c>
      <c r="C49" s="80"/>
      <c r="D49" s="80"/>
      <c r="E49" s="5"/>
      <c r="F49" s="2"/>
      <c r="G49" s="2"/>
      <c r="H49" s="2"/>
      <c r="I49" s="2"/>
      <c r="J49" s="2"/>
      <c r="K49" s="3"/>
      <c r="L49" s="2"/>
      <c r="M49" s="2"/>
      <c r="N49" s="2"/>
      <c r="O49" s="2"/>
      <c r="P49" s="2"/>
      <c r="Q49" s="2"/>
      <c r="R49" s="2"/>
      <c r="S49" s="2"/>
      <c r="T49" s="2"/>
      <c r="U49" s="2"/>
      <c r="V49" s="80" t="s">
        <v>9</v>
      </c>
      <c r="W49" s="80"/>
      <c r="X49" s="80"/>
    </row>
    <row r="50" spans="2:42" x14ac:dyDescent="0.35">
      <c r="B50" s="6"/>
      <c r="C50" s="6"/>
      <c r="D50" s="6"/>
      <c r="V50" s="6"/>
      <c r="W50" s="6"/>
      <c r="X50" s="6"/>
    </row>
    <row r="51" spans="2:42" x14ac:dyDescent="0.35">
      <c r="B51" s="79" t="s">
        <v>2</v>
      </c>
      <c r="C51" s="79"/>
      <c r="D51" s="79"/>
      <c r="E51" s="2">
        <v>9</v>
      </c>
      <c r="F51" s="2">
        <v>8</v>
      </c>
      <c r="G51" s="2">
        <v>7</v>
      </c>
      <c r="H51" s="2">
        <v>6</v>
      </c>
      <c r="I51" s="2">
        <v>5</v>
      </c>
      <c r="J51" s="2">
        <v>4</v>
      </c>
      <c r="K51" s="2">
        <v>3</v>
      </c>
      <c r="L51" s="2">
        <v>2</v>
      </c>
      <c r="M51" s="2">
        <v>1</v>
      </c>
      <c r="N51" s="2">
        <v>2</v>
      </c>
      <c r="O51" s="2">
        <v>3</v>
      </c>
      <c r="P51" s="2">
        <v>4</v>
      </c>
      <c r="Q51" s="2">
        <v>5</v>
      </c>
      <c r="R51" s="2">
        <v>6</v>
      </c>
      <c r="S51" s="2">
        <v>7</v>
      </c>
      <c r="T51" s="2">
        <v>8</v>
      </c>
      <c r="U51" s="2">
        <v>9</v>
      </c>
      <c r="V51" s="79" t="s">
        <v>3</v>
      </c>
      <c r="W51" s="79"/>
      <c r="X51" s="79"/>
    </row>
    <row r="52" spans="2:42" x14ac:dyDescent="0.35">
      <c r="B52" s="80" t="s">
        <v>8</v>
      </c>
      <c r="C52" s="80"/>
      <c r="D52" s="80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80" t="s">
        <v>80</v>
      </c>
      <c r="W52" s="80"/>
      <c r="X52" s="80"/>
    </row>
    <row r="53" spans="2:42" x14ac:dyDescent="0.35">
      <c r="B53" s="80" t="s">
        <v>8</v>
      </c>
      <c r="C53" s="80"/>
      <c r="D53" s="80"/>
      <c r="E53" s="5"/>
      <c r="F53" s="2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2"/>
      <c r="T53" s="2"/>
      <c r="U53" s="2"/>
      <c r="V53" s="80" t="s">
        <v>9</v>
      </c>
      <c r="W53" s="80"/>
      <c r="X53" s="80"/>
    </row>
    <row r="54" spans="2:42" x14ac:dyDescent="0.35">
      <c r="B54" s="6"/>
      <c r="C54" s="6"/>
      <c r="D54" s="6"/>
      <c r="V54" s="6"/>
      <c r="W54" s="6"/>
      <c r="X54" s="6"/>
    </row>
    <row r="55" spans="2:42" x14ac:dyDescent="0.35">
      <c r="B55" s="79" t="s">
        <v>2</v>
      </c>
      <c r="C55" s="79"/>
      <c r="D55" s="79"/>
      <c r="E55" s="2">
        <v>9</v>
      </c>
      <c r="F55" s="2">
        <v>8</v>
      </c>
      <c r="G55" s="2">
        <v>7</v>
      </c>
      <c r="H55" s="2">
        <v>6</v>
      </c>
      <c r="I55" s="2">
        <v>5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3</v>
      </c>
      <c r="P55" s="2">
        <v>4</v>
      </c>
      <c r="Q55" s="2">
        <v>5</v>
      </c>
      <c r="R55" s="2">
        <v>6</v>
      </c>
      <c r="S55" s="2">
        <v>7</v>
      </c>
      <c r="T55" s="2">
        <v>8</v>
      </c>
      <c r="U55" s="2">
        <v>9</v>
      </c>
      <c r="V55" s="79" t="s">
        <v>3</v>
      </c>
      <c r="W55" s="79"/>
      <c r="X55" s="79"/>
    </row>
    <row r="56" spans="2:42" x14ac:dyDescent="0.35">
      <c r="B56" s="80" t="s">
        <v>80</v>
      </c>
      <c r="C56" s="80"/>
      <c r="D56" s="80"/>
      <c r="E56" s="2"/>
      <c r="F56" s="2"/>
      <c r="G56" s="2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80" t="s">
        <v>9</v>
      </c>
      <c r="W56" s="80"/>
      <c r="X56" s="80"/>
    </row>
    <row r="59" spans="2:42" x14ac:dyDescent="0.35">
      <c r="B59" s="85" t="s">
        <v>10</v>
      </c>
      <c r="C59" s="85"/>
    </row>
    <row r="61" spans="2:42" ht="15" customHeight="1" x14ac:dyDescent="0.35">
      <c r="B61" s="79" t="s">
        <v>2</v>
      </c>
      <c r="C61" s="79"/>
      <c r="D61" s="79"/>
      <c r="E61" s="2">
        <v>9</v>
      </c>
      <c r="F61" s="2">
        <v>8</v>
      </c>
      <c r="G61" s="2">
        <v>7</v>
      </c>
      <c r="H61" s="2">
        <v>6</v>
      </c>
      <c r="I61" s="2">
        <v>5</v>
      </c>
      <c r="J61" s="2">
        <v>4</v>
      </c>
      <c r="K61" s="2">
        <v>3</v>
      </c>
      <c r="L61" s="2">
        <v>2</v>
      </c>
      <c r="M61" s="2">
        <v>1</v>
      </c>
      <c r="N61" s="2">
        <v>2</v>
      </c>
      <c r="O61" s="2">
        <v>3</v>
      </c>
      <c r="P61" s="2">
        <v>4</v>
      </c>
      <c r="Q61" s="2">
        <v>5</v>
      </c>
      <c r="R61" s="2">
        <v>6</v>
      </c>
      <c r="S61" s="2">
        <v>7</v>
      </c>
      <c r="T61" s="2">
        <v>8</v>
      </c>
      <c r="U61" s="2">
        <v>9</v>
      </c>
      <c r="V61" s="79" t="s">
        <v>3</v>
      </c>
      <c r="W61" s="79"/>
      <c r="X61" s="79"/>
      <c r="AA61" s="60"/>
      <c r="AB61" s="60"/>
      <c r="AC61" s="60" t="s">
        <v>11</v>
      </c>
      <c r="AD61" s="60"/>
      <c r="AE61" s="60" t="s">
        <v>81</v>
      </c>
      <c r="AF61" s="60"/>
      <c r="AG61" s="60" t="s">
        <v>27</v>
      </c>
      <c r="AH61" s="60"/>
      <c r="AI61" s="60" t="s">
        <v>87</v>
      </c>
      <c r="AJ61" s="60"/>
      <c r="AK61" s="60" t="s">
        <v>90</v>
      </c>
      <c r="AL61" s="60"/>
      <c r="AM61" s="60" t="s">
        <v>89</v>
      </c>
      <c r="AN61" s="60"/>
      <c r="AO61" s="60" t="s">
        <v>91</v>
      </c>
      <c r="AP61" s="60"/>
    </row>
    <row r="62" spans="2:42" x14ac:dyDescent="0.35">
      <c r="B62" s="80" t="s">
        <v>11</v>
      </c>
      <c r="C62" s="80"/>
      <c r="D62" s="80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81" t="s">
        <v>81</v>
      </c>
      <c r="W62" s="82"/>
      <c r="X62" s="83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</row>
    <row r="63" spans="2:42" ht="15" customHeight="1" x14ac:dyDescent="0.35">
      <c r="B63" s="80" t="s">
        <v>11</v>
      </c>
      <c r="C63" s="80"/>
      <c r="D63" s="8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2"/>
      <c r="S63" s="2"/>
      <c r="T63" s="2"/>
      <c r="U63" s="2"/>
      <c r="V63" s="81" t="s">
        <v>27</v>
      </c>
      <c r="W63" s="82"/>
      <c r="X63" s="83"/>
      <c r="AA63" s="63" t="s">
        <v>11</v>
      </c>
      <c r="AB63" s="64"/>
      <c r="AC63" s="70">
        <v>1</v>
      </c>
      <c r="AD63" s="71"/>
      <c r="AE63" s="63">
        <v>3</v>
      </c>
      <c r="AF63" s="64"/>
      <c r="AG63" s="63">
        <v>5</v>
      </c>
      <c r="AH63" s="64"/>
      <c r="AI63" s="63">
        <f>1/7</f>
        <v>0.14285714285714285</v>
      </c>
      <c r="AJ63" s="64"/>
      <c r="AK63" s="63">
        <v>5</v>
      </c>
      <c r="AL63" s="64"/>
      <c r="AM63" s="63">
        <v>3</v>
      </c>
      <c r="AN63" s="64"/>
      <c r="AO63" s="63">
        <f>1/5</f>
        <v>0.2</v>
      </c>
      <c r="AP63" s="64"/>
    </row>
    <row r="64" spans="2:42" x14ac:dyDescent="0.35">
      <c r="B64" s="80" t="s">
        <v>11</v>
      </c>
      <c r="C64" s="80"/>
      <c r="D64" s="80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1" t="s">
        <v>28</v>
      </c>
      <c r="W64" s="82"/>
      <c r="X64" s="83"/>
      <c r="AA64" s="65"/>
      <c r="AB64" s="66"/>
      <c r="AC64" s="72"/>
      <c r="AD64" s="73"/>
      <c r="AE64" s="65"/>
      <c r="AF64" s="66"/>
      <c r="AG64" s="65"/>
      <c r="AH64" s="66"/>
      <c r="AI64" s="65"/>
      <c r="AJ64" s="66"/>
      <c r="AK64" s="65"/>
      <c r="AL64" s="66"/>
      <c r="AM64" s="65"/>
      <c r="AN64" s="66"/>
      <c r="AO64" s="65"/>
      <c r="AP64" s="66"/>
    </row>
    <row r="65" spans="2:42" ht="15" customHeight="1" x14ac:dyDescent="0.35">
      <c r="B65" s="80" t="s">
        <v>11</v>
      </c>
      <c r="C65" s="80"/>
      <c r="D65" s="8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  <c r="S65" s="2"/>
      <c r="T65" s="2"/>
      <c r="U65" s="5"/>
      <c r="V65" s="81" t="s">
        <v>29</v>
      </c>
      <c r="W65" s="82"/>
      <c r="X65" s="83"/>
      <c r="AA65" s="60" t="s">
        <v>81</v>
      </c>
      <c r="AB65" s="60"/>
      <c r="AC65" s="60">
        <f>1/3</f>
        <v>0.33333333333333331</v>
      </c>
      <c r="AD65" s="60"/>
      <c r="AE65" s="62">
        <v>1</v>
      </c>
      <c r="AF65" s="62"/>
      <c r="AG65" s="60">
        <f>1/3</f>
        <v>0.33333333333333331</v>
      </c>
      <c r="AH65" s="60"/>
      <c r="AI65" s="60">
        <f>1/3</f>
        <v>0.33333333333333331</v>
      </c>
      <c r="AJ65" s="60"/>
      <c r="AK65" s="60">
        <v>7</v>
      </c>
      <c r="AL65" s="60"/>
      <c r="AM65" s="60">
        <v>3</v>
      </c>
      <c r="AN65" s="60"/>
      <c r="AO65" s="60">
        <f>1/3</f>
        <v>0.33333333333333331</v>
      </c>
      <c r="AP65" s="60"/>
    </row>
    <row r="66" spans="2:42" x14ac:dyDescent="0.35">
      <c r="B66" s="80" t="s">
        <v>11</v>
      </c>
      <c r="C66" s="80"/>
      <c r="D66" s="80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81" t="s">
        <v>82</v>
      </c>
      <c r="W66" s="82"/>
      <c r="X66" s="83"/>
      <c r="AA66" s="60"/>
      <c r="AB66" s="60"/>
      <c r="AC66" s="60"/>
      <c r="AD66" s="60"/>
      <c r="AE66" s="62"/>
      <c r="AF66" s="62"/>
      <c r="AG66" s="60"/>
      <c r="AH66" s="60"/>
      <c r="AI66" s="60"/>
      <c r="AJ66" s="60"/>
      <c r="AK66" s="60"/>
      <c r="AL66" s="60"/>
      <c r="AM66" s="60"/>
      <c r="AN66" s="60"/>
      <c r="AO66" s="60"/>
      <c r="AP66" s="60"/>
    </row>
    <row r="67" spans="2:42" ht="15" customHeight="1" x14ac:dyDescent="0.35">
      <c r="B67" s="80" t="s">
        <v>11</v>
      </c>
      <c r="C67" s="80"/>
      <c r="D67" s="80"/>
      <c r="E67" s="2"/>
      <c r="F67" s="2"/>
      <c r="G67" s="2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1" t="s">
        <v>30</v>
      </c>
      <c r="W67" s="82"/>
      <c r="X67" s="83"/>
      <c r="AA67" s="60" t="s">
        <v>27</v>
      </c>
      <c r="AB67" s="60"/>
      <c r="AC67" s="60">
        <f>1/5</f>
        <v>0.2</v>
      </c>
      <c r="AD67" s="60"/>
      <c r="AE67" s="60">
        <v>3</v>
      </c>
      <c r="AF67" s="60"/>
      <c r="AG67" s="62">
        <v>1</v>
      </c>
      <c r="AH67" s="62"/>
      <c r="AI67" s="60">
        <f>1/9</f>
        <v>0.1111111111111111</v>
      </c>
      <c r="AJ67" s="60"/>
      <c r="AK67" s="60">
        <v>3</v>
      </c>
      <c r="AL67" s="60"/>
      <c r="AM67" s="60">
        <v>3</v>
      </c>
      <c r="AN67" s="60"/>
      <c r="AO67" s="60">
        <f>1/5</f>
        <v>0.2</v>
      </c>
      <c r="AP67" s="60"/>
    </row>
    <row r="68" spans="2:42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AA68" s="60"/>
      <c r="AB68" s="60"/>
      <c r="AC68" s="60"/>
      <c r="AD68" s="60"/>
      <c r="AE68" s="60"/>
      <c r="AF68" s="60"/>
      <c r="AG68" s="62"/>
      <c r="AH68" s="62"/>
      <c r="AI68" s="60"/>
      <c r="AJ68" s="60"/>
      <c r="AK68" s="60"/>
      <c r="AL68" s="60"/>
      <c r="AM68" s="60"/>
      <c r="AN68" s="60"/>
      <c r="AO68" s="60"/>
      <c r="AP68" s="60"/>
    </row>
    <row r="69" spans="2:42" ht="15" customHeight="1" x14ac:dyDescent="0.35">
      <c r="B69" s="79" t="s">
        <v>2</v>
      </c>
      <c r="C69" s="79"/>
      <c r="D69" s="79"/>
      <c r="E69" s="2">
        <v>9</v>
      </c>
      <c r="F69" s="2">
        <v>8</v>
      </c>
      <c r="G69" s="2">
        <v>7</v>
      </c>
      <c r="H69" s="2">
        <v>6</v>
      </c>
      <c r="I69" s="2">
        <v>5</v>
      </c>
      <c r="J69" s="2">
        <v>4</v>
      </c>
      <c r="K69" s="2">
        <v>3</v>
      </c>
      <c r="L69" s="2">
        <v>2</v>
      </c>
      <c r="M69" s="2">
        <v>1</v>
      </c>
      <c r="N69" s="2">
        <v>2</v>
      </c>
      <c r="O69" s="2">
        <v>3</v>
      </c>
      <c r="P69" s="2">
        <v>4</v>
      </c>
      <c r="Q69" s="2">
        <v>5</v>
      </c>
      <c r="R69" s="2">
        <v>6</v>
      </c>
      <c r="S69" s="2">
        <v>7</v>
      </c>
      <c r="T69" s="2">
        <v>8</v>
      </c>
      <c r="U69" s="2">
        <v>9</v>
      </c>
      <c r="V69" s="79" t="s">
        <v>3</v>
      </c>
      <c r="W69" s="79"/>
      <c r="X69" s="79"/>
      <c r="AA69" s="60" t="s">
        <v>87</v>
      </c>
      <c r="AB69" s="60"/>
      <c r="AC69" s="60">
        <v>7</v>
      </c>
      <c r="AD69" s="60"/>
      <c r="AE69" s="60">
        <v>5</v>
      </c>
      <c r="AF69" s="60"/>
      <c r="AG69" s="60">
        <v>9</v>
      </c>
      <c r="AH69" s="60"/>
      <c r="AI69" s="62">
        <v>1</v>
      </c>
      <c r="AJ69" s="62"/>
      <c r="AK69" s="60">
        <v>3</v>
      </c>
      <c r="AL69" s="60"/>
      <c r="AM69" s="60">
        <f>1/3</f>
        <v>0.33333333333333331</v>
      </c>
      <c r="AN69" s="60"/>
      <c r="AO69" s="60">
        <v>3</v>
      </c>
      <c r="AP69" s="60"/>
    </row>
    <row r="70" spans="2:42" x14ac:dyDescent="0.35">
      <c r="B70" s="80" t="s">
        <v>81</v>
      </c>
      <c r="C70" s="80"/>
      <c r="D70" s="80"/>
      <c r="E70" s="2"/>
      <c r="F70" s="2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  <c r="S70" s="2"/>
      <c r="T70" s="2"/>
      <c r="U70" s="2"/>
      <c r="V70" s="81" t="s">
        <v>27</v>
      </c>
      <c r="W70" s="82"/>
      <c r="X70" s="83"/>
      <c r="AA70" s="60"/>
      <c r="AB70" s="60"/>
      <c r="AC70" s="60"/>
      <c r="AD70" s="60"/>
      <c r="AE70" s="60"/>
      <c r="AF70" s="60"/>
      <c r="AG70" s="60"/>
      <c r="AH70" s="60"/>
      <c r="AI70" s="62"/>
      <c r="AJ70" s="62"/>
      <c r="AK70" s="60"/>
      <c r="AL70" s="60"/>
      <c r="AM70" s="60"/>
      <c r="AN70" s="60"/>
      <c r="AO70" s="60"/>
      <c r="AP70" s="60"/>
    </row>
    <row r="71" spans="2:42" ht="15" customHeight="1" x14ac:dyDescent="0.35">
      <c r="B71" s="80" t="s">
        <v>81</v>
      </c>
      <c r="C71" s="80"/>
      <c r="D71" s="80"/>
      <c r="E71" s="2"/>
      <c r="F71" s="2"/>
      <c r="G71" s="2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1" t="s">
        <v>28</v>
      </c>
      <c r="W71" s="82"/>
      <c r="X71" s="83"/>
      <c r="AA71" s="60" t="s">
        <v>88</v>
      </c>
      <c r="AB71" s="60"/>
      <c r="AC71" s="60">
        <f>1/5</f>
        <v>0.2</v>
      </c>
      <c r="AD71" s="60"/>
      <c r="AE71" s="60">
        <f>1/7</f>
        <v>0.14285714285714285</v>
      </c>
      <c r="AF71" s="60"/>
      <c r="AG71" s="60">
        <f>1/3</f>
        <v>0.33333333333333331</v>
      </c>
      <c r="AH71" s="60"/>
      <c r="AI71" s="60">
        <f>1/3</f>
        <v>0.33333333333333331</v>
      </c>
      <c r="AJ71" s="60"/>
      <c r="AK71" s="62">
        <v>1</v>
      </c>
      <c r="AL71" s="62"/>
      <c r="AM71" s="60">
        <f>1/5</f>
        <v>0.2</v>
      </c>
      <c r="AN71" s="60"/>
      <c r="AO71" s="60">
        <v>3</v>
      </c>
      <c r="AP71" s="60"/>
    </row>
    <row r="72" spans="2:42" x14ac:dyDescent="0.35">
      <c r="B72" s="80" t="s">
        <v>81</v>
      </c>
      <c r="C72" s="80"/>
      <c r="D72" s="8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2"/>
      <c r="U72" s="2"/>
      <c r="V72" s="81" t="s">
        <v>29</v>
      </c>
      <c r="W72" s="82"/>
      <c r="X72" s="83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2"/>
      <c r="AL72" s="62"/>
      <c r="AM72" s="60"/>
      <c r="AN72" s="60"/>
      <c r="AO72" s="60"/>
      <c r="AP72" s="60"/>
    </row>
    <row r="73" spans="2:42" ht="15" customHeight="1" x14ac:dyDescent="0.35">
      <c r="B73" s="80" t="s">
        <v>81</v>
      </c>
      <c r="C73" s="80"/>
      <c r="D73" s="80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81" t="s">
        <v>82</v>
      </c>
      <c r="W73" s="82"/>
      <c r="X73" s="83"/>
      <c r="AA73" s="60" t="s">
        <v>89</v>
      </c>
      <c r="AB73" s="60"/>
      <c r="AC73" s="60">
        <f>1/3</f>
        <v>0.33333333333333331</v>
      </c>
      <c r="AD73" s="60"/>
      <c r="AE73" s="60">
        <f>1/3</f>
        <v>0.33333333333333331</v>
      </c>
      <c r="AF73" s="60"/>
      <c r="AG73" s="60">
        <f>1/3</f>
        <v>0.33333333333333331</v>
      </c>
      <c r="AH73" s="60"/>
      <c r="AI73" s="60">
        <v>3</v>
      </c>
      <c r="AJ73" s="60"/>
      <c r="AK73" s="60">
        <v>5</v>
      </c>
      <c r="AL73" s="60"/>
      <c r="AM73" s="62">
        <v>1</v>
      </c>
      <c r="AN73" s="62"/>
      <c r="AO73" s="60">
        <v>5</v>
      </c>
      <c r="AP73" s="60"/>
    </row>
    <row r="74" spans="2:42" x14ac:dyDescent="0.35">
      <c r="B74" s="80" t="s">
        <v>81</v>
      </c>
      <c r="C74" s="80"/>
      <c r="D74" s="80"/>
      <c r="E74" s="2"/>
      <c r="F74" s="2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2"/>
      <c r="T74" s="2"/>
      <c r="U74" s="2"/>
      <c r="V74" s="81" t="s">
        <v>30</v>
      </c>
      <c r="W74" s="82"/>
      <c r="X74" s="83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2"/>
      <c r="AN74" s="62"/>
      <c r="AO74" s="60"/>
      <c r="AP74" s="60"/>
    </row>
    <row r="75" spans="2:42" ht="15" customHeight="1" x14ac:dyDescent="0.35">
      <c r="AA75" s="60" t="s">
        <v>91</v>
      </c>
      <c r="AB75" s="60"/>
      <c r="AC75" s="60">
        <v>5</v>
      </c>
      <c r="AD75" s="60"/>
      <c r="AE75" s="60">
        <v>3</v>
      </c>
      <c r="AF75" s="60"/>
      <c r="AG75" s="60">
        <v>5</v>
      </c>
      <c r="AH75" s="60"/>
      <c r="AI75" s="60">
        <f>1/3</f>
        <v>0.33333333333333331</v>
      </c>
      <c r="AJ75" s="60"/>
      <c r="AK75" s="60">
        <f>1/3</f>
        <v>0.33333333333333331</v>
      </c>
      <c r="AL75" s="60"/>
      <c r="AM75" s="60">
        <f>1/5</f>
        <v>0.2</v>
      </c>
      <c r="AN75" s="60"/>
      <c r="AO75" s="62">
        <v>1</v>
      </c>
      <c r="AP75" s="62"/>
    </row>
    <row r="76" spans="2:42" x14ac:dyDescent="0.35">
      <c r="B76" s="79" t="s">
        <v>2</v>
      </c>
      <c r="C76" s="79"/>
      <c r="D76" s="79"/>
      <c r="E76" s="2">
        <v>9</v>
      </c>
      <c r="F76" s="2">
        <v>8</v>
      </c>
      <c r="G76" s="2">
        <v>7</v>
      </c>
      <c r="H76" s="2">
        <v>6</v>
      </c>
      <c r="I76" s="2">
        <v>5</v>
      </c>
      <c r="J76" s="2">
        <v>4</v>
      </c>
      <c r="K76" s="2">
        <v>3</v>
      </c>
      <c r="L76" s="2">
        <v>2</v>
      </c>
      <c r="M76" s="2">
        <v>1</v>
      </c>
      <c r="N76" s="2">
        <v>2</v>
      </c>
      <c r="O76" s="2">
        <v>3</v>
      </c>
      <c r="P76" s="2">
        <v>4</v>
      </c>
      <c r="Q76" s="2">
        <v>5</v>
      </c>
      <c r="R76" s="2">
        <v>6</v>
      </c>
      <c r="S76" s="2">
        <v>7</v>
      </c>
      <c r="T76" s="2">
        <v>8</v>
      </c>
      <c r="U76" s="2">
        <v>9</v>
      </c>
      <c r="V76" s="79" t="s">
        <v>3</v>
      </c>
      <c r="W76" s="79"/>
      <c r="X76" s="79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2"/>
      <c r="AP76" s="62"/>
    </row>
    <row r="77" spans="2:42" x14ac:dyDescent="0.35">
      <c r="B77" s="81" t="s">
        <v>27</v>
      </c>
      <c r="C77" s="82"/>
      <c r="D77" s="8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1" t="s">
        <v>28</v>
      </c>
      <c r="W77" s="82"/>
      <c r="X77" s="83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</row>
    <row r="78" spans="2:42" x14ac:dyDescent="0.35">
      <c r="B78" s="81" t="s">
        <v>27</v>
      </c>
      <c r="C78" s="82"/>
      <c r="D78" s="83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5"/>
      <c r="V78" s="81" t="s">
        <v>29</v>
      </c>
      <c r="W78" s="82"/>
      <c r="X78" s="83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</row>
    <row r="79" spans="2:42" x14ac:dyDescent="0.35">
      <c r="B79" s="81" t="s">
        <v>27</v>
      </c>
      <c r="C79" s="82"/>
      <c r="D79" s="83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81" t="s">
        <v>82</v>
      </c>
      <c r="W79" s="82"/>
      <c r="X79" s="83"/>
    </row>
    <row r="80" spans="2:42" x14ac:dyDescent="0.35">
      <c r="B80" s="81" t="s">
        <v>27</v>
      </c>
      <c r="C80" s="82"/>
      <c r="D80" s="83"/>
      <c r="E80" s="2"/>
      <c r="F80" s="2"/>
      <c r="G80" s="2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81" t="s">
        <v>30</v>
      </c>
      <c r="W80" s="82"/>
      <c r="X80" s="83"/>
    </row>
    <row r="82" spans="2:24" x14ac:dyDescent="0.35">
      <c r="B82" s="79" t="s">
        <v>2</v>
      </c>
      <c r="C82" s="79"/>
      <c r="D82" s="79"/>
      <c r="E82" s="2">
        <v>9</v>
      </c>
      <c r="F82" s="2">
        <v>8</v>
      </c>
      <c r="G82" s="2">
        <v>7</v>
      </c>
      <c r="H82" s="2">
        <v>6</v>
      </c>
      <c r="I82" s="2">
        <v>5</v>
      </c>
      <c r="J82" s="2">
        <v>4</v>
      </c>
      <c r="K82" s="2">
        <v>3</v>
      </c>
      <c r="L82" s="2">
        <v>2</v>
      </c>
      <c r="M82" s="2">
        <v>1</v>
      </c>
      <c r="N82" s="2">
        <v>2</v>
      </c>
      <c r="O82" s="2">
        <v>3</v>
      </c>
      <c r="P82" s="2">
        <v>4</v>
      </c>
      <c r="Q82" s="2">
        <v>5</v>
      </c>
      <c r="R82" s="2">
        <v>6</v>
      </c>
      <c r="S82" s="2">
        <v>7</v>
      </c>
      <c r="T82" s="2">
        <v>8</v>
      </c>
      <c r="U82" s="2">
        <v>9</v>
      </c>
      <c r="V82" s="79" t="s">
        <v>3</v>
      </c>
      <c r="W82" s="79"/>
      <c r="X82" s="79"/>
    </row>
    <row r="83" spans="2:24" x14ac:dyDescent="0.35">
      <c r="B83" s="81" t="s">
        <v>28</v>
      </c>
      <c r="C83" s="82"/>
      <c r="D83" s="83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81" t="s">
        <v>29</v>
      </c>
      <c r="W83" s="82"/>
      <c r="X83" s="83"/>
    </row>
    <row r="84" spans="2:24" x14ac:dyDescent="0.35">
      <c r="B84" s="81" t="s">
        <v>28</v>
      </c>
      <c r="C84" s="82"/>
      <c r="D84" s="83"/>
      <c r="E84" s="2"/>
      <c r="F84" s="2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  <c r="S84" s="2"/>
      <c r="T84" s="2"/>
      <c r="U84" s="2"/>
      <c r="V84" s="81" t="s">
        <v>82</v>
      </c>
      <c r="W84" s="82"/>
      <c r="X84" s="83"/>
    </row>
    <row r="85" spans="2:24" x14ac:dyDescent="0.35">
      <c r="B85" s="81" t="s">
        <v>28</v>
      </c>
      <c r="C85" s="82"/>
      <c r="D85" s="83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81" t="s">
        <v>30</v>
      </c>
      <c r="W85" s="82"/>
      <c r="X85" s="83"/>
    </row>
    <row r="87" spans="2:24" x14ac:dyDescent="0.35">
      <c r="B87" s="79" t="s">
        <v>2</v>
      </c>
      <c r="C87" s="79"/>
      <c r="D87" s="79"/>
      <c r="E87" s="2">
        <v>9</v>
      </c>
      <c r="F87" s="2">
        <v>8</v>
      </c>
      <c r="G87" s="2">
        <v>7</v>
      </c>
      <c r="H87" s="2">
        <v>6</v>
      </c>
      <c r="I87" s="2">
        <v>5</v>
      </c>
      <c r="J87" s="2">
        <v>4</v>
      </c>
      <c r="K87" s="2">
        <v>3</v>
      </c>
      <c r="L87" s="2">
        <v>2</v>
      </c>
      <c r="M87" s="2">
        <v>1</v>
      </c>
      <c r="N87" s="2">
        <v>2</v>
      </c>
      <c r="O87" s="2">
        <v>3</v>
      </c>
      <c r="P87" s="2">
        <v>4</v>
      </c>
      <c r="Q87" s="2">
        <v>5</v>
      </c>
      <c r="R87" s="2">
        <v>6</v>
      </c>
      <c r="S87" s="2">
        <v>7</v>
      </c>
      <c r="T87" s="2">
        <v>8</v>
      </c>
      <c r="U87" s="2">
        <v>9</v>
      </c>
      <c r="V87" s="79" t="s">
        <v>3</v>
      </c>
      <c r="W87" s="79"/>
      <c r="X87" s="79"/>
    </row>
    <row r="88" spans="2:24" x14ac:dyDescent="0.35">
      <c r="B88" s="81" t="s">
        <v>29</v>
      </c>
      <c r="C88" s="82"/>
      <c r="D88" s="83"/>
      <c r="E88" s="2"/>
      <c r="F88" s="2"/>
      <c r="G88" s="5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1" t="s">
        <v>82</v>
      </c>
      <c r="W88" s="82"/>
      <c r="X88" s="83"/>
    </row>
    <row r="89" spans="2:24" x14ac:dyDescent="0.35">
      <c r="B89" s="81" t="s">
        <v>29</v>
      </c>
      <c r="C89" s="82"/>
      <c r="D89" s="83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2"/>
      <c r="S89" s="2"/>
      <c r="T89" s="2"/>
      <c r="U89" s="2"/>
      <c r="V89" s="81" t="s">
        <v>30</v>
      </c>
      <c r="W89" s="82"/>
      <c r="X89" s="83"/>
    </row>
    <row r="91" spans="2:24" x14ac:dyDescent="0.35">
      <c r="B91" s="79" t="s">
        <v>2</v>
      </c>
      <c r="C91" s="79"/>
      <c r="D91" s="79"/>
      <c r="E91" s="2">
        <v>9</v>
      </c>
      <c r="F91" s="2">
        <v>8</v>
      </c>
      <c r="G91" s="2">
        <v>7</v>
      </c>
      <c r="H91" s="2">
        <v>6</v>
      </c>
      <c r="I91" s="2">
        <v>5</v>
      </c>
      <c r="J91" s="2">
        <v>4</v>
      </c>
      <c r="K91" s="2">
        <v>3</v>
      </c>
      <c r="L91" s="2">
        <v>2</v>
      </c>
      <c r="M91" s="2">
        <v>1</v>
      </c>
      <c r="N91" s="2">
        <v>2</v>
      </c>
      <c r="O91" s="2">
        <v>3</v>
      </c>
      <c r="P91" s="2">
        <v>4</v>
      </c>
      <c r="Q91" s="2">
        <v>5</v>
      </c>
      <c r="R91" s="2">
        <v>6</v>
      </c>
      <c r="S91" s="2">
        <v>7</v>
      </c>
      <c r="T91" s="2">
        <v>8</v>
      </c>
      <c r="U91" s="2">
        <v>9</v>
      </c>
      <c r="V91" s="79" t="s">
        <v>3</v>
      </c>
      <c r="W91" s="79"/>
      <c r="X91" s="79"/>
    </row>
    <row r="92" spans="2:24" x14ac:dyDescent="0.35">
      <c r="B92" s="81" t="s">
        <v>82</v>
      </c>
      <c r="C92" s="82"/>
      <c r="D92" s="8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  <c r="S92" s="2"/>
      <c r="T92" s="2"/>
      <c r="U92" s="2"/>
      <c r="V92" s="81" t="s">
        <v>30</v>
      </c>
      <c r="W92" s="82"/>
      <c r="X92" s="83"/>
    </row>
    <row r="95" spans="2:24" x14ac:dyDescent="0.35">
      <c r="B95" s="84" t="s">
        <v>12</v>
      </c>
      <c r="C95" s="84"/>
      <c r="D95" s="84"/>
    </row>
    <row r="96" spans="2:24" x14ac:dyDescent="0.35">
      <c r="B96" s="7"/>
      <c r="C96" s="7"/>
      <c r="D96" s="7"/>
    </row>
    <row r="97" spans="2:44" ht="15" customHeight="1" x14ac:dyDescent="0.35">
      <c r="B97" s="79" t="s">
        <v>2</v>
      </c>
      <c r="C97" s="79"/>
      <c r="D97" s="79"/>
      <c r="E97" s="2">
        <v>9</v>
      </c>
      <c r="F97" s="2">
        <v>8</v>
      </c>
      <c r="G97" s="2">
        <v>7</v>
      </c>
      <c r="H97" s="2">
        <v>6</v>
      </c>
      <c r="I97" s="2">
        <v>5</v>
      </c>
      <c r="J97" s="2">
        <v>4</v>
      </c>
      <c r="K97" s="2">
        <v>3</v>
      </c>
      <c r="L97" s="2">
        <v>2</v>
      </c>
      <c r="M97" s="2">
        <v>1</v>
      </c>
      <c r="N97" s="2">
        <v>2</v>
      </c>
      <c r="O97" s="2">
        <v>3</v>
      </c>
      <c r="P97" s="2">
        <v>4</v>
      </c>
      <c r="Q97" s="2">
        <v>5</v>
      </c>
      <c r="R97" s="2">
        <v>6</v>
      </c>
      <c r="S97" s="2">
        <v>7</v>
      </c>
      <c r="T97" s="2">
        <v>8</v>
      </c>
      <c r="U97" s="2">
        <v>9</v>
      </c>
      <c r="V97" s="79" t="s">
        <v>3</v>
      </c>
      <c r="W97" s="79"/>
      <c r="X97" s="79"/>
      <c r="AA97" s="60"/>
      <c r="AB97" s="60"/>
      <c r="AC97" s="60" t="s">
        <v>13</v>
      </c>
      <c r="AD97" s="60"/>
      <c r="AE97" s="60" t="s">
        <v>14</v>
      </c>
      <c r="AF97" s="60"/>
      <c r="AG97" s="60" t="s">
        <v>15</v>
      </c>
      <c r="AH97" s="60"/>
    </row>
    <row r="98" spans="2:44" x14ac:dyDescent="0.35">
      <c r="B98" s="80" t="s">
        <v>13</v>
      </c>
      <c r="C98" s="80"/>
      <c r="D98" s="80"/>
      <c r="E98" s="2"/>
      <c r="F98" s="2"/>
      <c r="G98" s="5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80" t="s">
        <v>14</v>
      </c>
      <c r="W98" s="80"/>
      <c r="X98" s="80"/>
      <c r="AA98" s="60"/>
      <c r="AB98" s="60"/>
      <c r="AC98" s="60"/>
      <c r="AD98" s="60"/>
      <c r="AE98" s="60"/>
      <c r="AF98" s="60"/>
      <c r="AG98" s="60"/>
      <c r="AH98" s="60"/>
    </row>
    <row r="99" spans="2:44" ht="15" customHeight="1" x14ac:dyDescent="0.35">
      <c r="B99" s="80" t="s">
        <v>13</v>
      </c>
      <c r="C99" s="80"/>
      <c r="D99" s="80"/>
      <c r="E99" s="2"/>
      <c r="F99" s="2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  <c r="S99" s="2"/>
      <c r="T99" s="2"/>
      <c r="U99" s="2"/>
      <c r="V99" s="80" t="s">
        <v>15</v>
      </c>
      <c r="W99" s="80"/>
      <c r="X99" s="80"/>
      <c r="AA99" s="60" t="s">
        <v>13</v>
      </c>
      <c r="AB99" s="60"/>
      <c r="AC99" s="62">
        <v>1</v>
      </c>
      <c r="AD99" s="62"/>
      <c r="AE99" s="60">
        <f>1/5</f>
        <v>0.2</v>
      </c>
      <c r="AF99" s="60"/>
      <c r="AG99" s="63">
        <f>1/3</f>
        <v>0.33333333333333331</v>
      </c>
      <c r="AH99" s="64"/>
    </row>
    <row r="100" spans="2:44" x14ac:dyDescent="0.35">
      <c r="AA100" s="60"/>
      <c r="AB100" s="60"/>
      <c r="AC100" s="62"/>
      <c r="AD100" s="62"/>
      <c r="AE100" s="60"/>
      <c r="AF100" s="60"/>
      <c r="AG100" s="65"/>
      <c r="AH100" s="66"/>
    </row>
    <row r="101" spans="2:44" ht="15" customHeight="1" x14ac:dyDescent="0.35">
      <c r="B101" s="79" t="s">
        <v>2</v>
      </c>
      <c r="C101" s="79"/>
      <c r="D101" s="79"/>
      <c r="E101" s="2">
        <v>9</v>
      </c>
      <c r="F101" s="2">
        <v>8</v>
      </c>
      <c r="G101" s="2">
        <v>7</v>
      </c>
      <c r="H101" s="2">
        <v>6</v>
      </c>
      <c r="I101" s="2">
        <v>5</v>
      </c>
      <c r="J101" s="2">
        <v>4</v>
      </c>
      <c r="K101" s="2">
        <v>3</v>
      </c>
      <c r="L101" s="2">
        <v>2</v>
      </c>
      <c r="M101" s="2">
        <v>1</v>
      </c>
      <c r="N101" s="2">
        <v>2</v>
      </c>
      <c r="O101" s="2">
        <v>3</v>
      </c>
      <c r="P101" s="2">
        <v>4</v>
      </c>
      <c r="Q101" s="2">
        <v>5</v>
      </c>
      <c r="R101" s="2">
        <v>6</v>
      </c>
      <c r="S101" s="2">
        <v>7</v>
      </c>
      <c r="T101" s="2">
        <v>8</v>
      </c>
      <c r="U101" s="2">
        <v>9</v>
      </c>
      <c r="V101" s="79" t="s">
        <v>3</v>
      </c>
      <c r="W101" s="79"/>
      <c r="X101" s="79"/>
      <c r="AA101" s="60" t="s">
        <v>14</v>
      </c>
      <c r="AB101" s="60"/>
      <c r="AC101" s="60">
        <v>5</v>
      </c>
      <c r="AD101" s="60"/>
      <c r="AE101" s="62">
        <v>1</v>
      </c>
      <c r="AF101" s="62"/>
      <c r="AG101" s="60">
        <f>1/3</f>
        <v>0.33333333333333331</v>
      </c>
      <c r="AH101" s="60"/>
    </row>
    <row r="102" spans="2:44" x14ac:dyDescent="0.35">
      <c r="B102" s="80" t="s">
        <v>14</v>
      </c>
      <c r="C102" s="80"/>
      <c r="D102" s="80"/>
      <c r="E102" s="2"/>
      <c r="F102" s="2"/>
      <c r="G102" s="2"/>
      <c r="H102" s="2"/>
      <c r="I102" s="2"/>
      <c r="J102" s="2"/>
      <c r="K102" s="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80" t="s">
        <v>15</v>
      </c>
      <c r="W102" s="80"/>
      <c r="X102" s="80"/>
      <c r="AA102" s="60"/>
      <c r="AB102" s="60"/>
      <c r="AC102" s="60"/>
      <c r="AD102" s="60"/>
      <c r="AE102" s="62"/>
      <c r="AF102" s="62"/>
      <c r="AG102" s="60"/>
      <c r="AH102" s="60"/>
    </row>
    <row r="103" spans="2:44" ht="15" customHeight="1" x14ac:dyDescent="0.35">
      <c r="AA103" s="60" t="s">
        <v>15</v>
      </c>
      <c r="AB103" s="60"/>
      <c r="AC103" s="60">
        <v>3</v>
      </c>
      <c r="AD103" s="60"/>
      <c r="AE103" s="60">
        <v>3</v>
      </c>
      <c r="AF103" s="60"/>
      <c r="AG103" s="62">
        <v>1</v>
      </c>
      <c r="AH103" s="62"/>
    </row>
    <row r="104" spans="2:44" x14ac:dyDescent="0.35">
      <c r="AA104" s="60"/>
      <c r="AB104" s="60"/>
      <c r="AC104" s="60"/>
      <c r="AD104" s="60"/>
      <c r="AE104" s="60"/>
      <c r="AF104" s="60"/>
      <c r="AG104" s="62"/>
      <c r="AH104" s="62"/>
    </row>
    <row r="105" spans="2:44" x14ac:dyDescent="0.35">
      <c r="B105" s="8" t="s">
        <v>16</v>
      </c>
    </row>
    <row r="107" spans="2:44" ht="15" customHeight="1" x14ac:dyDescent="0.35">
      <c r="B107" s="79" t="s">
        <v>2</v>
      </c>
      <c r="C107" s="79"/>
      <c r="D107" s="79"/>
      <c r="E107" s="2">
        <v>9</v>
      </c>
      <c r="F107" s="2">
        <v>8</v>
      </c>
      <c r="G107" s="2">
        <v>7</v>
      </c>
      <c r="H107" s="2">
        <v>6</v>
      </c>
      <c r="I107" s="2">
        <v>5</v>
      </c>
      <c r="J107" s="2">
        <v>4</v>
      </c>
      <c r="K107" s="2">
        <v>3</v>
      </c>
      <c r="L107" s="2">
        <v>2</v>
      </c>
      <c r="M107" s="2">
        <v>1</v>
      </c>
      <c r="N107" s="2">
        <v>2</v>
      </c>
      <c r="O107" s="2">
        <v>3</v>
      </c>
      <c r="P107" s="2">
        <v>4</v>
      </c>
      <c r="Q107" s="2">
        <v>5</v>
      </c>
      <c r="R107" s="2">
        <v>6</v>
      </c>
      <c r="S107" s="2">
        <v>7</v>
      </c>
      <c r="T107" s="2">
        <v>8</v>
      </c>
      <c r="U107" s="2">
        <v>9</v>
      </c>
      <c r="V107" s="79" t="s">
        <v>3</v>
      </c>
      <c r="W107" s="79"/>
      <c r="X107" s="79"/>
      <c r="AA107" s="60"/>
      <c r="AB107" s="60"/>
      <c r="AC107" s="60" t="s">
        <v>17</v>
      </c>
      <c r="AD107" s="60"/>
      <c r="AE107" s="60" t="s">
        <v>18</v>
      </c>
      <c r="AF107" s="60"/>
      <c r="AG107" s="60" t="s">
        <v>19</v>
      </c>
      <c r="AH107" s="60"/>
      <c r="AI107" s="60" t="s">
        <v>31</v>
      </c>
      <c r="AJ107" s="60"/>
      <c r="AK107" s="60" t="s">
        <v>20</v>
      </c>
      <c r="AL107" s="60"/>
      <c r="AM107" s="60" t="s">
        <v>21</v>
      </c>
      <c r="AN107" s="60"/>
      <c r="AO107" s="60" t="s">
        <v>22</v>
      </c>
      <c r="AP107" s="60"/>
      <c r="AQ107" s="60" t="s">
        <v>83</v>
      </c>
      <c r="AR107" s="60"/>
    </row>
    <row r="108" spans="2:44" x14ac:dyDescent="0.35">
      <c r="B108" s="80" t="s">
        <v>17</v>
      </c>
      <c r="C108" s="80"/>
      <c r="D108" s="8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3"/>
      <c r="R108" s="2"/>
      <c r="S108" s="2"/>
      <c r="T108" s="2"/>
      <c r="U108" s="2"/>
      <c r="V108" s="80" t="s">
        <v>18</v>
      </c>
      <c r="W108" s="80"/>
      <c r="X108" s="8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</row>
    <row r="109" spans="2:44" ht="15" customHeight="1" x14ac:dyDescent="0.35">
      <c r="B109" s="80" t="s">
        <v>17</v>
      </c>
      <c r="C109" s="80"/>
      <c r="D109" s="8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2"/>
      <c r="U109" s="2"/>
      <c r="V109" s="80" t="s">
        <v>19</v>
      </c>
      <c r="W109" s="80"/>
      <c r="X109" s="80"/>
      <c r="AA109" s="60" t="s">
        <v>17</v>
      </c>
      <c r="AB109" s="60"/>
      <c r="AC109" s="62">
        <v>1</v>
      </c>
      <c r="AD109" s="62"/>
      <c r="AE109" s="60">
        <v>5</v>
      </c>
      <c r="AF109" s="60"/>
      <c r="AG109" s="63">
        <v>7</v>
      </c>
      <c r="AH109" s="64"/>
      <c r="AI109" s="60">
        <v>7</v>
      </c>
      <c r="AJ109" s="60"/>
      <c r="AK109" s="60">
        <f>1/5</f>
        <v>0.2</v>
      </c>
      <c r="AL109" s="60"/>
      <c r="AM109" s="60">
        <f>1/3</f>
        <v>0.33333333333333331</v>
      </c>
      <c r="AN109" s="60"/>
      <c r="AO109" s="60">
        <v>7</v>
      </c>
      <c r="AP109" s="60"/>
      <c r="AQ109" s="60">
        <v>3</v>
      </c>
      <c r="AR109" s="60"/>
    </row>
    <row r="110" spans="2:44" x14ac:dyDescent="0.35">
      <c r="B110" s="80" t="s">
        <v>17</v>
      </c>
      <c r="C110" s="80"/>
      <c r="D110" s="8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2"/>
      <c r="U110" s="2"/>
      <c r="V110" s="80" t="s">
        <v>31</v>
      </c>
      <c r="W110" s="80"/>
      <c r="X110" s="80"/>
      <c r="AA110" s="60"/>
      <c r="AB110" s="60"/>
      <c r="AC110" s="62"/>
      <c r="AD110" s="62"/>
      <c r="AE110" s="60"/>
      <c r="AF110" s="60"/>
      <c r="AG110" s="65"/>
      <c r="AH110" s="6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</row>
    <row r="111" spans="2:44" ht="15" customHeight="1" x14ac:dyDescent="0.35">
      <c r="B111" s="80" t="s">
        <v>17</v>
      </c>
      <c r="C111" s="80"/>
      <c r="D111" s="80"/>
      <c r="E111" s="2"/>
      <c r="F111" s="2"/>
      <c r="G111" s="2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0" t="s">
        <v>20</v>
      </c>
      <c r="W111" s="80"/>
      <c r="X111" s="80"/>
      <c r="AA111" s="60" t="s">
        <v>18</v>
      </c>
      <c r="AB111" s="60"/>
      <c r="AC111" s="60">
        <f>1/5</f>
        <v>0.2</v>
      </c>
      <c r="AD111" s="60"/>
      <c r="AE111" s="62">
        <v>1</v>
      </c>
      <c r="AF111" s="62"/>
      <c r="AG111" s="60">
        <f>1/2</f>
        <v>0.5</v>
      </c>
      <c r="AH111" s="60"/>
      <c r="AI111" s="60">
        <f>1/2</f>
        <v>0.5</v>
      </c>
      <c r="AJ111" s="60"/>
      <c r="AK111" s="60">
        <f>1/5</f>
        <v>0.2</v>
      </c>
      <c r="AL111" s="60"/>
      <c r="AM111" s="60">
        <v>3</v>
      </c>
      <c r="AN111" s="60"/>
      <c r="AO111" s="60">
        <v>7</v>
      </c>
      <c r="AP111" s="60"/>
      <c r="AQ111" s="60">
        <f>1/5</f>
        <v>0.2</v>
      </c>
      <c r="AR111" s="60"/>
    </row>
    <row r="112" spans="2:44" x14ac:dyDescent="0.35">
      <c r="B112" s="80" t="s">
        <v>17</v>
      </c>
      <c r="C112" s="80"/>
      <c r="D112" s="80"/>
      <c r="E112" s="2"/>
      <c r="F112" s="2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0" t="s">
        <v>21</v>
      </c>
      <c r="W112" s="80"/>
      <c r="X112" s="80"/>
      <c r="AA112" s="60"/>
      <c r="AB112" s="60"/>
      <c r="AC112" s="60"/>
      <c r="AD112" s="60"/>
      <c r="AE112" s="62"/>
      <c r="AF112" s="62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</row>
    <row r="113" spans="2:44" ht="15" customHeight="1" x14ac:dyDescent="0.35">
      <c r="B113" s="80" t="s">
        <v>17</v>
      </c>
      <c r="C113" s="80"/>
      <c r="D113" s="8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2"/>
      <c r="U113" s="2"/>
      <c r="V113" s="80" t="s">
        <v>22</v>
      </c>
      <c r="W113" s="80"/>
      <c r="X113" s="80"/>
      <c r="AA113" s="60" t="s">
        <v>19</v>
      </c>
      <c r="AB113" s="60"/>
      <c r="AC113" s="60">
        <f>1/7</f>
        <v>0.14285714285714285</v>
      </c>
      <c r="AD113" s="60"/>
      <c r="AE113" s="60">
        <v>2</v>
      </c>
      <c r="AF113" s="60"/>
      <c r="AG113" s="62">
        <v>1</v>
      </c>
      <c r="AH113" s="62"/>
      <c r="AI113" s="60">
        <f>1/6</f>
        <v>0.16666666666666666</v>
      </c>
      <c r="AJ113" s="60"/>
      <c r="AK113" s="60">
        <f>1/7</f>
        <v>0.14285714285714285</v>
      </c>
      <c r="AL113" s="60"/>
      <c r="AM113" s="60">
        <f>1/9</f>
        <v>0.1111111111111111</v>
      </c>
      <c r="AN113" s="60"/>
      <c r="AO113" s="60">
        <v>5</v>
      </c>
      <c r="AP113" s="60"/>
      <c r="AQ113" s="60">
        <v>3</v>
      </c>
      <c r="AR113" s="60"/>
    </row>
    <row r="114" spans="2:44" x14ac:dyDescent="0.35">
      <c r="B114" s="80" t="s">
        <v>17</v>
      </c>
      <c r="C114" s="80"/>
      <c r="D114" s="80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2"/>
      <c r="S114" s="2"/>
      <c r="T114" s="2"/>
      <c r="U114" s="2"/>
      <c r="V114" s="80" t="s">
        <v>83</v>
      </c>
      <c r="W114" s="80"/>
      <c r="X114" s="80"/>
      <c r="AA114" s="60"/>
      <c r="AB114" s="60"/>
      <c r="AC114" s="60"/>
      <c r="AD114" s="60"/>
      <c r="AE114" s="60"/>
      <c r="AF114" s="60"/>
      <c r="AG114" s="62"/>
      <c r="AH114" s="62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</row>
    <row r="115" spans="2:44" ht="15" customHeight="1" x14ac:dyDescent="0.35">
      <c r="AA115" s="60" t="s">
        <v>31</v>
      </c>
      <c r="AB115" s="60"/>
      <c r="AC115" s="60">
        <f>1/7</f>
        <v>0.14285714285714285</v>
      </c>
      <c r="AD115" s="60"/>
      <c r="AE115" s="60">
        <v>2</v>
      </c>
      <c r="AF115" s="60"/>
      <c r="AG115" s="60">
        <v>6</v>
      </c>
      <c r="AH115" s="60"/>
      <c r="AI115" s="62">
        <v>1</v>
      </c>
      <c r="AJ115" s="62"/>
      <c r="AK115" s="60">
        <f>1/7</f>
        <v>0.14285714285714285</v>
      </c>
      <c r="AL115" s="60"/>
      <c r="AM115" s="60">
        <v>3</v>
      </c>
      <c r="AN115" s="60"/>
      <c r="AO115" s="60">
        <v>5</v>
      </c>
      <c r="AP115" s="60"/>
      <c r="AQ115" s="60">
        <f>1/7</f>
        <v>0.14285714285714285</v>
      </c>
      <c r="AR115" s="60"/>
    </row>
    <row r="116" spans="2:44" x14ac:dyDescent="0.35">
      <c r="B116" s="79" t="s">
        <v>2</v>
      </c>
      <c r="C116" s="79"/>
      <c r="D116" s="79"/>
      <c r="E116" s="2">
        <v>9</v>
      </c>
      <c r="F116" s="2">
        <v>8</v>
      </c>
      <c r="G116" s="2">
        <v>7</v>
      </c>
      <c r="H116" s="2">
        <v>6</v>
      </c>
      <c r="I116" s="2">
        <v>5</v>
      </c>
      <c r="J116" s="2">
        <v>4</v>
      </c>
      <c r="K116" s="2">
        <v>3</v>
      </c>
      <c r="L116" s="2">
        <v>2</v>
      </c>
      <c r="M116" s="2">
        <v>1</v>
      </c>
      <c r="N116" s="2">
        <v>2</v>
      </c>
      <c r="O116" s="2">
        <v>3</v>
      </c>
      <c r="P116" s="2">
        <v>4</v>
      </c>
      <c r="Q116" s="2">
        <v>5</v>
      </c>
      <c r="R116" s="2">
        <v>6</v>
      </c>
      <c r="S116" s="2">
        <v>7</v>
      </c>
      <c r="T116" s="2">
        <v>8</v>
      </c>
      <c r="U116" s="2">
        <v>9</v>
      </c>
      <c r="V116" s="79" t="s">
        <v>3</v>
      </c>
      <c r="W116" s="79"/>
      <c r="X116" s="79"/>
      <c r="AA116" s="60"/>
      <c r="AB116" s="60"/>
      <c r="AC116" s="60"/>
      <c r="AD116" s="60"/>
      <c r="AE116" s="60"/>
      <c r="AF116" s="60"/>
      <c r="AG116" s="60"/>
      <c r="AH116" s="60"/>
      <c r="AI116" s="62"/>
      <c r="AJ116" s="62"/>
      <c r="AK116" s="60"/>
      <c r="AL116" s="60"/>
      <c r="AM116" s="60"/>
      <c r="AN116" s="60"/>
      <c r="AO116" s="60"/>
      <c r="AP116" s="60"/>
      <c r="AQ116" s="60"/>
      <c r="AR116" s="60"/>
    </row>
    <row r="117" spans="2:44" ht="15" customHeight="1" x14ac:dyDescent="0.35">
      <c r="B117" s="80" t="s">
        <v>18</v>
      </c>
      <c r="C117" s="80"/>
      <c r="D117" s="80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80" t="s">
        <v>19</v>
      </c>
      <c r="W117" s="80"/>
      <c r="X117" s="80"/>
      <c r="AA117" s="60" t="s">
        <v>20</v>
      </c>
      <c r="AB117" s="60"/>
      <c r="AC117" s="60">
        <v>5</v>
      </c>
      <c r="AD117" s="60"/>
      <c r="AE117" s="60">
        <v>5</v>
      </c>
      <c r="AF117" s="60"/>
      <c r="AG117" s="60">
        <v>7</v>
      </c>
      <c r="AH117" s="60"/>
      <c r="AI117" s="60">
        <v>7</v>
      </c>
      <c r="AJ117" s="60"/>
      <c r="AK117" s="62">
        <v>1</v>
      </c>
      <c r="AL117" s="62"/>
      <c r="AM117" s="60">
        <v>5</v>
      </c>
      <c r="AN117" s="60"/>
      <c r="AO117" s="60">
        <v>3</v>
      </c>
      <c r="AP117" s="60"/>
      <c r="AQ117" s="60">
        <f>1/3</f>
        <v>0.33333333333333331</v>
      </c>
      <c r="AR117" s="60"/>
    </row>
    <row r="118" spans="2:44" x14ac:dyDescent="0.35">
      <c r="B118" s="80" t="s">
        <v>18</v>
      </c>
      <c r="C118" s="80"/>
      <c r="D118" s="80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80" t="s">
        <v>31</v>
      </c>
      <c r="W118" s="80"/>
      <c r="X118" s="8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2"/>
      <c r="AL118" s="62"/>
      <c r="AM118" s="60"/>
      <c r="AN118" s="60"/>
      <c r="AO118" s="60"/>
      <c r="AP118" s="60"/>
      <c r="AQ118" s="60"/>
      <c r="AR118" s="60"/>
    </row>
    <row r="119" spans="2:44" ht="15" customHeight="1" x14ac:dyDescent="0.35">
      <c r="B119" s="80" t="s">
        <v>18</v>
      </c>
      <c r="C119" s="80"/>
      <c r="D119" s="80"/>
      <c r="E119" s="2"/>
      <c r="F119" s="2"/>
      <c r="G119" s="2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0" t="s">
        <v>20</v>
      </c>
      <c r="W119" s="80"/>
      <c r="X119" s="80"/>
      <c r="AA119" s="60" t="s">
        <v>21</v>
      </c>
      <c r="AB119" s="60"/>
      <c r="AC119" s="60">
        <v>3</v>
      </c>
      <c r="AD119" s="60"/>
      <c r="AE119" s="60">
        <f>1/3</f>
        <v>0.33333333333333331</v>
      </c>
      <c r="AF119" s="60"/>
      <c r="AG119" s="60">
        <v>9</v>
      </c>
      <c r="AH119" s="60"/>
      <c r="AI119" s="60">
        <f>1/3</f>
        <v>0.33333333333333331</v>
      </c>
      <c r="AJ119" s="60"/>
      <c r="AK119" s="60">
        <f>1/5</f>
        <v>0.2</v>
      </c>
      <c r="AL119" s="60"/>
      <c r="AM119" s="62">
        <v>1</v>
      </c>
      <c r="AN119" s="62"/>
      <c r="AO119" s="60">
        <v>5</v>
      </c>
      <c r="AP119" s="60"/>
      <c r="AQ119" s="60">
        <f>1/3</f>
        <v>0.33333333333333331</v>
      </c>
      <c r="AR119" s="60"/>
    </row>
    <row r="120" spans="2:44" x14ac:dyDescent="0.35">
      <c r="B120" s="80" t="s">
        <v>18</v>
      </c>
      <c r="C120" s="80"/>
      <c r="D120" s="8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80" t="s">
        <v>21</v>
      </c>
      <c r="W120" s="80"/>
      <c r="X120" s="8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2"/>
      <c r="AN120" s="62"/>
      <c r="AO120" s="60"/>
      <c r="AP120" s="60"/>
      <c r="AQ120" s="60"/>
      <c r="AR120" s="60"/>
    </row>
    <row r="121" spans="2:44" ht="15" customHeight="1" x14ac:dyDescent="0.35">
      <c r="B121" s="80" t="s">
        <v>18</v>
      </c>
      <c r="C121" s="80"/>
      <c r="D121" s="8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2"/>
      <c r="U121" s="2"/>
      <c r="V121" s="80" t="s">
        <v>22</v>
      </c>
      <c r="W121" s="80"/>
      <c r="X121" s="80"/>
      <c r="AA121" s="60" t="s">
        <v>22</v>
      </c>
      <c r="AB121" s="60"/>
      <c r="AC121" s="60">
        <f>1/7</f>
        <v>0.14285714285714285</v>
      </c>
      <c r="AD121" s="60"/>
      <c r="AE121" s="60">
        <f>1/7</f>
        <v>0.14285714285714285</v>
      </c>
      <c r="AF121" s="60"/>
      <c r="AG121" s="60">
        <f>1/5</f>
        <v>0.2</v>
      </c>
      <c r="AH121" s="60"/>
      <c r="AI121" s="60">
        <f>1/5</f>
        <v>0.2</v>
      </c>
      <c r="AJ121" s="60"/>
      <c r="AK121" s="60">
        <f>1/3</f>
        <v>0.33333333333333331</v>
      </c>
      <c r="AL121" s="60"/>
      <c r="AM121" s="60">
        <f>1/5</f>
        <v>0.2</v>
      </c>
      <c r="AN121" s="60"/>
      <c r="AO121" s="62">
        <v>1</v>
      </c>
      <c r="AP121" s="62"/>
      <c r="AQ121" s="60">
        <v>9</v>
      </c>
      <c r="AR121" s="60"/>
    </row>
    <row r="122" spans="2:44" x14ac:dyDescent="0.35">
      <c r="B122" s="80" t="s">
        <v>18</v>
      </c>
      <c r="C122" s="80"/>
      <c r="D122" s="80"/>
      <c r="E122" s="2"/>
      <c r="F122" s="2"/>
      <c r="G122" s="2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0" t="s">
        <v>83</v>
      </c>
      <c r="W122" s="80"/>
      <c r="X122" s="8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2"/>
      <c r="AP122" s="62"/>
      <c r="AQ122" s="60"/>
      <c r="AR122" s="60"/>
    </row>
    <row r="123" spans="2:44" ht="15" customHeight="1" x14ac:dyDescent="0.35">
      <c r="AA123" s="60" t="s">
        <v>83</v>
      </c>
      <c r="AB123" s="60"/>
      <c r="AC123" s="60">
        <f>1/3</f>
        <v>0.33333333333333331</v>
      </c>
      <c r="AD123" s="60"/>
      <c r="AE123" s="60">
        <v>5</v>
      </c>
      <c r="AF123" s="60"/>
      <c r="AG123" s="60">
        <f>1/3</f>
        <v>0.33333333333333331</v>
      </c>
      <c r="AH123" s="60"/>
      <c r="AI123" s="60">
        <v>7</v>
      </c>
      <c r="AJ123" s="60"/>
      <c r="AK123" s="60">
        <v>3</v>
      </c>
      <c r="AL123" s="60"/>
      <c r="AM123" s="60">
        <v>3</v>
      </c>
      <c r="AN123" s="60"/>
      <c r="AO123" s="60">
        <f>1/9</f>
        <v>0.1111111111111111</v>
      </c>
      <c r="AP123" s="60"/>
      <c r="AQ123" s="62">
        <v>1</v>
      </c>
      <c r="AR123" s="62"/>
    </row>
    <row r="124" spans="2:44" x14ac:dyDescent="0.35">
      <c r="B124" s="79" t="s">
        <v>2</v>
      </c>
      <c r="C124" s="79"/>
      <c r="D124" s="79"/>
      <c r="E124" s="2">
        <v>9</v>
      </c>
      <c r="F124" s="2">
        <v>8</v>
      </c>
      <c r="G124" s="2">
        <v>7</v>
      </c>
      <c r="H124" s="2">
        <v>6</v>
      </c>
      <c r="I124" s="2">
        <v>5</v>
      </c>
      <c r="J124" s="2">
        <v>4</v>
      </c>
      <c r="K124" s="2">
        <v>3</v>
      </c>
      <c r="L124" s="2">
        <v>2</v>
      </c>
      <c r="M124" s="2">
        <v>1</v>
      </c>
      <c r="N124" s="2">
        <v>2</v>
      </c>
      <c r="O124" s="2">
        <v>3</v>
      </c>
      <c r="P124" s="2">
        <v>4</v>
      </c>
      <c r="Q124" s="2">
        <v>5</v>
      </c>
      <c r="R124" s="2">
        <v>6</v>
      </c>
      <c r="S124" s="2">
        <v>7</v>
      </c>
      <c r="T124" s="2">
        <v>8</v>
      </c>
      <c r="U124" s="2">
        <v>9</v>
      </c>
      <c r="V124" s="79" t="s">
        <v>3</v>
      </c>
      <c r="W124" s="79"/>
      <c r="X124" s="79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2"/>
      <c r="AR124" s="62"/>
    </row>
    <row r="125" spans="2:44" x14ac:dyDescent="0.35">
      <c r="B125" s="80" t="s">
        <v>19</v>
      </c>
      <c r="C125" s="80"/>
      <c r="D125" s="80"/>
      <c r="E125" s="2"/>
      <c r="F125" s="2"/>
      <c r="G125" s="2"/>
      <c r="H125" s="3"/>
      <c r="I125" s="2"/>
      <c r="J125" s="2"/>
      <c r="K125" s="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0" t="s">
        <v>31</v>
      </c>
      <c r="W125" s="80"/>
      <c r="X125" s="80"/>
    </row>
    <row r="126" spans="2:44" x14ac:dyDescent="0.35">
      <c r="B126" s="80" t="s">
        <v>19</v>
      </c>
      <c r="C126" s="80"/>
      <c r="D126" s="80"/>
      <c r="E126" s="2"/>
      <c r="F126" s="2"/>
      <c r="G126" s="3"/>
      <c r="H126" s="2"/>
      <c r="I126" s="2"/>
      <c r="J126" s="2"/>
      <c r="K126" s="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0" t="s">
        <v>20</v>
      </c>
      <c r="W126" s="80"/>
      <c r="X126" s="80"/>
    </row>
    <row r="127" spans="2:44" x14ac:dyDescent="0.35">
      <c r="B127" s="80" t="s">
        <v>19</v>
      </c>
      <c r="C127" s="80"/>
      <c r="D127" s="80"/>
      <c r="E127" s="3"/>
      <c r="F127" s="2"/>
      <c r="G127" s="2"/>
      <c r="H127" s="2"/>
      <c r="I127" s="2"/>
      <c r="J127" s="2"/>
      <c r="K127" s="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0" t="s">
        <v>21</v>
      </c>
      <c r="W127" s="80"/>
      <c r="X127" s="80"/>
      <c r="Z127" s="6"/>
      <c r="AA127" s="6"/>
      <c r="AB127" s="6"/>
    </row>
    <row r="128" spans="2:44" x14ac:dyDescent="0.35">
      <c r="B128" s="80" t="s">
        <v>19</v>
      </c>
      <c r="C128" s="80"/>
      <c r="D128" s="8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3"/>
      <c r="R128" s="2"/>
      <c r="S128" s="2"/>
      <c r="T128" s="2"/>
      <c r="U128" s="2"/>
      <c r="V128" s="80" t="s">
        <v>22</v>
      </c>
      <c r="W128" s="80"/>
      <c r="X128" s="80"/>
    </row>
    <row r="129" spans="2:24" x14ac:dyDescent="0.35">
      <c r="B129" s="80" t="s">
        <v>19</v>
      </c>
      <c r="C129" s="80"/>
      <c r="D129" s="8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2"/>
      <c r="S129" s="2"/>
      <c r="T129" s="2"/>
      <c r="U129" s="2"/>
      <c r="V129" s="80" t="s">
        <v>83</v>
      </c>
      <c r="W129" s="80"/>
      <c r="X129" s="80"/>
    </row>
    <row r="131" spans="2:24" x14ac:dyDescent="0.35">
      <c r="B131" s="79" t="s">
        <v>2</v>
      </c>
      <c r="C131" s="79"/>
      <c r="D131" s="79"/>
      <c r="E131" s="2">
        <v>9</v>
      </c>
      <c r="F131" s="2">
        <v>8</v>
      </c>
      <c r="G131" s="2">
        <v>7</v>
      </c>
      <c r="H131" s="2">
        <v>6</v>
      </c>
      <c r="I131" s="2">
        <v>5</v>
      </c>
      <c r="J131" s="2">
        <v>4</v>
      </c>
      <c r="K131" s="2">
        <v>3</v>
      </c>
      <c r="L131" s="2">
        <v>2</v>
      </c>
      <c r="M131" s="2">
        <v>1</v>
      </c>
      <c r="N131" s="2">
        <v>2</v>
      </c>
      <c r="O131" s="2">
        <v>3</v>
      </c>
      <c r="P131" s="2">
        <v>4</v>
      </c>
      <c r="Q131" s="2">
        <v>5</v>
      </c>
      <c r="R131" s="2">
        <v>6</v>
      </c>
      <c r="S131" s="2">
        <v>7</v>
      </c>
      <c r="T131" s="2">
        <v>8</v>
      </c>
      <c r="U131" s="2">
        <v>9</v>
      </c>
      <c r="V131" s="79" t="s">
        <v>3</v>
      </c>
      <c r="W131" s="79"/>
      <c r="X131" s="79"/>
    </row>
    <row r="132" spans="2:24" x14ac:dyDescent="0.35">
      <c r="B132" s="80" t="s">
        <v>31</v>
      </c>
      <c r="C132" s="80"/>
      <c r="D132" s="80"/>
      <c r="E132" s="2"/>
      <c r="F132" s="2"/>
      <c r="G132" s="4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0" t="s">
        <v>20</v>
      </c>
      <c r="W132" s="80"/>
      <c r="X132" s="80"/>
    </row>
    <row r="133" spans="2:24" x14ac:dyDescent="0.35">
      <c r="B133" s="80" t="s">
        <v>31</v>
      </c>
      <c r="C133" s="80"/>
      <c r="D133" s="8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2"/>
      <c r="S133" s="2"/>
      <c r="T133" s="2"/>
      <c r="U133" s="2"/>
      <c r="V133" s="80" t="s">
        <v>21</v>
      </c>
      <c r="W133" s="80"/>
      <c r="X133" s="80"/>
    </row>
    <row r="134" spans="2:24" x14ac:dyDescent="0.35">
      <c r="B134" s="80" t="s">
        <v>31</v>
      </c>
      <c r="C134" s="80"/>
      <c r="D134" s="8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3"/>
      <c r="R134" s="2"/>
      <c r="S134" s="2"/>
      <c r="T134" s="2"/>
      <c r="U134" s="2"/>
      <c r="V134" s="80" t="s">
        <v>22</v>
      </c>
      <c r="W134" s="80"/>
      <c r="X134" s="80"/>
    </row>
    <row r="135" spans="2:24" x14ac:dyDescent="0.35">
      <c r="B135" s="80" t="s">
        <v>31</v>
      </c>
      <c r="C135" s="80"/>
      <c r="D135" s="80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0" t="s">
        <v>83</v>
      </c>
      <c r="W135" s="80"/>
      <c r="X135" s="80"/>
    </row>
    <row r="137" spans="2:24" x14ac:dyDescent="0.35">
      <c r="B137" s="79" t="s">
        <v>2</v>
      </c>
      <c r="C137" s="79"/>
      <c r="D137" s="79"/>
      <c r="E137" s="2">
        <v>9</v>
      </c>
      <c r="F137" s="2">
        <v>8</v>
      </c>
      <c r="G137" s="2">
        <v>7</v>
      </c>
      <c r="H137" s="2">
        <v>6</v>
      </c>
      <c r="I137" s="2">
        <v>5</v>
      </c>
      <c r="J137" s="2">
        <v>4</v>
      </c>
      <c r="K137" s="2">
        <v>3</v>
      </c>
      <c r="L137" s="2">
        <v>2</v>
      </c>
      <c r="M137" s="2">
        <v>1</v>
      </c>
      <c r="N137" s="2">
        <v>2</v>
      </c>
      <c r="O137" s="2">
        <v>3</v>
      </c>
      <c r="P137" s="2">
        <v>4</v>
      </c>
      <c r="Q137" s="2">
        <v>5</v>
      </c>
      <c r="R137" s="2">
        <v>6</v>
      </c>
      <c r="S137" s="2">
        <v>7</v>
      </c>
      <c r="T137" s="2">
        <v>8</v>
      </c>
      <c r="U137" s="2">
        <v>9</v>
      </c>
      <c r="V137" s="79" t="s">
        <v>3</v>
      </c>
      <c r="W137" s="79"/>
      <c r="X137" s="79"/>
    </row>
    <row r="138" spans="2:24" x14ac:dyDescent="0.35">
      <c r="B138" s="80" t="s">
        <v>20</v>
      </c>
      <c r="C138" s="80"/>
      <c r="D138" s="8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3"/>
      <c r="R138" s="2"/>
      <c r="S138" s="2"/>
      <c r="T138" s="2"/>
      <c r="U138" s="2"/>
      <c r="V138" s="80" t="s">
        <v>21</v>
      </c>
      <c r="W138" s="80"/>
      <c r="X138" s="80"/>
    </row>
    <row r="139" spans="2:24" x14ac:dyDescent="0.35">
      <c r="B139" s="80" t="s">
        <v>20</v>
      </c>
      <c r="C139" s="80"/>
      <c r="D139" s="8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2"/>
      <c r="S139" s="2"/>
      <c r="T139" s="2"/>
      <c r="U139" s="2"/>
      <c r="V139" s="80" t="s">
        <v>22</v>
      </c>
      <c r="W139" s="80"/>
      <c r="X139" s="80"/>
    </row>
    <row r="140" spans="2:24" x14ac:dyDescent="0.35">
      <c r="B140" s="80" t="s">
        <v>20</v>
      </c>
      <c r="C140" s="80"/>
      <c r="D140" s="80"/>
      <c r="E140" s="5"/>
      <c r="F140" s="2"/>
      <c r="G140" s="2"/>
      <c r="H140" s="2"/>
      <c r="I140" s="2"/>
      <c r="J140" s="2"/>
      <c r="K140" s="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0" t="s">
        <v>83</v>
      </c>
      <c r="W140" s="80"/>
      <c r="X140" s="80"/>
    </row>
    <row r="142" spans="2:24" x14ac:dyDescent="0.35">
      <c r="B142" s="79" t="s">
        <v>2</v>
      </c>
      <c r="C142" s="79"/>
      <c r="D142" s="79"/>
      <c r="E142" s="2">
        <v>9</v>
      </c>
      <c r="F142" s="2">
        <v>8</v>
      </c>
      <c r="G142" s="2">
        <v>7</v>
      </c>
      <c r="H142" s="2">
        <v>6</v>
      </c>
      <c r="I142" s="2">
        <v>5</v>
      </c>
      <c r="J142" s="2">
        <v>4</v>
      </c>
      <c r="K142" s="2">
        <v>3</v>
      </c>
      <c r="L142" s="2">
        <v>2</v>
      </c>
      <c r="M142" s="2">
        <v>1</v>
      </c>
      <c r="N142" s="2">
        <v>2</v>
      </c>
      <c r="O142" s="2">
        <v>3</v>
      </c>
      <c r="P142" s="2">
        <v>4</v>
      </c>
      <c r="Q142" s="2">
        <v>5</v>
      </c>
      <c r="R142" s="2">
        <v>6</v>
      </c>
      <c r="S142" s="2">
        <v>7</v>
      </c>
      <c r="T142" s="2">
        <v>8</v>
      </c>
      <c r="U142" s="2">
        <v>9</v>
      </c>
      <c r="V142" s="79" t="s">
        <v>3</v>
      </c>
      <c r="W142" s="79"/>
      <c r="X142" s="79"/>
    </row>
    <row r="143" spans="2:24" x14ac:dyDescent="0.35">
      <c r="B143" s="80" t="s">
        <v>21</v>
      </c>
      <c r="C143" s="80"/>
      <c r="D143" s="8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3"/>
      <c r="R143" s="2"/>
      <c r="S143" s="2"/>
      <c r="T143" s="2"/>
      <c r="U143" s="2"/>
      <c r="V143" s="80" t="s">
        <v>22</v>
      </c>
      <c r="W143" s="80"/>
      <c r="X143" s="80"/>
    </row>
    <row r="144" spans="2:24" x14ac:dyDescent="0.35">
      <c r="B144" s="80" t="s">
        <v>21</v>
      </c>
      <c r="C144" s="80"/>
      <c r="D144" s="80"/>
      <c r="E144" s="5"/>
      <c r="F144" s="2"/>
      <c r="G144" s="2"/>
      <c r="H144" s="2"/>
      <c r="I144" s="2"/>
      <c r="J144" s="2"/>
      <c r="K144" s="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80" t="s">
        <v>83</v>
      </c>
      <c r="W144" s="80"/>
      <c r="X144" s="80"/>
    </row>
    <row r="146" spans="2:34" x14ac:dyDescent="0.35">
      <c r="B146" s="79" t="s">
        <v>2</v>
      </c>
      <c r="C146" s="79"/>
      <c r="D146" s="79"/>
      <c r="E146" s="2">
        <v>9</v>
      </c>
      <c r="F146" s="2">
        <v>8</v>
      </c>
      <c r="G146" s="2">
        <v>7</v>
      </c>
      <c r="H146" s="2">
        <v>6</v>
      </c>
      <c r="I146" s="2">
        <v>5</v>
      </c>
      <c r="J146" s="2">
        <v>4</v>
      </c>
      <c r="K146" s="2">
        <v>3</v>
      </c>
      <c r="L146" s="2">
        <v>2</v>
      </c>
      <c r="M146" s="2">
        <v>1</v>
      </c>
      <c r="N146" s="2">
        <v>2</v>
      </c>
      <c r="O146" s="2">
        <v>3</v>
      </c>
      <c r="P146" s="2">
        <v>4</v>
      </c>
      <c r="Q146" s="2">
        <v>5</v>
      </c>
      <c r="R146" s="2">
        <v>6</v>
      </c>
      <c r="S146" s="2">
        <v>7</v>
      </c>
      <c r="T146" s="2">
        <v>8</v>
      </c>
      <c r="U146" s="2">
        <v>9</v>
      </c>
      <c r="V146" s="79" t="s">
        <v>3</v>
      </c>
      <c r="W146" s="79"/>
      <c r="X146" s="79"/>
    </row>
    <row r="147" spans="2:34" x14ac:dyDescent="0.35">
      <c r="B147" s="80" t="s">
        <v>22</v>
      </c>
      <c r="C147" s="80"/>
      <c r="D147" s="80"/>
      <c r="E147" s="2"/>
      <c r="F147" s="2"/>
      <c r="G147" s="2"/>
      <c r="H147" s="5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"/>
      <c r="V147" s="80" t="s">
        <v>83</v>
      </c>
      <c r="W147" s="80"/>
      <c r="X147" s="80"/>
    </row>
    <row r="148" spans="2:34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2:34" x14ac:dyDescent="0.35">
      <c r="B149" s="8" t="s">
        <v>23</v>
      </c>
    </row>
    <row r="151" spans="2:34" ht="15" customHeight="1" x14ac:dyDescent="0.35">
      <c r="B151" s="79" t="s">
        <v>2</v>
      </c>
      <c r="C151" s="79"/>
      <c r="D151" s="79"/>
      <c r="E151" s="2">
        <v>9</v>
      </c>
      <c r="F151" s="2">
        <v>8</v>
      </c>
      <c r="G151" s="2">
        <v>7</v>
      </c>
      <c r="H151" s="2">
        <v>6</v>
      </c>
      <c r="I151" s="2">
        <v>5</v>
      </c>
      <c r="J151" s="2">
        <v>4</v>
      </c>
      <c r="K151" s="2">
        <v>3</v>
      </c>
      <c r="L151" s="2">
        <v>2</v>
      </c>
      <c r="M151" s="2">
        <v>1</v>
      </c>
      <c r="N151" s="2">
        <v>2</v>
      </c>
      <c r="O151" s="2">
        <v>3</v>
      </c>
      <c r="P151" s="2">
        <v>4</v>
      </c>
      <c r="Q151" s="2">
        <v>5</v>
      </c>
      <c r="R151" s="2">
        <v>6</v>
      </c>
      <c r="S151" s="2">
        <v>7</v>
      </c>
      <c r="T151" s="2">
        <v>8</v>
      </c>
      <c r="U151" s="2">
        <v>9</v>
      </c>
      <c r="V151" s="79" t="s">
        <v>3</v>
      </c>
      <c r="W151" s="79"/>
      <c r="X151" s="79"/>
      <c r="AA151" s="60"/>
      <c r="AB151" s="60"/>
      <c r="AC151" s="60" t="s">
        <v>92</v>
      </c>
      <c r="AD151" s="60"/>
      <c r="AE151" s="60" t="s">
        <v>25</v>
      </c>
      <c r="AF151" s="60"/>
      <c r="AG151" s="60" t="s">
        <v>26</v>
      </c>
      <c r="AH151" s="60"/>
    </row>
    <row r="152" spans="2:34" x14ac:dyDescent="0.35">
      <c r="B152" s="80" t="s">
        <v>24</v>
      </c>
      <c r="C152" s="80"/>
      <c r="D152" s="8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2"/>
      <c r="S152" s="2"/>
      <c r="T152" s="2"/>
      <c r="U152" s="2"/>
      <c r="V152" s="80" t="s">
        <v>25</v>
      </c>
      <c r="W152" s="80"/>
      <c r="X152" s="80"/>
      <c r="AA152" s="60"/>
      <c r="AB152" s="60"/>
      <c r="AC152" s="60"/>
      <c r="AD152" s="60"/>
      <c r="AE152" s="60"/>
      <c r="AF152" s="60"/>
      <c r="AG152" s="60"/>
      <c r="AH152" s="60"/>
    </row>
    <row r="153" spans="2:34" ht="15" customHeight="1" x14ac:dyDescent="0.35">
      <c r="B153" s="80" t="s">
        <v>24</v>
      </c>
      <c r="C153" s="80"/>
      <c r="D153" s="80"/>
      <c r="E153" s="2"/>
      <c r="F153" s="2"/>
      <c r="G153" s="2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80" t="s">
        <v>26</v>
      </c>
      <c r="W153" s="80"/>
      <c r="X153" s="80"/>
      <c r="AA153" s="60" t="s">
        <v>92</v>
      </c>
      <c r="AB153" s="60"/>
      <c r="AC153" s="62">
        <v>1</v>
      </c>
      <c r="AD153" s="62"/>
      <c r="AE153" s="60">
        <v>7</v>
      </c>
      <c r="AF153" s="60"/>
      <c r="AG153" s="63">
        <v>9</v>
      </c>
      <c r="AH153" s="64"/>
    </row>
    <row r="154" spans="2:34" x14ac:dyDescent="0.35">
      <c r="AA154" s="60"/>
      <c r="AB154" s="60"/>
      <c r="AC154" s="62"/>
      <c r="AD154" s="62"/>
      <c r="AE154" s="60"/>
      <c r="AF154" s="60"/>
      <c r="AG154" s="65"/>
      <c r="AH154" s="66"/>
    </row>
    <row r="155" spans="2:34" ht="15" customHeight="1" x14ac:dyDescent="0.35">
      <c r="B155" s="79" t="s">
        <v>2</v>
      </c>
      <c r="C155" s="79"/>
      <c r="D155" s="79"/>
      <c r="E155" s="2">
        <v>9</v>
      </c>
      <c r="F155" s="2">
        <v>8</v>
      </c>
      <c r="G155" s="2">
        <v>7</v>
      </c>
      <c r="H155" s="2">
        <v>6</v>
      </c>
      <c r="I155" s="2">
        <v>5</v>
      </c>
      <c r="J155" s="2">
        <v>4</v>
      </c>
      <c r="K155" s="2">
        <v>3</v>
      </c>
      <c r="L155" s="2">
        <v>2</v>
      </c>
      <c r="M155" s="2">
        <v>1</v>
      </c>
      <c r="N155" s="2">
        <v>2</v>
      </c>
      <c r="O155" s="2">
        <v>3</v>
      </c>
      <c r="P155" s="2">
        <v>4</v>
      </c>
      <c r="Q155" s="2">
        <v>5</v>
      </c>
      <c r="R155" s="2">
        <v>6</v>
      </c>
      <c r="S155" s="2">
        <v>7</v>
      </c>
      <c r="T155" s="2">
        <v>8</v>
      </c>
      <c r="U155" s="2">
        <v>9</v>
      </c>
      <c r="V155" s="79" t="s">
        <v>3</v>
      </c>
      <c r="W155" s="79"/>
      <c r="X155" s="79"/>
      <c r="AA155" s="60" t="s">
        <v>25</v>
      </c>
      <c r="AB155" s="60"/>
      <c r="AC155" s="60">
        <f>1/7</f>
        <v>0.14285714285714285</v>
      </c>
      <c r="AD155" s="60"/>
      <c r="AE155" s="62">
        <v>1</v>
      </c>
      <c r="AF155" s="62"/>
      <c r="AG155" s="60">
        <v>5</v>
      </c>
      <c r="AH155" s="60"/>
    </row>
    <row r="156" spans="2:34" x14ac:dyDescent="0.35">
      <c r="B156" s="80" t="s">
        <v>25</v>
      </c>
      <c r="C156" s="80"/>
      <c r="D156" s="8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3"/>
      <c r="R156" s="2"/>
      <c r="S156" s="2"/>
      <c r="T156" s="2"/>
      <c r="U156" s="2"/>
      <c r="V156" s="80" t="s">
        <v>26</v>
      </c>
      <c r="W156" s="80"/>
      <c r="X156" s="80"/>
      <c r="AA156" s="60"/>
      <c r="AB156" s="60"/>
      <c r="AC156" s="60"/>
      <c r="AD156" s="60"/>
      <c r="AE156" s="62"/>
      <c r="AF156" s="62"/>
      <c r="AG156" s="60"/>
      <c r="AH156" s="60"/>
    </row>
    <row r="157" spans="2:34" ht="15" customHeight="1" x14ac:dyDescent="0.35">
      <c r="AA157" s="60" t="s">
        <v>26</v>
      </c>
      <c r="AB157" s="60"/>
      <c r="AC157" s="60">
        <f>1/9</f>
        <v>0.1111111111111111</v>
      </c>
      <c r="AD157" s="60"/>
      <c r="AE157" s="60">
        <f>1/5</f>
        <v>0.2</v>
      </c>
      <c r="AF157" s="60"/>
      <c r="AG157" s="62">
        <v>1</v>
      </c>
      <c r="AH157" s="62"/>
    </row>
    <row r="158" spans="2:34" x14ac:dyDescent="0.35">
      <c r="AA158" s="60"/>
      <c r="AB158" s="60"/>
      <c r="AC158" s="60"/>
      <c r="AD158" s="60"/>
      <c r="AE158" s="60"/>
      <c r="AF158" s="60"/>
      <c r="AG158" s="62"/>
      <c r="AH158" s="62"/>
    </row>
  </sheetData>
  <mergeCells count="521">
    <mergeCell ref="AA157:AB158"/>
    <mergeCell ref="AC157:AD158"/>
    <mergeCell ref="AE157:AF158"/>
    <mergeCell ref="AG157:AH158"/>
    <mergeCell ref="AA151:AB152"/>
    <mergeCell ref="AC151:AD152"/>
    <mergeCell ref="AE151:AF152"/>
    <mergeCell ref="AG151:AH152"/>
    <mergeCell ref="AO123:AP124"/>
    <mergeCell ref="AA153:AB154"/>
    <mergeCell ref="AC153:AD154"/>
    <mergeCell ref="AE153:AF154"/>
    <mergeCell ref="AG153:AH154"/>
    <mergeCell ref="AA155:AB156"/>
    <mergeCell ref="AC155:AD156"/>
    <mergeCell ref="AE155:AF156"/>
    <mergeCell ref="AG155:AH156"/>
    <mergeCell ref="AC119:AD120"/>
    <mergeCell ref="AE119:AF120"/>
    <mergeCell ref="AG119:AH120"/>
    <mergeCell ref="AI119:AJ120"/>
    <mergeCell ref="AK119:AL120"/>
    <mergeCell ref="AM119:AN120"/>
    <mergeCell ref="AO119:AP120"/>
    <mergeCell ref="AQ121:AR122"/>
    <mergeCell ref="AQ123:AR124"/>
    <mergeCell ref="AQ119:AR120"/>
    <mergeCell ref="AC121:AD122"/>
    <mergeCell ref="AE121:AF122"/>
    <mergeCell ref="AG121:AH122"/>
    <mergeCell ref="AI121:AJ122"/>
    <mergeCell ref="AK121:AL122"/>
    <mergeCell ref="AM121:AN122"/>
    <mergeCell ref="AO121:AP122"/>
    <mergeCell ref="AC123:AD124"/>
    <mergeCell ref="AE123:AF124"/>
    <mergeCell ref="AG123:AH124"/>
    <mergeCell ref="AI123:AJ124"/>
    <mergeCell ref="AK123:AL124"/>
    <mergeCell ref="AM123:AN124"/>
    <mergeCell ref="AM69:AN70"/>
    <mergeCell ref="AO69:AP70"/>
    <mergeCell ref="AK109:AL110"/>
    <mergeCell ref="AM109:AN110"/>
    <mergeCell ref="AO109:AP110"/>
    <mergeCell ref="AC71:AD72"/>
    <mergeCell ref="AE71:AF72"/>
    <mergeCell ref="AG71:AH72"/>
    <mergeCell ref="AI71:AJ72"/>
    <mergeCell ref="AK71:AL72"/>
    <mergeCell ref="AM71:AN72"/>
    <mergeCell ref="AO71:AP72"/>
    <mergeCell ref="AC73:AD74"/>
    <mergeCell ref="AE73:AF74"/>
    <mergeCell ref="AG73:AH74"/>
    <mergeCell ref="AI73:AJ74"/>
    <mergeCell ref="AK73:AL74"/>
    <mergeCell ref="AM73:AN74"/>
    <mergeCell ref="AO73:AP74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A103:AB104"/>
    <mergeCell ref="AC103:AD104"/>
    <mergeCell ref="AE103:AF104"/>
    <mergeCell ref="AG103:AH104"/>
    <mergeCell ref="AA107:AB108"/>
    <mergeCell ref="AC107:AD108"/>
    <mergeCell ref="AE107:AF108"/>
    <mergeCell ref="AG107:AH108"/>
    <mergeCell ref="AI107:AJ108"/>
    <mergeCell ref="AM107:AN108"/>
    <mergeCell ref="AO107:AP108"/>
    <mergeCell ref="E2:U2"/>
    <mergeCell ref="B4:C4"/>
    <mergeCell ref="B6:D6"/>
    <mergeCell ref="V6:X6"/>
    <mergeCell ref="AA6:AB7"/>
    <mergeCell ref="AC6:AD7"/>
    <mergeCell ref="AE6:AF7"/>
    <mergeCell ref="AG6:AH7"/>
    <mergeCell ref="B7:D7"/>
    <mergeCell ref="V7:X7"/>
    <mergeCell ref="AO6:AP7"/>
    <mergeCell ref="AQ6:AR7"/>
    <mergeCell ref="AS6:AT7"/>
    <mergeCell ref="AI6:AJ7"/>
    <mergeCell ref="AK6:AL7"/>
    <mergeCell ref="AM6:AN7"/>
    <mergeCell ref="AI8:AJ9"/>
    <mergeCell ref="AK8:AL9"/>
    <mergeCell ref="AM8:AN9"/>
    <mergeCell ref="B8:D8"/>
    <mergeCell ref="V8:X8"/>
    <mergeCell ref="AA8:AB9"/>
    <mergeCell ref="AC8:AD9"/>
    <mergeCell ref="AE8:AF9"/>
    <mergeCell ref="AG8:AH9"/>
    <mergeCell ref="AO8:AP9"/>
    <mergeCell ref="AQ8:AR9"/>
    <mergeCell ref="AS8:AT9"/>
    <mergeCell ref="B9:D9"/>
    <mergeCell ref="V9:X9"/>
    <mergeCell ref="AM14:AN15"/>
    <mergeCell ref="AO14:AP15"/>
    <mergeCell ref="AQ10:AR11"/>
    <mergeCell ref="AS10:AT11"/>
    <mergeCell ref="B12:D12"/>
    <mergeCell ref="V12:X12"/>
    <mergeCell ref="AA12:AB13"/>
    <mergeCell ref="AC12:AD13"/>
    <mergeCell ref="AE12:AF13"/>
    <mergeCell ref="AG12:AH13"/>
    <mergeCell ref="AI10:AJ11"/>
    <mergeCell ref="AK10:AL11"/>
    <mergeCell ref="AM10:AN11"/>
    <mergeCell ref="B10:D10"/>
    <mergeCell ref="V10:X10"/>
    <mergeCell ref="AA10:AB11"/>
    <mergeCell ref="AC10:AD11"/>
    <mergeCell ref="AE10:AF11"/>
    <mergeCell ref="AG10:AH11"/>
    <mergeCell ref="AQ12:AR13"/>
    <mergeCell ref="AS12:AT13"/>
    <mergeCell ref="B13:D13"/>
    <mergeCell ref="V13:X13"/>
    <mergeCell ref="AO10:AP11"/>
    <mergeCell ref="B11:D11"/>
    <mergeCell ref="V11:X11"/>
    <mergeCell ref="AI12:AJ13"/>
    <mergeCell ref="AK12:AL13"/>
    <mergeCell ref="AM12:AN13"/>
    <mergeCell ref="AO12:AP13"/>
    <mergeCell ref="AQ14:AR15"/>
    <mergeCell ref="AS14:AT15"/>
    <mergeCell ref="AI16:AJ17"/>
    <mergeCell ref="AK16:AL17"/>
    <mergeCell ref="AM16:AN17"/>
    <mergeCell ref="AO16:AP17"/>
    <mergeCell ref="AQ16:AR17"/>
    <mergeCell ref="AS16:AT17"/>
    <mergeCell ref="B16:D16"/>
    <mergeCell ref="V16:X16"/>
    <mergeCell ref="AA16:AB17"/>
    <mergeCell ref="AC16:AD17"/>
    <mergeCell ref="AE16:AF17"/>
    <mergeCell ref="AG16:AH17"/>
    <mergeCell ref="B17:D17"/>
    <mergeCell ref="V17:X17"/>
    <mergeCell ref="B14:D14"/>
    <mergeCell ref="V14:X14"/>
    <mergeCell ref="AA14:AB15"/>
    <mergeCell ref="AC14:AD15"/>
    <mergeCell ref="AE14:AF15"/>
    <mergeCell ref="AG14:AH15"/>
    <mergeCell ref="AI14:AJ15"/>
    <mergeCell ref="AK14:AL15"/>
    <mergeCell ref="B20:D20"/>
    <mergeCell ref="V20:X20"/>
    <mergeCell ref="AA20:AB21"/>
    <mergeCell ref="AC20:AD21"/>
    <mergeCell ref="AE20:AF21"/>
    <mergeCell ref="AG20:AH21"/>
    <mergeCell ref="B21:D21"/>
    <mergeCell ref="V21:X21"/>
    <mergeCell ref="B18:D18"/>
    <mergeCell ref="V18:X18"/>
    <mergeCell ref="AA18:AB19"/>
    <mergeCell ref="AC18:AD19"/>
    <mergeCell ref="AE18:AF19"/>
    <mergeCell ref="AG18:AH19"/>
    <mergeCell ref="B19:D19"/>
    <mergeCell ref="V19:X19"/>
    <mergeCell ref="AI18:AJ19"/>
    <mergeCell ref="AK18:AL19"/>
    <mergeCell ref="AM18:AN19"/>
    <mergeCell ref="AO18:AP19"/>
    <mergeCell ref="AQ18:AR19"/>
    <mergeCell ref="AS18:AT19"/>
    <mergeCell ref="AI22:AJ23"/>
    <mergeCell ref="AK22:AL23"/>
    <mergeCell ref="AM22:AN23"/>
    <mergeCell ref="AO22:AP23"/>
    <mergeCell ref="AQ22:AR23"/>
    <mergeCell ref="AS22:AT23"/>
    <mergeCell ref="AI20:AJ21"/>
    <mergeCell ref="AK20:AL21"/>
    <mergeCell ref="AM20:AN21"/>
    <mergeCell ref="AO20:AP21"/>
    <mergeCell ref="AQ20:AR21"/>
    <mergeCell ref="AS20:AT21"/>
    <mergeCell ref="B22:D22"/>
    <mergeCell ref="V22:X22"/>
    <mergeCell ref="AA22:AB23"/>
    <mergeCell ref="AC22:AD23"/>
    <mergeCell ref="AE22:AF23"/>
    <mergeCell ref="AG22:AH23"/>
    <mergeCell ref="B23:D23"/>
    <mergeCell ref="V23:X23"/>
    <mergeCell ref="B25:D25"/>
    <mergeCell ref="V25:X25"/>
    <mergeCell ref="AM24:AN25"/>
    <mergeCell ref="AO24:AP25"/>
    <mergeCell ref="AQ24:AR25"/>
    <mergeCell ref="AS24:AT25"/>
    <mergeCell ref="AA24:AB25"/>
    <mergeCell ref="AC24:AD25"/>
    <mergeCell ref="AE24:AF25"/>
    <mergeCell ref="AG24:AH25"/>
    <mergeCell ref="AI24:AJ25"/>
    <mergeCell ref="AK24:AL25"/>
    <mergeCell ref="B28:D28"/>
    <mergeCell ref="V28:X28"/>
    <mergeCell ref="B29:D29"/>
    <mergeCell ref="V29:X29"/>
    <mergeCell ref="B26:D26"/>
    <mergeCell ref="V26:X26"/>
    <mergeCell ref="B27:D27"/>
    <mergeCell ref="V27:X27"/>
    <mergeCell ref="B33:D33"/>
    <mergeCell ref="V33:X33"/>
    <mergeCell ref="B34:D34"/>
    <mergeCell ref="V34:X34"/>
    <mergeCell ref="B30:D30"/>
    <mergeCell ref="V30:X30"/>
    <mergeCell ref="B31:D31"/>
    <mergeCell ref="V31:X31"/>
    <mergeCell ref="B37:D37"/>
    <mergeCell ref="V37:X37"/>
    <mergeCell ref="B38:D38"/>
    <mergeCell ref="V38:X38"/>
    <mergeCell ref="B35:D35"/>
    <mergeCell ref="V35:X35"/>
    <mergeCell ref="B36:D36"/>
    <mergeCell ref="V36:X36"/>
    <mergeCell ref="B42:D42"/>
    <mergeCell ref="V42:X42"/>
    <mergeCell ref="B43:D43"/>
    <mergeCell ref="V43:X43"/>
    <mergeCell ref="B40:D40"/>
    <mergeCell ref="V40:X40"/>
    <mergeCell ref="B41:D41"/>
    <mergeCell ref="V41:X41"/>
    <mergeCell ref="B47:D47"/>
    <mergeCell ref="V47:X47"/>
    <mergeCell ref="B48:D48"/>
    <mergeCell ref="V48:X48"/>
    <mergeCell ref="B44:D44"/>
    <mergeCell ref="V44:X44"/>
    <mergeCell ref="B46:D46"/>
    <mergeCell ref="V46:X46"/>
    <mergeCell ref="B52:D52"/>
    <mergeCell ref="V52:X52"/>
    <mergeCell ref="B53:D53"/>
    <mergeCell ref="V53:X53"/>
    <mergeCell ref="B49:D49"/>
    <mergeCell ref="V49:X49"/>
    <mergeCell ref="B51:D51"/>
    <mergeCell ref="V51:X51"/>
    <mergeCell ref="B59:C59"/>
    <mergeCell ref="B61:D61"/>
    <mergeCell ref="V61:X61"/>
    <mergeCell ref="B55:D55"/>
    <mergeCell ref="V55:X55"/>
    <mergeCell ref="B56:D56"/>
    <mergeCell ref="V56:X56"/>
    <mergeCell ref="AA61:AB62"/>
    <mergeCell ref="AC61:AD62"/>
    <mergeCell ref="AE61:AF62"/>
    <mergeCell ref="AG61:AH62"/>
    <mergeCell ref="AI61:AJ62"/>
    <mergeCell ref="AK61:AL62"/>
    <mergeCell ref="AM61:AN62"/>
    <mergeCell ref="AO61:AP62"/>
    <mergeCell ref="B64:D64"/>
    <mergeCell ref="V64:X64"/>
    <mergeCell ref="B65:D65"/>
    <mergeCell ref="V65:X65"/>
    <mergeCell ref="B62:D62"/>
    <mergeCell ref="V62:X62"/>
    <mergeCell ref="B63:D63"/>
    <mergeCell ref="V63:X63"/>
    <mergeCell ref="AA63:AB64"/>
    <mergeCell ref="AC63:AD64"/>
    <mergeCell ref="AE63:AF64"/>
    <mergeCell ref="AG63:AH64"/>
    <mergeCell ref="AI63:AJ64"/>
    <mergeCell ref="AK63:AL64"/>
    <mergeCell ref="AM63:AN64"/>
    <mergeCell ref="AO63:AP64"/>
    <mergeCell ref="AC65:AD66"/>
    <mergeCell ref="AE65:AF66"/>
    <mergeCell ref="AM65:AN66"/>
    <mergeCell ref="AO65:AP66"/>
    <mergeCell ref="AA67:AB68"/>
    <mergeCell ref="AC67:AD68"/>
    <mergeCell ref="AE67:AF68"/>
    <mergeCell ref="AG67:AH68"/>
    <mergeCell ref="AI67:AJ68"/>
    <mergeCell ref="AK67:AL68"/>
    <mergeCell ref="AM67:AN68"/>
    <mergeCell ref="AO67:AP68"/>
    <mergeCell ref="AA65:AB66"/>
    <mergeCell ref="B71:D71"/>
    <mergeCell ref="V71:X71"/>
    <mergeCell ref="B72:D72"/>
    <mergeCell ref="V72:X72"/>
    <mergeCell ref="AA71:AB72"/>
    <mergeCell ref="AA73:AB74"/>
    <mergeCell ref="AG65:AH66"/>
    <mergeCell ref="AI65:AJ66"/>
    <mergeCell ref="AK65:AL66"/>
    <mergeCell ref="B69:D69"/>
    <mergeCell ref="V69:X69"/>
    <mergeCell ref="B70:D70"/>
    <mergeCell ref="V70:X70"/>
    <mergeCell ref="B66:D66"/>
    <mergeCell ref="V66:X66"/>
    <mergeCell ref="B67:D67"/>
    <mergeCell ref="V67:X67"/>
    <mergeCell ref="AA69:AB70"/>
    <mergeCell ref="AC69:AD70"/>
    <mergeCell ref="AE69:AF70"/>
    <mergeCell ref="AG69:AH70"/>
    <mergeCell ref="AI69:AJ70"/>
    <mergeCell ref="AK69:AL70"/>
    <mergeCell ref="B79:D79"/>
    <mergeCell ref="V79:X79"/>
    <mergeCell ref="B76:D76"/>
    <mergeCell ref="V76:X76"/>
    <mergeCell ref="B77:D77"/>
    <mergeCell ref="V77:X77"/>
    <mergeCell ref="AA77:AB78"/>
    <mergeCell ref="B73:D73"/>
    <mergeCell ref="V73:X73"/>
    <mergeCell ref="B74:D74"/>
    <mergeCell ref="V74:X74"/>
    <mergeCell ref="AO77:AP78"/>
    <mergeCell ref="AA75:AB76"/>
    <mergeCell ref="AC75:AD76"/>
    <mergeCell ref="AE75:AF76"/>
    <mergeCell ref="AG75:AH76"/>
    <mergeCell ref="AI75:AJ76"/>
    <mergeCell ref="AK75:AL76"/>
    <mergeCell ref="AM75:AN76"/>
    <mergeCell ref="B78:D78"/>
    <mergeCell ref="V78:X78"/>
    <mergeCell ref="B85:D85"/>
    <mergeCell ref="V85:X85"/>
    <mergeCell ref="B87:D87"/>
    <mergeCell ref="V87:X87"/>
    <mergeCell ref="B95:D95"/>
    <mergeCell ref="AO75:AP76"/>
    <mergeCell ref="B83:D83"/>
    <mergeCell ref="V83:X83"/>
    <mergeCell ref="B84:D84"/>
    <mergeCell ref="V84:X84"/>
    <mergeCell ref="B80:D80"/>
    <mergeCell ref="V80:X80"/>
    <mergeCell ref="B82:D82"/>
    <mergeCell ref="V82:X82"/>
    <mergeCell ref="B91:D91"/>
    <mergeCell ref="V91:X91"/>
    <mergeCell ref="B92:D92"/>
    <mergeCell ref="V92:X92"/>
    <mergeCell ref="AC77:AD78"/>
    <mergeCell ref="AE77:AF78"/>
    <mergeCell ref="AG77:AH78"/>
    <mergeCell ref="AI77:AJ78"/>
    <mergeCell ref="AK77:AL78"/>
    <mergeCell ref="AM77:AN78"/>
    <mergeCell ref="B88:D88"/>
    <mergeCell ref="V88:X88"/>
    <mergeCell ref="B89:D89"/>
    <mergeCell ref="V89:X89"/>
    <mergeCell ref="AG97:AH98"/>
    <mergeCell ref="B101:D101"/>
    <mergeCell ref="V101:X101"/>
    <mergeCell ref="AG99:AH100"/>
    <mergeCell ref="AG101:AH102"/>
    <mergeCell ref="B97:D97"/>
    <mergeCell ref="V97:X97"/>
    <mergeCell ref="B102:D102"/>
    <mergeCell ref="V102:X102"/>
    <mergeCell ref="B98:D98"/>
    <mergeCell ref="V98:X98"/>
    <mergeCell ref="B99:D99"/>
    <mergeCell ref="V99:X99"/>
    <mergeCell ref="AA99:AB100"/>
    <mergeCell ref="AC99:AD100"/>
    <mergeCell ref="AE99:AF100"/>
    <mergeCell ref="AA101:AB102"/>
    <mergeCell ref="AC101:AD102"/>
    <mergeCell ref="AE101:AF102"/>
    <mergeCell ref="AA97:AB98"/>
    <mergeCell ref="AC97:AD98"/>
    <mergeCell ref="AE97:AF98"/>
    <mergeCell ref="B107:D107"/>
    <mergeCell ref="V107:X107"/>
    <mergeCell ref="B108:D108"/>
    <mergeCell ref="V108:X108"/>
    <mergeCell ref="AK107:AL108"/>
    <mergeCell ref="AA109:AB110"/>
    <mergeCell ref="AC109:AD110"/>
    <mergeCell ref="AE109:AF110"/>
    <mergeCell ref="AG109:AH110"/>
    <mergeCell ref="AI109:AJ110"/>
    <mergeCell ref="AQ107:AR108"/>
    <mergeCell ref="AQ109:AR110"/>
    <mergeCell ref="B113:D113"/>
    <mergeCell ref="V113:X113"/>
    <mergeCell ref="B114:D114"/>
    <mergeCell ref="V114:X114"/>
    <mergeCell ref="B111:D111"/>
    <mergeCell ref="V111:X111"/>
    <mergeCell ref="B112:D112"/>
    <mergeCell ref="V112:X112"/>
    <mergeCell ref="AA113:AB114"/>
    <mergeCell ref="AC113:AD114"/>
    <mergeCell ref="AE113:AF114"/>
    <mergeCell ref="AG113:AH114"/>
    <mergeCell ref="AI113:AJ114"/>
    <mergeCell ref="AK113:AL114"/>
    <mergeCell ref="AM113:AN114"/>
    <mergeCell ref="AO113:AP114"/>
    <mergeCell ref="AQ111:AR112"/>
    <mergeCell ref="AQ113:AR114"/>
    <mergeCell ref="B109:D109"/>
    <mergeCell ref="V109:X109"/>
    <mergeCell ref="B110:D110"/>
    <mergeCell ref="V110:X110"/>
    <mergeCell ref="B118:D118"/>
    <mergeCell ref="V118:X118"/>
    <mergeCell ref="B119:D119"/>
    <mergeCell ref="V119:X119"/>
    <mergeCell ref="B116:D116"/>
    <mergeCell ref="V116:X116"/>
    <mergeCell ref="B117:D117"/>
    <mergeCell ref="V117:X117"/>
    <mergeCell ref="AA115:AB116"/>
    <mergeCell ref="AA117:AB118"/>
    <mergeCell ref="AA119:AB120"/>
    <mergeCell ref="AC115:AD116"/>
    <mergeCell ref="AE115:AF116"/>
    <mergeCell ref="AG115:AH116"/>
    <mergeCell ref="AI115:AJ116"/>
    <mergeCell ref="AK115:AL116"/>
    <mergeCell ref="AM115:AN116"/>
    <mergeCell ref="AO115:AP116"/>
    <mergeCell ref="AQ115:AR116"/>
    <mergeCell ref="AQ117:AR118"/>
    <mergeCell ref="AC117:AD118"/>
    <mergeCell ref="AE117:AF118"/>
    <mergeCell ref="AG117:AH118"/>
    <mergeCell ref="AI117:AJ118"/>
    <mergeCell ref="AK117:AL118"/>
    <mergeCell ref="AM117:AN118"/>
    <mergeCell ref="AO117:AP118"/>
    <mergeCell ref="B122:D122"/>
    <mergeCell ref="V122:X122"/>
    <mergeCell ref="B124:D124"/>
    <mergeCell ref="V124:X124"/>
    <mergeCell ref="B120:D120"/>
    <mergeCell ref="V120:X120"/>
    <mergeCell ref="B121:D121"/>
    <mergeCell ref="V121:X121"/>
    <mergeCell ref="AA121:AB122"/>
    <mergeCell ref="AA123:AB124"/>
    <mergeCell ref="B125:D125"/>
    <mergeCell ref="V125:X125"/>
    <mergeCell ref="B126:D126"/>
    <mergeCell ref="V126:X126"/>
    <mergeCell ref="B128:D128"/>
    <mergeCell ref="V128:X128"/>
    <mergeCell ref="B129:D129"/>
    <mergeCell ref="V129:X129"/>
    <mergeCell ref="B127:D127"/>
    <mergeCell ref="V127:X127"/>
    <mergeCell ref="B133:D133"/>
    <mergeCell ref="V133:X133"/>
    <mergeCell ref="B134:D134"/>
    <mergeCell ref="V134:X134"/>
    <mergeCell ref="B131:D131"/>
    <mergeCell ref="V131:X131"/>
    <mergeCell ref="B132:D132"/>
    <mergeCell ref="V132:X132"/>
    <mergeCell ref="B138:D138"/>
    <mergeCell ref="V138:X138"/>
    <mergeCell ref="B139:D139"/>
    <mergeCell ref="V139:X139"/>
    <mergeCell ref="B135:D135"/>
    <mergeCell ref="V135:X135"/>
    <mergeCell ref="B137:D137"/>
    <mergeCell ref="V137:X137"/>
    <mergeCell ref="B143:D143"/>
    <mergeCell ref="V143:X143"/>
    <mergeCell ref="B144:D144"/>
    <mergeCell ref="V144:X144"/>
    <mergeCell ref="B140:D140"/>
    <mergeCell ref="V140:X140"/>
    <mergeCell ref="B142:D142"/>
    <mergeCell ref="V142:X142"/>
    <mergeCell ref="B151:D151"/>
    <mergeCell ref="V151:X151"/>
    <mergeCell ref="B152:D152"/>
    <mergeCell ref="V152:X152"/>
    <mergeCell ref="B146:D146"/>
    <mergeCell ref="V146:X146"/>
    <mergeCell ref="B147:D147"/>
    <mergeCell ref="V147:X147"/>
    <mergeCell ref="B156:D156"/>
    <mergeCell ref="V156:X156"/>
    <mergeCell ref="B153:D153"/>
    <mergeCell ref="V153:X153"/>
    <mergeCell ref="B155:D155"/>
    <mergeCell ref="V155:X1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14F1-5EEA-4517-B86B-5DB6E5401174}">
  <dimension ref="A2:NQ185"/>
  <sheetViews>
    <sheetView tabSelected="1" zoomScale="44" zoomScaleNormal="34" workbookViewId="0">
      <selection activeCell="AC178" sqref="AC178"/>
    </sheetView>
  </sheetViews>
  <sheetFormatPr defaultRowHeight="14.5" x14ac:dyDescent="0.35"/>
  <cols>
    <col min="267" max="267" width="11.7265625" customWidth="1"/>
  </cols>
  <sheetData>
    <row r="2" spans="2:371" x14ac:dyDescent="0.35">
      <c r="B2" s="42" t="s">
        <v>36</v>
      </c>
      <c r="L2" s="86" t="s">
        <v>93</v>
      </c>
      <c r="M2" s="86"/>
      <c r="AH2" s="44" t="s">
        <v>94</v>
      </c>
      <c r="BD2" s="44" t="s">
        <v>95</v>
      </c>
      <c r="BW2" s="44" t="s">
        <v>96</v>
      </c>
      <c r="CI2" s="100" t="s">
        <v>56</v>
      </c>
      <c r="CJ2" s="100"/>
      <c r="CU2" s="44" t="s">
        <v>93</v>
      </c>
      <c r="DP2" s="44" t="s">
        <v>94</v>
      </c>
      <c r="EA2" s="100" t="s">
        <v>57</v>
      </c>
      <c r="EB2" s="86"/>
      <c r="EM2" s="44" t="s">
        <v>93</v>
      </c>
      <c r="FI2" s="44" t="s">
        <v>94</v>
      </c>
      <c r="FT2" s="100" t="s">
        <v>59</v>
      </c>
      <c r="FU2" s="100"/>
      <c r="GF2" s="44" t="s">
        <v>93</v>
      </c>
      <c r="GQ2" s="42" t="s">
        <v>60</v>
      </c>
      <c r="HB2" s="44" t="s">
        <v>93</v>
      </c>
      <c r="HW2" s="44" t="s">
        <v>94</v>
      </c>
      <c r="II2" s="100" t="s">
        <v>58</v>
      </c>
      <c r="IJ2" s="100"/>
      <c r="IU2" s="44" t="s">
        <v>94</v>
      </c>
      <c r="JF2" s="100" t="s">
        <v>61</v>
      </c>
      <c r="JG2" s="100"/>
      <c r="JH2" s="100"/>
      <c r="JS2" t="s">
        <v>93</v>
      </c>
      <c r="KD2" s="100" t="s">
        <v>68</v>
      </c>
      <c r="KE2" s="100"/>
    </row>
    <row r="3" spans="2:371" x14ac:dyDescent="0.35">
      <c r="CI3" s="43"/>
      <c r="CJ3" s="43"/>
    </row>
    <row r="4" spans="2:371" ht="15" customHeight="1" x14ac:dyDescent="0.35">
      <c r="C4" s="60"/>
      <c r="D4" s="60"/>
      <c r="E4" s="60" t="s">
        <v>78</v>
      </c>
      <c r="F4" s="60"/>
      <c r="G4" s="60" t="s">
        <v>79</v>
      </c>
      <c r="H4" s="60"/>
      <c r="I4" s="60" t="s">
        <v>4</v>
      </c>
      <c r="J4" s="60"/>
      <c r="K4" s="60" t="s">
        <v>5</v>
      </c>
      <c r="L4" s="60"/>
      <c r="M4" s="60" t="s">
        <v>32</v>
      </c>
      <c r="N4" s="60"/>
      <c r="O4" s="60" t="s">
        <v>7</v>
      </c>
      <c r="P4" s="60"/>
      <c r="Q4" s="60" t="s">
        <v>8</v>
      </c>
      <c r="R4" s="60"/>
      <c r="S4" s="60" t="s">
        <v>80</v>
      </c>
      <c r="T4" s="60"/>
      <c r="U4" s="60" t="s">
        <v>33</v>
      </c>
      <c r="V4" s="60"/>
      <c r="X4" s="60"/>
      <c r="Y4" s="60"/>
      <c r="Z4" s="60" t="s">
        <v>78</v>
      </c>
      <c r="AA4" s="60"/>
      <c r="AB4" s="60" t="s">
        <v>79</v>
      </c>
      <c r="AC4" s="60"/>
      <c r="AD4" s="60" t="s">
        <v>4</v>
      </c>
      <c r="AE4" s="60"/>
      <c r="AF4" s="60" t="s">
        <v>5</v>
      </c>
      <c r="AG4" s="60"/>
      <c r="AH4" s="60" t="s">
        <v>32</v>
      </c>
      <c r="AI4" s="60"/>
      <c r="AJ4" s="60" t="s">
        <v>7</v>
      </c>
      <c r="AK4" s="60"/>
      <c r="AL4" s="60" t="s">
        <v>8</v>
      </c>
      <c r="AM4" s="60"/>
      <c r="AN4" s="60" t="s">
        <v>80</v>
      </c>
      <c r="AO4" s="60"/>
      <c r="AP4" s="60" t="s">
        <v>33</v>
      </c>
      <c r="AQ4" s="60"/>
      <c r="AS4" s="60"/>
      <c r="AT4" s="60"/>
      <c r="AU4" s="60" t="s">
        <v>78</v>
      </c>
      <c r="AV4" s="60"/>
      <c r="AW4" s="60" t="s">
        <v>79</v>
      </c>
      <c r="AX4" s="60"/>
      <c r="AY4" s="60" t="s">
        <v>4</v>
      </c>
      <c r="AZ4" s="60"/>
      <c r="BA4" s="60" t="s">
        <v>5</v>
      </c>
      <c r="BB4" s="60"/>
      <c r="BC4" s="60" t="s">
        <v>32</v>
      </c>
      <c r="BD4" s="60"/>
      <c r="BE4" s="60" t="s">
        <v>7</v>
      </c>
      <c r="BF4" s="60"/>
      <c r="BG4" s="60" t="s">
        <v>8</v>
      </c>
      <c r="BH4" s="60"/>
      <c r="BI4" s="60" t="s">
        <v>80</v>
      </c>
      <c r="BJ4" s="60"/>
      <c r="BK4" s="60" t="s">
        <v>33</v>
      </c>
      <c r="BL4" s="60"/>
      <c r="BN4" s="60"/>
      <c r="BO4" s="60"/>
      <c r="BP4" s="60" t="s">
        <v>78</v>
      </c>
      <c r="BQ4" s="60"/>
      <c r="BR4" s="60" t="s">
        <v>79</v>
      </c>
      <c r="BS4" s="60"/>
      <c r="BT4" s="60" t="s">
        <v>4</v>
      </c>
      <c r="BU4" s="60"/>
      <c r="BV4" s="60" t="s">
        <v>5</v>
      </c>
      <c r="BW4" s="60"/>
      <c r="BX4" s="60" t="s">
        <v>32</v>
      </c>
      <c r="BY4" s="60"/>
      <c r="BZ4" s="60" t="s">
        <v>7</v>
      </c>
      <c r="CA4" s="60"/>
      <c r="CB4" s="60" t="s">
        <v>8</v>
      </c>
      <c r="CC4" s="60"/>
      <c r="CD4" s="60" t="s">
        <v>80</v>
      </c>
      <c r="CE4" s="60"/>
      <c r="CF4" s="60" t="s">
        <v>33</v>
      </c>
      <c r="CG4" s="60"/>
      <c r="CK4" s="60"/>
      <c r="CL4" s="60"/>
      <c r="CM4" s="60" t="s">
        <v>78</v>
      </c>
      <c r="CN4" s="60"/>
      <c r="CO4" s="60" t="s">
        <v>85</v>
      </c>
      <c r="CP4" s="60"/>
      <c r="CQ4" s="60" t="s">
        <v>4</v>
      </c>
      <c r="CR4" s="60"/>
      <c r="CS4" s="60" t="s">
        <v>5</v>
      </c>
      <c r="CT4" s="60"/>
      <c r="CU4" s="60" t="s">
        <v>32</v>
      </c>
      <c r="CV4" s="60"/>
      <c r="CW4" s="60" t="s">
        <v>7</v>
      </c>
      <c r="CX4" s="60"/>
      <c r="CY4" s="60" t="s">
        <v>8</v>
      </c>
      <c r="CZ4" s="60"/>
      <c r="DA4" s="60" t="s">
        <v>80</v>
      </c>
      <c r="DB4" s="60"/>
      <c r="DC4" s="60" t="s">
        <v>33</v>
      </c>
      <c r="DD4" s="60"/>
      <c r="DF4" s="60"/>
      <c r="DG4" s="60"/>
      <c r="DH4" s="60" t="s">
        <v>78</v>
      </c>
      <c r="DI4" s="60"/>
      <c r="DJ4" s="60" t="s">
        <v>85</v>
      </c>
      <c r="DK4" s="60"/>
      <c r="DL4" s="60" t="s">
        <v>4</v>
      </c>
      <c r="DM4" s="60"/>
      <c r="DN4" s="60" t="s">
        <v>5</v>
      </c>
      <c r="DO4" s="60"/>
      <c r="DP4" s="60" t="s">
        <v>32</v>
      </c>
      <c r="DQ4" s="60"/>
      <c r="DR4" s="60" t="s">
        <v>7</v>
      </c>
      <c r="DS4" s="60"/>
      <c r="DT4" s="60" t="s">
        <v>8</v>
      </c>
      <c r="DU4" s="60"/>
      <c r="DV4" s="60" t="s">
        <v>80</v>
      </c>
      <c r="DW4" s="60"/>
      <c r="DX4" s="60" t="s">
        <v>33</v>
      </c>
      <c r="DY4" s="60"/>
      <c r="EC4" s="60"/>
      <c r="ED4" s="60"/>
      <c r="EE4" s="60" t="s">
        <v>78</v>
      </c>
      <c r="EF4" s="60"/>
      <c r="EG4" s="60" t="s">
        <v>85</v>
      </c>
      <c r="EH4" s="60"/>
      <c r="EI4" s="60" t="s">
        <v>4</v>
      </c>
      <c r="EJ4" s="60"/>
      <c r="EK4" s="60" t="s">
        <v>5</v>
      </c>
      <c r="EL4" s="60"/>
      <c r="EM4" s="60" t="s">
        <v>32</v>
      </c>
      <c r="EN4" s="60"/>
      <c r="EO4" s="60" t="s">
        <v>7</v>
      </c>
      <c r="EP4" s="60"/>
      <c r="EQ4" s="60" t="s">
        <v>8</v>
      </c>
      <c r="ER4" s="60"/>
      <c r="ES4" s="60" t="s">
        <v>9</v>
      </c>
      <c r="ET4" s="60"/>
      <c r="EU4" s="60" t="s">
        <v>33</v>
      </c>
      <c r="EV4" s="60"/>
      <c r="EY4" s="60"/>
      <c r="EZ4" s="60"/>
      <c r="FA4" s="60" t="s">
        <v>78</v>
      </c>
      <c r="FB4" s="60"/>
      <c r="FC4" s="60" t="s">
        <v>79</v>
      </c>
      <c r="FD4" s="60"/>
      <c r="FE4" s="60" t="s">
        <v>4</v>
      </c>
      <c r="FF4" s="60"/>
      <c r="FG4" s="60" t="s">
        <v>5</v>
      </c>
      <c r="FH4" s="60"/>
      <c r="FI4" s="60" t="s">
        <v>32</v>
      </c>
      <c r="FJ4" s="60"/>
      <c r="FK4" s="60" t="s">
        <v>7</v>
      </c>
      <c r="FL4" s="60"/>
      <c r="FM4" s="60" t="s">
        <v>8</v>
      </c>
      <c r="FN4" s="60"/>
      <c r="FO4" s="60" t="s">
        <v>80</v>
      </c>
      <c r="FP4" s="60"/>
      <c r="FQ4" s="60" t="s">
        <v>33</v>
      </c>
      <c r="FR4" s="60"/>
      <c r="FV4" s="60"/>
      <c r="FW4" s="60"/>
      <c r="FX4" s="60" t="s">
        <v>78</v>
      </c>
      <c r="FY4" s="60"/>
      <c r="FZ4" s="60" t="s">
        <v>79</v>
      </c>
      <c r="GA4" s="60"/>
      <c r="GB4" s="60" t="s">
        <v>4</v>
      </c>
      <c r="GC4" s="60"/>
      <c r="GD4" s="60" t="s">
        <v>5</v>
      </c>
      <c r="GE4" s="60"/>
      <c r="GF4" s="60" t="s">
        <v>32</v>
      </c>
      <c r="GG4" s="60"/>
      <c r="GH4" s="60" t="s">
        <v>7</v>
      </c>
      <c r="GI4" s="60"/>
      <c r="GJ4" s="60" t="s">
        <v>8</v>
      </c>
      <c r="GK4" s="60"/>
      <c r="GL4" s="60" t="s">
        <v>80</v>
      </c>
      <c r="GM4" s="60"/>
      <c r="GN4" s="60" t="s">
        <v>33</v>
      </c>
      <c r="GO4" s="60"/>
      <c r="GR4" s="60"/>
      <c r="GS4" s="60"/>
      <c r="GT4" s="60" t="s">
        <v>78</v>
      </c>
      <c r="GU4" s="60"/>
      <c r="GV4" s="60" t="s">
        <v>85</v>
      </c>
      <c r="GW4" s="60"/>
      <c r="GX4" s="60" t="s">
        <v>4</v>
      </c>
      <c r="GY4" s="60"/>
      <c r="GZ4" s="60" t="s">
        <v>5</v>
      </c>
      <c r="HA4" s="60"/>
      <c r="HB4" s="60" t="s">
        <v>32</v>
      </c>
      <c r="HC4" s="60"/>
      <c r="HD4" s="60" t="s">
        <v>7</v>
      </c>
      <c r="HE4" s="60"/>
      <c r="HF4" s="60" t="s">
        <v>8</v>
      </c>
      <c r="HG4" s="60"/>
      <c r="HH4" s="60" t="s">
        <v>80</v>
      </c>
      <c r="HI4" s="60"/>
      <c r="HJ4" s="60" t="s">
        <v>33</v>
      </c>
      <c r="HK4" s="60"/>
      <c r="HN4" s="60"/>
      <c r="HO4" s="60"/>
      <c r="HP4" s="60" t="s">
        <v>78</v>
      </c>
      <c r="HQ4" s="60"/>
      <c r="HR4" s="60" t="s">
        <v>85</v>
      </c>
      <c r="HS4" s="60"/>
      <c r="HT4" s="60" t="s">
        <v>4</v>
      </c>
      <c r="HU4" s="60"/>
      <c r="HV4" s="60" t="s">
        <v>5</v>
      </c>
      <c r="HW4" s="60"/>
      <c r="HX4" s="60" t="s">
        <v>32</v>
      </c>
      <c r="HY4" s="60"/>
      <c r="HZ4" s="60" t="s">
        <v>7</v>
      </c>
      <c r="IA4" s="60"/>
      <c r="IB4" s="60" t="s">
        <v>8</v>
      </c>
      <c r="IC4" s="60"/>
      <c r="ID4" s="60" t="s">
        <v>80</v>
      </c>
      <c r="IE4" s="60"/>
      <c r="IF4" s="60" t="s">
        <v>33</v>
      </c>
      <c r="IG4" s="60"/>
      <c r="IK4" s="60"/>
      <c r="IL4" s="60"/>
      <c r="IM4" s="60" t="s">
        <v>78</v>
      </c>
      <c r="IN4" s="60"/>
      <c r="IO4" s="60" t="s">
        <v>85</v>
      </c>
      <c r="IP4" s="60"/>
      <c r="IQ4" s="60" t="s">
        <v>4</v>
      </c>
      <c r="IR4" s="60"/>
      <c r="IS4" s="60" t="s">
        <v>5</v>
      </c>
      <c r="IT4" s="60"/>
      <c r="IU4" s="60" t="s">
        <v>32</v>
      </c>
      <c r="IV4" s="60"/>
      <c r="IW4" s="60" t="s">
        <v>7</v>
      </c>
      <c r="IX4" s="60"/>
      <c r="IY4" s="60" t="s">
        <v>8</v>
      </c>
      <c r="IZ4" s="60"/>
      <c r="JA4" s="60" t="s">
        <v>9</v>
      </c>
      <c r="JB4" s="60"/>
      <c r="JC4" s="60" t="s">
        <v>33</v>
      </c>
      <c r="JD4" s="60"/>
      <c r="JI4" s="60"/>
      <c r="JJ4" s="60"/>
      <c r="JK4" s="60" t="s">
        <v>78</v>
      </c>
      <c r="JL4" s="60"/>
      <c r="JM4" s="60" t="s">
        <v>79</v>
      </c>
      <c r="JN4" s="60"/>
      <c r="JO4" s="60" t="s">
        <v>4</v>
      </c>
      <c r="JP4" s="60"/>
      <c r="JQ4" s="60" t="s">
        <v>5</v>
      </c>
      <c r="JR4" s="60"/>
      <c r="JS4" s="60" t="s">
        <v>32</v>
      </c>
      <c r="JT4" s="60"/>
      <c r="JU4" s="60" t="s">
        <v>7</v>
      </c>
      <c r="JV4" s="60"/>
      <c r="JW4" s="60" t="s">
        <v>8</v>
      </c>
      <c r="JX4" s="60"/>
      <c r="JY4" s="60" t="s">
        <v>80</v>
      </c>
      <c r="JZ4" s="60"/>
      <c r="KA4" s="60" t="s">
        <v>33</v>
      </c>
      <c r="KB4" s="60"/>
      <c r="KF4" s="60"/>
      <c r="KG4" s="60"/>
      <c r="KH4" s="60" t="s">
        <v>78</v>
      </c>
      <c r="KI4" s="60"/>
      <c r="KJ4" s="60" t="s">
        <v>85</v>
      </c>
      <c r="KK4" s="60"/>
      <c r="KL4" s="60" t="s">
        <v>4</v>
      </c>
      <c r="KM4" s="60"/>
      <c r="KN4" s="60" t="s">
        <v>5</v>
      </c>
      <c r="KO4" s="60"/>
      <c r="KP4" s="60" t="s">
        <v>32</v>
      </c>
      <c r="KQ4" s="60"/>
      <c r="KR4" s="60" t="s">
        <v>7</v>
      </c>
      <c r="KS4" s="60"/>
      <c r="KT4" s="60" t="s">
        <v>8</v>
      </c>
      <c r="KU4" s="60"/>
      <c r="KV4" s="60" t="s">
        <v>80</v>
      </c>
      <c r="KW4" s="60"/>
      <c r="KX4" s="60" t="s">
        <v>33</v>
      </c>
      <c r="KY4" s="60"/>
      <c r="LA4" s="46"/>
      <c r="LB4" s="46"/>
      <c r="LC4" s="46"/>
      <c r="LD4" s="46"/>
      <c r="LE4" s="46"/>
      <c r="LF4" s="46"/>
      <c r="LG4" s="46"/>
      <c r="LH4" s="46"/>
      <c r="LI4" s="46"/>
      <c r="LJ4" s="46"/>
      <c r="LK4" s="46"/>
      <c r="LL4" s="46"/>
      <c r="LM4" s="46"/>
      <c r="LN4" s="46"/>
      <c r="LO4" s="46"/>
      <c r="LP4" s="46"/>
      <c r="LQ4" s="46"/>
      <c r="LR4" s="46"/>
      <c r="LS4" s="46"/>
      <c r="LT4" s="46"/>
      <c r="LU4" s="46"/>
      <c r="LV4" s="46"/>
      <c r="LW4" s="46"/>
      <c r="LX4" s="46"/>
      <c r="LY4" s="46"/>
      <c r="LZ4" s="46"/>
      <c r="MA4" s="46"/>
      <c r="MB4" s="46"/>
      <c r="MC4" s="46"/>
      <c r="MD4" s="46"/>
      <c r="ME4" s="46"/>
      <c r="MF4" s="46"/>
      <c r="MG4" s="46"/>
      <c r="MH4" s="46"/>
      <c r="MI4" s="46"/>
      <c r="MJ4" s="46"/>
      <c r="MK4" s="46"/>
      <c r="ML4" s="46"/>
      <c r="MM4" s="46"/>
      <c r="MN4" s="46"/>
      <c r="MO4" s="46"/>
      <c r="MP4" s="46"/>
      <c r="MQ4" s="46"/>
      <c r="MR4" s="46"/>
      <c r="MS4" s="46"/>
      <c r="MT4" s="46"/>
      <c r="MU4" s="46"/>
      <c r="MV4" s="46"/>
      <c r="MW4" s="46"/>
      <c r="MX4" s="46"/>
      <c r="MY4" s="46"/>
      <c r="MZ4" s="46"/>
      <c r="NA4" s="46"/>
      <c r="NB4" s="46"/>
      <c r="NC4" s="46"/>
      <c r="ND4" s="46"/>
      <c r="NE4" s="46"/>
      <c r="NF4" s="46"/>
      <c r="NG4" s="46"/>
    </row>
    <row r="5" spans="2:371" x14ac:dyDescent="0.35"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/>
      <c r="CY5" s="60"/>
      <c r="CZ5" s="60"/>
      <c r="DA5" s="60"/>
      <c r="DB5" s="60"/>
      <c r="DC5" s="60"/>
      <c r="DD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  <c r="GJ5" s="60"/>
      <c r="GK5" s="60"/>
      <c r="GL5" s="60"/>
      <c r="GM5" s="60"/>
      <c r="GN5" s="60"/>
      <c r="GO5" s="60"/>
      <c r="GR5" s="60"/>
      <c r="GS5" s="60"/>
      <c r="GT5" s="60"/>
      <c r="GU5" s="60"/>
      <c r="GV5" s="60"/>
      <c r="GW5" s="60"/>
      <c r="GX5" s="60"/>
      <c r="GY5" s="60"/>
      <c r="GZ5" s="60"/>
      <c r="HA5" s="60"/>
      <c r="HB5" s="60"/>
      <c r="HC5" s="60"/>
      <c r="HD5" s="60"/>
      <c r="HE5" s="60"/>
      <c r="HF5" s="60"/>
      <c r="HG5" s="60"/>
      <c r="HH5" s="60"/>
      <c r="HI5" s="60"/>
      <c r="HJ5" s="60"/>
      <c r="HK5" s="60"/>
      <c r="HN5" s="60"/>
      <c r="HO5" s="60"/>
      <c r="HP5" s="60"/>
      <c r="HQ5" s="60"/>
      <c r="HR5" s="60"/>
      <c r="HS5" s="60"/>
      <c r="HT5" s="60"/>
      <c r="HU5" s="60"/>
      <c r="HV5" s="60"/>
      <c r="HW5" s="60"/>
      <c r="HX5" s="60"/>
      <c r="HY5" s="60"/>
      <c r="HZ5" s="60"/>
      <c r="IA5" s="60"/>
      <c r="IB5" s="60"/>
      <c r="IC5" s="60"/>
      <c r="ID5" s="60"/>
      <c r="IE5" s="60"/>
      <c r="IF5" s="60"/>
      <c r="IG5" s="60"/>
      <c r="IK5" s="60"/>
      <c r="IL5" s="60"/>
      <c r="IM5" s="60"/>
      <c r="IN5" s="60"/>
      <c r="IO5" s="60"/>
      <c r="IP5" s="60"/>
      <c r="IQ5" s="60"/>
      <c r="IR5" s="60"/>
      <c r="IS5" s="60"/>
      <c r="IT5" s="60"/>
      <c r="IU5" s="60"/>
      <c r="IV5" s="60"/>
      <c r="IW5" s="60"/>
      <c r="IX5" s="60"/>
      <c r="IY5" s="60"/>
      <c r="IZ5" s="60"/>
      <c r="JA5" s="60"/>
      <c r="JB5" s="60"/>
      <c r="JC5" s="60"/>
      <c r="JD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JX5" s="60"/>
      <c r="JY5" s="60"/>
      <c r="JZ5" s="60"/>
      <c r="KA5" s="60"/>
      <c r="KB5" s="60"/>
      <c r="KF5" s="60"/>
      <c r="KG5" s="60"/>
      <c r="KH5" s="60"/>
      <c r="KI5" s="60"/>
      <c r="KJ5" s="60"/>
      <c r="KK5" s="60"/>
      <c r="KL5" s="60"/>
      <c r="KM5" s="60"/>
      <c r="KN5" s="60"/>
      <c r="KO5" s="60"/>
      <c r="KP5" s="60"/>
      <c r="KQ5" s="60"/>
      <c r="KR5" s="60"/>
      <c r="KS5" s="60"/>
      <c r="KT5" s="60"/>
      <c r="KU5" s="60"/>
      <c r="KV5" s="60"/>
      <c r="KW5" s="60"/>
      <c r="KX5" s="60"/>
      <c r="KY5" s="60"/>
      <c r="LA5" s="46"/>
      <c r="LB5" s="46"/>
      <c r="LC5" s="46"/>
      <c r="LD5" s="46"/>
      <c r="LE5" s="46"/>
      <c r="LF5" s="46"/>
      <c r="LG5" s="46"/>
      <c r="LH5" s="46"/>
      <c r="LI5" s="46"/>
      <c r="LJ5" s="46"/>
      <c r="LK5" s="46"/>
      <c r="LL5" s="46"/>
      <c r="LM5" s="46"/>
      <c r="LN5" s="46"/>
      <c r="LO5" s="46"/>
      <c r="LP5" s="46"/>
      <c r="LQ5" s="46"/>
      <c r="LR5" s="46"/>
      <c r="LS5" s="46"/>
      <c r="LT5" s="46"/>
      <c r="LU5" s="46"/>
      <c r="LV5" s="46"/>
      <c r="LW5" s="46"/>
      <c r="LX5" s="46"/>
      <c r="LY5" s="46"/>
      <c r="LZ5" s="46"/>
      <c r="MA5" s="46"/>
      <c r="MB5" s="46"/>
      <c r="MC5" s="46"/>
      <c r="MD5" s="46"/>
      <c r="ME5" s="46"/>
      <c r="MF5" s="46"/>
      <c r="MG5" s="46"/>
      <c r="MH5" s="46"/>
      <c r="MI5" s="46"/>
      <c r="MJ5" s="46"/>
      <c r="MK5" s="46"/>
      <c r="ML5" s="46"/>
      <c r="MM5" s="46"/>
      <c r="MN5" s="46"/>
      <c r="MO5" s="46"/>
      <c r="MP5" s="46"/>
      <c r="MQ5" s="46"/>
      <c r="MR5" s="46"/>
      <c r="MS5" s="46"/>
      <c r="MT5" s="46"/>
      <c r="MU5" s="46"/>
      <c r="MV5" s="46"/>
      <c r="MW5" s="46"/>
      <c r="MX5" s="46"/>
      <c r="MY5" s="46"/>
      <c r="MZ5" s="46"/>
      <c r="NA5" s="46"/>
      <c r="NB5" s="46"/>
      <c r="NC5" s="46"/>
      <c r="ND5" s="46"/>
      <c r="NE5" s="46"/>
      <c r="NF5" s="46"/>
      <c r="NG5" s="46"/>
    </row>
    <row r="6" spans="2:371" ht="15" customHeight="1" x14ac:dyDescent="0.35">
      <c r="C6" s="60" t="s">
        <v>78</v>
      </c>
      <c r="D6" s="60"/>
      <c r="E6" s="62">
        <v>1</v>
      </c>
      <c r="F6" s="62"/>
      <c r="G6" s="60">
        <f>1/3</f>
        <v>0.33333333333333331</v>
      </c>
      <c r="H6" s="60"/>
      <c r="I6" s="63">
        <v>3</v>
      </c>
      <c r="J6" s="64"/>
      <c r="K6" s="60">
        <v>3</v>
      </c>
      <c r="L6" s="60"/>
      <c r="M6" s="60">
        <v>3</v>
      </c>
      <c r="N6" s="60"/>
      <c r="O6" s="60">
        <v>3</v>
      </c>
      <c r="P6" s="60"/>
      <c r="Q6" s="60">
        <f>1/3</f>
        <v>0.33333333333333331</v>
      </c>
      <c r="R6" s="60"/>
      <c r="S6" s="60">
        <v>3</v>
      </c>
      <c r="T6" s="60"/>
      <c r="U6" s="60">
        <f>1/3</f>
        <v>0.33333333333333331</v>
      </c>
      <c r="V6" s="60"/>
      <c r="X6" s="60" t="s">
        <v>78</v>
      </c>
      <c r="Y6" s="60"/>
      <c r="Z6" s="62">
        <v>1</v>
      </c>
      <c r="AA6" s="62"/>
      <c r="AB6" s="60">
        <f>1/3</f>
        <v>0.33333333333333331</v>
      </c>
      <c r="AC6" s="60"/>
      <c r="AD6" s="63">
        <f>1/3</f>
        <v>0.33333333333333331</v>
      </c>
      <c r="AE6" s="64"/>
      <c r="AF6" s="60">
        <f>1/2</f>
        <v>0.5</v>
      </c>
      <c r="AG6" s="60"/>
      <c r="AH6" s="60">
        <v>3</v>
      </c>
      <c r="AI6" s="60"/>
      <c r="AJ6" s="60">
        <v>2</v>
      </c>
      <c r="AK6" s="60"/>
      <c r="AL6" s="60">
        <v>3</v>
      </c>
      <c r="AM6" s="60"/>
      <c r="AN6" s="60">
        <v>3</v>
      </c>
      <c r="AO6" s="60"/>
      <c r="AP6" s="60">
        <f>1/3</f>
        <v>0.33333333333333331</v>
      </c>
      <c r="AQ6" s="60"/>
      <c r="AS6" s="60" t="s">
        <v>78</v>
      </c>
      <c r="AT6" s="60"/>
      <c r="AU6" s="62">
        <v>1</v>
      </c>
      <c r="AV6" s="62"/>
      <c r="AW6" s="60">
        <f>1/3</f>
        <v>0.33333333333333331</v>
      </c>
      <c r="AX6" s="60"/>
      <c r="AY6" s="63">
        <f>1/2</f>
        <v>0.5</v>
      </c>
      <c r="AZ6" s="64"/>
      <c r="BA6" s="60">
        <v>3</v>
      </c>
      <c r="BB6" s="60"/>
      <c r="BC6" s="60">
        <f>1/2</f>
        <v>0.5</v>
      </c>
      <c r="BD6" s="60"/>
      <c r="BE6" s="60">
        <v>2</v>
      </c>
      <c r="BF6" s="60"/>
      <c r="BG6" s="60">
        <f>1/3</f>
        <v>0.33333333333333331</v>
      </c>
      <c r="BH6" s="60"/>
      <c r="BI6" s="60">
        <v>2</v>
      </c>
      <c r="BJ6" s="60"/>
      <c r="BK6" s="60">
        <f>1/2</f>
        <v>0.5</v>
      </c>
      <c r="BL6" s="60"/>
      <c r="BN6" s="60" t="s">
        <v>78</v>
      </c>
      <c r="BO6" s="60"/>
      <c r="BP6" s="62">
        <v>1</v>
      </c>
      <c r="BQ6" s="62"/>
      <c r="BR6" s="60">
        <f>1/3</f>
        <v>0.33333333333333331</v>
      </c>
      <c r="BS6" s="60"/>
      <c r="BT6" s="63">
        <f>1/2</f>
        <v>0.5</v>
      </c>
      <c r="BU6" s="64"/>
      <c r="BV6" s="60">
        <v>3</v>
      </c>
      <c r="BW6" s="60"/>
      <c r="BX6" s="60">
        <v>3</v>
      </c>
      <c r="BY6" s="60"/>
      <c r="BZ6" s="60">
        <v>3</v>
      </c>
      <c r="CA6" s="60"/>
      <c r="CB6" s="60">
        <f>1/3</f>
        <v>0.33333333333333331</v>
      </c>
      <c r="CC6" s="60"/>
      <c r="CD6" s="60">
        <f>1/2</f>
        <v>0.5</v>
      </c>
      <c r="CE6" s="60"/>
      <c r="CF6" s="60">
        <v>2</v>
      </c>
      <c r="CG6" s="60"/>
      <c r="CK6" s="60" t="s">
        <v>78</v>
      </c>
      <c r="CL6" s="60"/>
      <c r="CM6" s="62">
        <v>1</v>
      </c>
      <c r="CN6" s="62"/>
      <c r="CO6" s="60">
        <f>1/3</f>
        <v>0.33333333333333331</v>
      </c>
      <c r="CP6" s="60"/>
      <c r="CQ6" s="63">
        <v>3</v>
      </c>
      <c r="CR6" s="64"/>
      <c r="CS6" s="60">
        <f>1/4</f>
        <v>0.25</v>
      </c>
      <c r="CT6" s="60"/>
      <c r="CU6" s="60">
        <v>3</v>
      </c>
      <c r="CV6" s="60"/>
      <c r="CW6" s="60">
        <f>1/3</f>
        <v>0.33333333333333331</v>
      </c>
      <c r="CX6" s="60"/>
      <c r="CY6" s="60">
        <f>1/3</f>
        <v>0.33333333333333331</v>
      </c>
      <c r="CZ6" s="60"/>
      <c r="DA6" s="60">
        <v>3</v>
      </c>
      <c r="DB6" s="60"/>
      <c r="DC6" s="60">
        <f>1/2</f>
        <v>0.5</v>
      </c>
      <c r="DD6" s="60"/>
      <c r="DF6" s="60" t="s">
        <v>78</v>
      </c>
      <c r="DG6" s="60"/>
      <c r="DH6" s="62">
        <v>1</v>
      </c>
      <c r="DI6" s="62"/>
      <c r="DJ6" s="60">
        <f>1/2</f>
        <v>0.5</v>
      </c>
      <c r="DK6" s="60"/>
      <c r="DL6" s="63">
        <v>2</v>
      </c>
      <c r="DM6" s="64"/>
      <c r="DN6" s="60">
        <v>3</v>
      </c>
      <c r="DO6" s="60"/>
      <c r="DP6" s="60">
        <f>1/3</f>
        <v>0.33333333333333331</v>
      </c>
      <c r="DQ6" s="60"/>
      <c r="DR6" s="60">
        <f>1/3</f>
        <v>0.33333333333333331</v>
      </c>
      <c r="DS6" s="60"/>
      <c r="DT6" s="60">
        <v>5</v>
      </c>
      <c r="DU6" s="60"/>
      <c r="DV6" s="60">
        <f>1/3</f>
        <v>0.33333333333333331</v>
      </c>
      <c r="DW6" s="60"/>
      <c r="DX6" s="60">
        <f>1/5</f>
        <v>0.2</v>
      </c>
      <c r="DY6" s="60"/>
      <c r="EC6" s="60" t="s">
        <v>78</v>
      </c>
      <c r="ED6" s="60"/>
      <c r="EE6" s="62">
        <v>1</v>
      </c>
      <c r="EF6" s="62"/>
      <c r="EG6" s="60">
        <f>1/2</f>
        <v>0.5</v>
      </c>
      <c r="EH6" s="60"/>
      <c r="EI6" s="63">
        <v>3</v>
      </c>
      <c r="EJ6" s="64"/>
      <c r="EK6" s="60">
        <f>1/3</f>
        <v>0.33333333333333331</v>
      </c>
      <c r="EL6" s="60"/>
      <c r="EM6" s="60">
        <f>1/2</f>
        <v>0.5</v>
      </c>
      <c r="EN6" s="60"/>
      <c r="EO6" s="60">
        <v>3</v>
      </c>
      <c r="EP6" s="60"/>
      <c r="EQ6" s="60">
        <v>5</v>
      </c>
      <c r="ER6" s="60"/>
      <c r="ES6" s="60">
        <f>1/2</f>
        <v>0.5</v>
      </c>
      <c r="ET6" s="60"/>
      <c r="EU6" s="60">
        <f>1/5</f>
        <v>0.2</v>
      </c>
      <c r="EV6" s="60"/>
      <c r="EY6" s="60" t="s">
        <v>78</v>
      </c>
      <c r="EZ6" s="60"/>
      <c r="FA6" s="62">
        <v>1</v>
      </c>
      <c r="FB6" s="62"/>
      <c r="FC6" s="60">
        <f>1/3</f>
        <v>0.33333333333333331</v>
      </c>
      <c r="FD6" s="60"/>
      <c r="FE6" s="63">
        <v>2</v>
      </c>
      <c r="FF6" s="64"/>
      <c r="FG6" s="60">
        <f>1/3</f>
        <v>0.33333333333333331</v>
      </c>
      <c r="FH6" s="60"/>
      <c r="FI6" s="60">
        <f>1/3</f>
        <v>0.33333333333333331</v>
      </c>
      <c r="FJ6" s="60"/>
      <c r="FK6" s="60">
        <v>3</v>
      </c>
      <c r="FL6" s="60"/>
      <c r="FM6" s="60">
        <v>3</v>
      </c>
      <c r="FN6" s="60"/>
      <c r="FO6" s="60">
        <f>1/3</f>
        <v>0.33333333333333331</v>
      </c>
      <c r="FP6" s="60"/>
      <c r="FQ6" s="60">
        <v>3</v>
      </c>
      <c r="FR6" s="60"/>
      <c r="FV6" s="60" t="s">
        <v>78</v>
      </c>
      <c r="FW6" s="60"/>
      <c r="FX6" s="62">
        <v>1</v>
      </c>
      <c r="FY6" s="62"/>
      <c r="FZ6" s="60">
        <v>3</v>
      </c>
      <c r="GA6" s="60"/>
      <c r="GB6" s="63">
        <v>3</v>
      </c>
      <c r="GC6" s="64"/>
      <c r="GD6" s="60">
        <v>3</v>
      </c>
      <c r="GE6" s="60"/>
      <c r="GF6" s="60">
        <f>1/5</f>
        <v>0.2</v>
      </c>
      <c r="GG6" s="60"/>
      <c r="GH6" s="60">
        <f>1/3</f>
        <v>0.33333333333333331</v>
      </c>
      <c r="GI6" s="60"/>
      <c r="GJ6" s="60">
        <v>3</v>
      </c>
      <c r="GK6" s="60"/>
      <c r="GL6" s="60">
        <v>3</v>
      </c>
      <c r="GM6" s="60"/>
      <c r="GN6" s="60">
        <f>1/3</f>
        <v>0.33333333333333331</v>
      </c>
      <c r="GO6" s="60"/>
      <c r="GR6" s="60" t="s">
        <v>78</v>
      </c>
      <c r="GS6" s="60"/>
      <c r="GT6" s="62">
        <v>1</v>
      </c>
      <c r="GU6" s="62"/>
      <c r="GV6" s="60">
        <f>1/5</f>
        <v>0.2</v>
      </c>
      <c r="GW6" s="60"/>
      <c r="GX6" s="63">
        <f>1/3</f>
        <v>0.33333333333333331</v>
      </c>
      <c r="GY6" s="64"/>
      <c r="GZ6" s="60">
        <v>3</v>
      </c>
      <c r="HA6" s="60"/>
      <c r="HB6" s="60">
        <f>1/3</f>
        <v>0.33333333333333331</v>
      </c>
      <c r="HC6" s="60"/>
      <c r="HD6" s="60">
        <v>5</v>
      </c>
      <c r="HE6" s="60"/>
      <c r="HF6" s="60">
        <f>1/3</f>
        <v>0.33333333333333331</v>
      </c>
      <c r="HG6" s="60"/>
      <c r="HH6" s="60">
        <v>3</v>
      </c>
      <c r="HI6" s="60"/>
      <c r="HJ6" s="60">
        <v>5</v>
      </c>
      <c r="HK6" s="60"/>
      <c r="HN6" s="60" t="s">
        <v>78</v>
      </c>
      <c r="HO6" s="60"/>
      <c r="HP6" s="62">
        <v>1</v>
      </c>
      <c r="HQ6" s="62"/>
      <c r="HR6" s="60">
        <f>1/3</f>
        <v>0.33333333333333331</v>
      </c>
      <c r="HS6" s="60"/>
      <c r="HT6" s="63">
        <v>3</v>
      </c>
      <c r="HU6" s="64"/>
      <c r="HV6" s="60">
        <f>1/5</f>
        <v>0.2</v>
      </c>
      <c r="HW6" s="60"/>
      <c r="HX6" s="60">
        <f>1/3</f>
        <v>0.33333333333333331</v>
      </c>
      <c r="HY6" s="60"/>
      <c r="HZ6" s="60">
        <v>3</v>
      </c>
      <c r="IA6" s="60"/>
      <c r="IB6" s="60">
        <v>3</v>
      </c>
      <c r="IC6" s="60"/>
      <c r="ID6" s="60">
        <v>3</v>
      </c>
      <c r="IE6" s="60"/>
      <c r="IF6" s="60">
        <f>1/5</f>
        <v>0.2</v>
      </c>
      <c r="IG6" s="60"/>
      <c r="IK6" s="60" t="s">
        <v>78</v>
      </c>
      <c r="IL6" s="60"/>
      <c r="IM6" s="62">
        <v>1</v>
      </c>
      <c r="IN6" s="62"/>
      <c r="IO6" s="60">
        <f>1/3</f>
        <v>0.33333333333333331</v>
      </c>
      <c r="IP6" s="60"/>
      <c r="IQ6" s="63">
        <v>5</v>
      </c>
      <c r="IR6" s="64"/>
      <c r="IS6" s="60">
        <f>1/3</f>
        <v>0.33333333333333331</v>
      </c>
      <c r="IT6" s="60"/>
      <c r="IU6" s="60">
        <f>1/3</f>
        <v>0.33333333333333331</v>
      </c>
      <c r="IV6" s="60"/>
      <c r="IW6" s="60">
        <v>3</v>
      </c>
      <c r="IX6" s="60"/>
      <c r="IY6" s="60">
        <v>3</v>
      </c>
      <c r="IZ6" s="60"/>
      <c r="JA6" s="60">
        <f>1/2</f>
        <v>0.5</v>
      </c>
      <c r="JB6" s="60"/>
      <c r="JC6" s="60">
        <f>1/5</f>
        <v>0.2</v>
      </c>
      <c r="JD6" s="60"/>
      <c r="JI6" s="60" t="s">
        <v>78</v>
      </c>
      <c r="JJ6" s="60"/>
      <c r="JK6" s="62">
        <v>1</v>
      </c>
      <c r="JL6" s="62"/>
      <c r="JM6" s="60">
        <v>3</v>
      </c>
      <c r="JN6" s="60"/>
      <c r="JO6" s="63">
        <f>1/3</f>
        <v>0.33333333333333331</v>
      </c>
      <c r="JP6" s="64"/>
      <c r="JQ6" s="60">
        <v>3</v>
      </c>
      <c r="JR6" s="60"/>
      <c r="JS6" s="60">
        <v>3</v>
      </c>
      <c r="JT6" s="60"/>
      <c r="JU6" s="60">
        <v>3</v>
      </c>
      <c r="JV6" s="60"/>
      <c r="JW6" s="60">
        <f>1/2</f>
        <v>0.5</v>
      </c>
      <c r="JX6" s="60"/>
      <c r="JY6" s="60">
        <f>1/4</f>
        <v>0.25</v>
      </c>
      <c r="JZ6" s="60"/>
      <c r="KA6" s="60">
        <f>1/2</f>
        <v>0.5</v>
      </c>
      <c r="KB6" s="60"/>
      <c r="KF6" s="60" t="s">
        <v>78</v>
      </c>
      <c r="KG6" s="60"/>
      <c r="KH6" s="62">
        <v>1</v>
      </c>
      <c r="KI6" s="62"/>
      <c r="KJ6" s="60">
        <v>2</v>
      </c>
      <c r="KK6" s="60"/>
      <c r="KL6" s="63">
        <v>3</v>
      </c>
      <c r="KM6" s="64"/>
      <c r="KN6" s="60">
        <v>3</v>
      </c>
      <c r="KO6" s="60"/>
      <c r="KP6" s="60">
        <f>1/3</f>
        <v>0.33333333333333331</v>
      </c>
      <c r="KQ6" s="60"/>
      <c r="KR6" s="60">
        <f>1/3</f>
        <v>0.33333333333333331</v>
      </c>
      <c r="KS6" s="60"/>
      <c r="KT6" s="60">
        <v>3</v>
      </c>
      <c r="KU6" s="60"/>
      <c r="KV6" s="60">
        <v>3</v>
      </c>
      <c r="KW6" s="60"/>
      <c r="KX6" s="60">
        <f>1/3</f>
        <v>0.33333333333333331</v>
      </c>
      <c r="KY6" s="60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</row>
    <row r="7" spans="2:371" x14ac:dyDescent="0.35">
      <c r="C7" s="60"/>
      <c r="D7" s="60"/>
      <c r="E7" s="62"/>
      <c r="F7" s="62"/>
      <c r="G7" s="60"/>
      <c r="H7" s="60"/>
      <c r="I7" s="65"/>
      <c r="J7" s="66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X7" s="60"/>
      <c r="Y7" s="60"/>
      <c r="Z7" s="62"/>
      <c r="AA7" s="62"/>
      <c r="AB7" s="60"/>
      <c r="AC7" s="60"/>
      <c r="AD7" s="65"/>
      <c r="AE7" s="66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S7" s="60"/>
      <c r="AT7" s="60"/>
      <c r="AU7" s="62"/>
      <c r="AV7" s="62"/>
      <c r="AW7" s="60"/>
      <c r="AX7" s="60"/>
      <c r="AY7" s="65"/>
      <c r="AZ7" s="66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N7" s="60"/>
      <c r="BO7" s="60"/>
      <c r="BP7" s="62"/>
      <c r="BQ7" s="62"/>
      <c r="BR7" s="60"/>
      <c r="BS7" s="60"/>
      <c r="BT7" s="65"/>
      <c r="BU7" s="66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K7" s="60"/>
      <c r="CL7" s="60"/>
      <c r="CM7" s="62"/>
      <c r="CN7" s="62"/>
      <c r="CO7" s="60"/>
      <c r="CP7" s="60"/>
      <c r="CQ7" s="65"/>
      <c r="CR7" s="66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F7" s="60"/>
      <c r="DG7" s="60"/>
      <c r="DH7" s="62"/>
      <c r="DI7" s="62"/>
      <c r="DJ7" s="60"/>
      <c r="DK7" s="60"/>
      <c r="DL7" s="65"/>
      <c r="DM7" s="66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EC7" s="60"/>
      <c r="ED7" s="60"/>
      <c r="EE7" s="62"/>
      <c r="EF7" s="62"/>
      <c r="EG7" s="60"/>
      <c r="EH7" s="60"/>
      <c r="EI7" s="65"/>
      <c r="EJ7" s="66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Y7" s="60"/>
      <c r="EZ7" s="60"/>
      <c r="FA7" s="62"/>
      <c r="FB7" s="62"/>
      <c r="FC7" s="60"/>
      <c r="FD7" s="60"/>
      <c r="FE7" s="65"/>
      <c r="FF7" s="66"/>
      <c r="FG7" s="60"/>
      <c r="FH7" s="60"/>
      <c r="FI7" s="60"/>
      <c r="FJ7" s="60"/>
      <c r="FK7" s="60"/>
      <c r="FL7" s="60"/>
      <c r="FM7" s="60"/>
      <c r="FN7" s="60"/>
      <c r="FO7" s="60"/>
      <c r="FP7" s="60"/>
      <c r="FQ7" s="60"/>
      <c r="FR7" s="60"/>
      <c r="FV7" s="60"/>
      <c r="FW7" s="60"/>
      <c r="FX7" s="62"/>
      <c r="FY7" s="62"/>
      <c r="FZ7" s="60"/>
      <c r="GA7" s="60"/>
      <c r="GB7" s="65"/>
      <c r="GC7" s="66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R7" s="60"/>
      <c r="GS7" s="60"/>
      <c r="GT7" s="62"/>
      <c r="GU7" s="62"/>
      <c r="GV7" s="60"/>
      <c r="GW7" s="60"/>
      <c r="GX7" s="65"/>
      <c r="GY7" s="66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N7" s="60"/>
      <c r="HO7" s="60"/>
      <c r="HP7" s="62"/>
      <c r="HQ7" s="62"/>
      <c r="HR7" s="60"/>
      <c r="HS7" s="60"/>
      <c r="HT7" s="65"/>
      <c r="HU7" s="66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K7" s="60"/>
      <c r="IL7" s="60"/>
      <c r="IM7" s="62"/>
      <c r="IN7" s="62"/>
      <c r="IO7" s="60"/>
      <c r="IP7" s="60"/>
      <c r="IQ7" s="65"/>
      <c r="IR7" s="66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I7" s="60"/>
      <c r="JJ7" s="60"/>
      <c r="JK7" s="62"/>
      <c r="JL7" s="62"/>
      <c r="JM7" s="60"/>
      <c r="JN7" s="60"/>
      <c r="JO7" s="65"/>
      <c r="JP7" s="66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F7" s="60"/>
      <c r="KG7" s="60"/>
      <c r="KH7" s="62"/>
      <c r="KI7" s="62"/>
      <c r="KJ7" s="60"/>
      <c r="KK7" s="60"/>
      <c r="KL7" s="65"/>
      <c r="KM7" s="66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</row>
    <row r="8" spans="2:371" ht="15" customHeight="1" x14ac:dyDescent="0.35">
      <c r="C8" s="60" t="s">
        <v>79</v>
      </c>
      <c r="D8" s="60"/>
      <c r="E8" s="60">
        <f>1/G6</f>
        <v>3</v>
      </c>
      <c r="F8" s="60"/>
      <c r="G8" s="62">
        <v>1</v>
      </c>
      <c r="H8" s="62"/>
      <c r="I8" s="60">
        <f>1/2</f>
        <v>0.5</v>
      </c>
      <c r="J8" s="60"/>
      <c r="K8" s="60">
        <f>1/3</f>
        <v>0.33333333333333331</v>
      </c>
      <c r="L8" s="60"/>
      <c r="M8" s="60">
        <f>1/3</f>
        <v>0.33333333333333331</v>
      </c>
      <c r="N8" s="60"/>
      <c r="O8" s="60">
        <v>3</v>
      </c>
      <c r="P8" s="60"/>
      <c r="Q8" s="60">
        <v>3</v>
      </c>
      <c r="R8" s="60"/>
      <c r="S8" s="60">
        <v>5</v>
      </c>
      <c r="T8" s="60"/>
      <c r="U8" s="60">
        <v>3</v>
      </c>
      <c r="V8" s="60"/>
      <c r="X8" s="60" t="s">
        <v>79</v>
      </c>
      <c r="Y8" s="60"/>
      <c r="Z8" s="60">
        <f>1/AB6</f>
        <v>3</v>
      </c>
      <c r="AA8" s="60"/>
      <c r="AB8" s="62">
        <v>1</v>
      </c>
      <c r="AC8" s="62"/>
      <c r="AD8" s="60">
        <v>2</v>
      </c>
      <c r="AE8" s="60"/>
      <c r="AF8" s="60">
        <v>2</v>
      </c>
      <c r="AG8" s="60"/>
      <c r="AH8" s="60">
        <v>3</v>
      </c>
      <c r="AI8" s="60"/>
      <c r="AJ8" s="60">
        <v>2</v>
      </c>
      <c r="AK8" s="60"/>
      <c r="AL8" s="60">
        <f>1/3</f>
        <v>0.33333333333333331</v>
      </c>
      <c r="AM8" s="60"/>
      <c r="AN8" s="60">
        <f>1/3</f>
        <v>0.33333333333333331</v>
      </c>
      <c r="AO8" s="60"/>
      <c r="AP8" s="60">
        <v>3</v>
      </c>
      <c r="AQ8" s="60"/>
      <c r="AS8" s="60" t="s">
        <v>79</v>
      </c>
      <c r="AT8" s="60"/>
      <c r="AU8" s="60">
        <f>1/AW6</f>
        <v>3</v>
      </c>
      <c r="AV8" s="60"/>
      <c r="AW8" s="62">
        <v>1</v>
      </c>
      <c r="AX8" s="62"/>
      <c r="AY8" s="60">
        <f>1/3</f>
        <v>0.33333333333333331</v>
      </c>
      <c r="AZ8" s="60"/>
      <c r="BA8" s="60">
        <v>3</v>
      </c>
      <c r="BB8" s="60"/>
      <c r="BC8" s="60">
        <f>1/3</f>
        <v>0.33333333333333331</v>
      </c>
      <c r="BD8" s="60"/>
      <c r="BE8" s="60">
        <v>3</v>
      </c>
      <c r="BF8" s="60"/>
      <c r="BG8" s="60">
        <f>1/2</f>
        <v>0.5</v>
      </c>
      <c r="BH8" s="60"/>
      <c r="BI8" s="60">
        <v>3</v>
      </c>
      <c r="BJ8" s="60"/>
      <c r="BK8" s="60">
        <f>1/3</f>
        <v>0.33333333333333331</v>
      </c>
      <c r="BL8" s="60"/>
      <c r="BN8" s="60" t="s">
        <v>79</v>
      </c>
      <c r="BO8" s="60"/>
      <c r="BP8" s="60">
        <f>1/BR6</f>
        <v>3</v>
      </c>
      <c r="BQ8" s="60"/>
      <c r="BR8" s="62">
        <v>1</v>
      </c>
      <c r="BS8" s="62"/>
      <c r="BT8" s="60">
        <f>1/3</f>
        <v>0.33333333333333331</v>
      </c>
      <c r="BU8" s="60"/>
      <c r="BV8" s="60">
        <v>3</v>
      </c>
      <c r="BW8" s="60"/>
      <c r="BX8" s="60">
        <f>1/2</f>
        <v>0.5</v>
      </c>
      <c r="BY8" s="60"/>
      <c r="BZ8" s="60">
        <f>1/2</f>
        <v>0.5</v>
      </c>
      <c r="CA8" s="60"/>
      <c r="CB8" s="60">
        <f>1/3</f>
        <v>0.33333333333333331</v>
      </c>
      <c r="CC8" s="60"/>
      <c r="CD8" s="60">
        <f>1/3</f>
        <v>0.33333333333333331</v>
      </c>
      <c r="CE8" s="60"/>
      <c r="CF8" s="60">
        <v>3</v>
      </c>
      <c r="CG8" s="60"/>
      <c r="CK8" s="60" t="s">
        <v>85</v>
      </c>
      <c r="CL8" s="60"/>
      <c r="CM8" s="60">
        <f>1/CO6</f>
        <v>3</v>
      </c>
      <c r="CN8" s="60"/>
      <c r="CO8" s="62">
        <v>1</v>
      </c>
      <c r="CP8" s="62"/>
      <c r="CQ8" s="60">
        <f>1/2</f>
        <v>0.5</v>
      </c>
      <c r="CR8" s="60"/>
      <c r="CS8" s="60">
        <f>1/2</f>
        <v>0.5</v>
      </c>
      <c r="CT8" s="60"/>
      <c r="CU8" s="60">
        <f>1/3</f>
        <v>0.33333333333333331</v>
      </c>
      <c r="CV8" s="60"/>
      <c r="CW8" s="60">
        <v>3</v>
      </c>
      <c r="CX8" s="60"/>
      <c r="CY8" s="60">
        <f>1/3</f>
        <v>0.33333333333333331</v>
      </c>
      <c r="CZ8" s="60"/>
      <c r="DA8" s="60">
        <f>1/3</f>
        <v>0.33333333333333331</v>
      </c>
      <c r="DB8" s="60"/>
      <c r="DC8" s="60">
        <v>2</v>
      </c>
      <c r="DD8" s="60"/>
      <c r="DF8" s="60" t="s">
        <v>85</v>
      </c>
      <c r="DG8" s="60"/>
      <c r="DH8" s="60">
        <f>1/DJ6</f>
        <v>2</v>
      </c>
      <c r="DI8" s="60"/>
      <c r="DJ8" s="62">
        <v>1</v>
      </c>
      <c r="DK8" s="62"/>
      <c r="DL8" s="60">
        <f>1/5</f>
        <v>0.2</v>
      </c>
      <c r="DM8" s="60"/>
      <c r="DN8" s="60">
        <v>3</v>
      </c>
      <c r="DO8" s="60"/>
      <c r="DP8" s="60">
        <f>1/3</f>
        <v>0.33333333333333331</v>
      </c>
      <c r="DQ8" s="60"/>
      <c r="DR8" s="60">
        <v>3</v>
      </c>
      <c r="DS8" s="60"/>
      <c r="DT8" s="60">
        <v>5</v>
      </c>
      <c r="DU8" s="60"/>
      <c r="DV8" s="60">
        <f>1/3</f>
        <v>0.33333333333333331</v>
      </c>
      <c r="DW8" s="60"/>
      <c r="DX8" s="60">
        <v>3</v>
      </c>
      <c r="DY8" s="60"/>
      <c r="EC8" s="60" t="s">
        <v>85</v>
      </c>
      <c r="ED8" s="60"/>
      <c r="EE8" s="60">
        <f>1/EG6</f>
        <v>2</v>
      </c>
      <c r="EF8" s="60"/>
      <c r="EG8" s="62">
        <v>1</v>
      </c>
      <c r="EH8" s="62"/>
      <c r="EI8" s="60">
        <f>1/5</f>
        <v>0.2</v>
      </c>
      <c r="EJ8" s="60"/>
      <c r="EK8" s="60">
        <f>1/3</f>
        <v>0.33333333333333331</v>
      </c>
      <c r="EL8" s="60"/>
      <c r="EM8" s="60">
        <f>1/3</f>
        <v>0.33333333333333331</v>
      </c>
      <c r="EN8" s="60"/>
      <c r="EO8" s="60">
        <v>3</v>
      </c>
      <c r="EP8" s="60"/>
      <c r="EQ8" s="60">
        <f>1/3</f>
        <v>0.33333333333333331</v>
      </c>
      <c r="ER8" s="60"/>
      <c r="ES8" s="60">
        <v>3</v>
      </c>
      <c r="ET8" s="60"/>
      <c r="EU8" s="60">
        <v>3</v>
      </c>
      <c r="EV8" s="60"/>
      <c r="EY8" s="60" t="s">
        <v>79</v>
      </c>
      <c r="EZ8" s="60"/>
      <c r="FA8" s="60">
        <f>1/FC6</f>
        <v>3</v>
      </c>
      <c r="FB8" s="60"/>
      <c r="FC8" s="62">
        <v>1</v>
      </c>
      <c r="FD8" s="62"/>
      <c r="FE8" s="60">
        <f>1/2</f>
        <v>0.5</v>
      </c>
      <c r="FF8" s="60"/>
      <c r="FG8" s="60">
        <v>3</v>
      </c>
      <c r="FH8" s="60"/>
      <c r="FI8" s="60">
        <f>1/3</f>
        <v>0.33333333333333331</v>
      </c>
      <c r="FJ8" s="60"/>
      <c r="FK8" s="60">
        <v>3</v>
      </c>
      <c r="FL8" s="60"/>
      <c r="FM8" s="60">
        <f>1/3</f>
        <v>0.33333333333333331</v>
      </c>
      <c r="FN8" s="60"/>
      <c r="FO8" s="60">
        <v>3</v>
      </c>
      <c r="FP8" s="60"/>
      <c r="FQ8" s="60">
        <v>3</v>
      </c>
      <c r="FR8" s="60"/>
      <c r="FV8" s="60" t="s">
        <v>79</v>
      </c>
      <c r="FW8" s="60"/>
      <c r="FX8" s="60">
        <f>1/FZ6</f>
        <v>0.33333333333333331</v>
      </c>
      <c r="FY8" s="60"/>
      <c r="FZ8" s="62">
        <v>1</v>
      </c>
      <c r="GA8" s="62"/>
      <c r="GB8" s="60">
        <f>1/3</f>
        <v>0.33333333333333331</v>
      </c>
      <c r="GC8" s="60"/>
      <c r="GD8" s="60">
        <f>1/5</f>
        <v>0.2</v>
      </c>
      <c r="GE8" s="60"/>
      <c r="GF8" s="60">
        <f>1/4</f>
        <v>0.25</v>
      </c>
      <c r="GG8" s="60"/>
      <c r="GH8" s="60">
        <v>3</v>
      </c>
      <c r="GI8" s="60"/>
      <c r="GJ8" s="60">
        <v>3</v>
      </c>
      <c r="GK8" s="60"/>
      <c r="GL8" s="60">
        <v>2</v>
      </c>
      <c r="GM8" s="60"/>
      <c r="GN8" s="60">
        <v>3</v>
      </c>
      <c r="GO8" s="60"/>
      <c r="GR8" s="60" t="s">
        <v>85</v>
      </c>
      <c r="GS8" s="60"/>
      <c r="GT8" s="60">
        <f>1/GV6</f>
        <v>5</v>
      </c>
      <c r="GU8" s="60"/>
      <c r="GV8" s="62">
        <v>1</v>
      </c>
      <c r="GW8" s="62"/>
      <c r="GX8" s="60">
        <v>3</v>
      </c>
      <c r="GY8" s="60"/>
      <c r="GZ8" s="60">
        <v>5</v>
      </c>
      <c r="HA8" s="60"/>
      <c r="HB8" s="60">
        <f>1/3</f>
        <v>0.33333333333333331</v>
      </c>
      <c r="HC8" s="60"/>
      <c r="HD8" s="60">
        <f>1/5</f>
        <v>0.2</v>
      </c>
      <c r="HE8" s="60"/>
      <c r="HF8" s="60">
        <v>3</v>
      </c>
      <c r="HG8" s="60"/>
      <c r="HH8" s="60">
        <v>5</v>
      </c>
      <c r="HI8" s="60"/>
      <c r="HJ8" s="60">
        <f>1/3</f>
        <v>0.33333333333333331</v>
      </c>
      <c r="HK8" s="60"/>
      <c r="HN8" s="60" t="s">
        <v>85</v>
      </c>
      <c r="HO8" s="60"/>
      <c r="HP8" s="60">
        <f>1/HR6</f>
        <v>3</v>
      </c>
      <c r="HQ8" s="60"/>
      <c r="HR8" s="62">
        <v>1</v>
      </c>
      <c r="HS8" s="62"/>
      <c r="HT8" s="60">
        <f>1/5</f>
        <v>0.2</v>
      </c>
      <c r="HU8" s="60"/>
      <c r="HV8" s="60">
        <f>1/2</f>
        <v>0.5</v>
      </c>
      <c r="HW8" s="60"/>
      <c r="HX8" s="60">
        <f>1/2</f>
        <v>0.5</v>
      </c>
      <c r="HY8" s="60"/>
      <c r="HZ8" s="60">
        <v>3</v>
      </c>
      <c r="IA8" s="60"/>
      <c r="IB8" s="60">
        <v>3</v>
      </c>
      <c r="IC8" s="60"/>
      <c r="ID8" s="60">
        <v>3</v>
      </c>
      <c r="IE8" s="60"/>
      <c r="IF8" s="60">
        <v>3</v>
      </c>
      <c r="IG8" s="60"/>
      <c r="IK8" s="60" t="s">
        <v>85</v>
      </c>
      <c r="IL8" s="60"/>
      <c r="IM8" s="60">
        <f>1/IO6</f>
        <v>3</v>
      </c>
      <c r="IN8" s="60"/>
      <c r="IO8" s="62">
        <v>1</v>
      </c>
      <c r="IP8" s="62"/>
      <c r="IQ8" s="60">
        <f>1/5</f>
        <v>0.2</v>
      </c>
      <c r="IR8" s="60"/>
      <c r="IS8" s="60">
        <f>1/3</f>
        <v>0.33333333333333331</v>
      </c>
      <c r="IT8" s="60"/>
      <c r="IU8" s="60">
        <f>1/3</f>
        <v>0.33333333333333331</v>
      </c>
      <c r="IV8" s="60"/>
      <c r="IW8" s="60">
        <f>1/3</f>
        <v>0.33333333333333331</v>
      </c>
      <c r="IX8" s="60"/>
      <c r="IY8" s="60">
        <v>3</v>
      </c>
      <c r="IZ8" s="60"/>
      <c r="JA8" s="60">
        <v>5</v>
      </c>
      <c r="JB8" s="60"/>
      <c r="JC8" s="60">
        <v>3</v>
      </c>
      <c r="JD8" s="60"/>
      <c r="JI8" s="60" t="s">
        <v>79</v>
      </c>
      <c r="JJ8" s="60"/>
      <c r="JK8" s="60">
        <f>1/JM6</f>
        <v>0.33333333333333331</v>
      </c>
      <c r="JL8" s="60"/>
      <c r="JM8" s="62">
        <v>1</v>
      </c>
      <c r="JN8" s="62"/>
      <c r="JO8" s="60">
        <f>1/5</f>
        <v>0.2</v>
      </c>
      <c r="JP8" s="60"/>
      <c r="JQ8" s="60">
        <v>3</v>
      </c>
      <c r="JR8" s="60"/>
      <c r="JS8" s="60">
        <v>2</v>
      </c>
      <c r="JT8" s="60"/>
      <c r="JU8" s="60">
        <v>3</v>
      </c>
      <c r="JV8" s="60"/>
      <c r="JW8" s="60">
        <f>1/3</f>
        <v>0.33333333333333331</v>
      </c>
      <c r="JX8" s="60"/>
      <c r="JY8" s="60">
        <v>5</v>
      </c>
      <c r="JZ8" s="60"/>
      <c r="KA8" s="60">
        <v>3</v>
      </c>
      <c r="KB8" s="60"/>
      <c r="KF8" s="60" t="s">
        <v>85</v>
      </c>
      <c r="KG8" s="60"/>
      <c r="KH8" s="60">
        <f>1/KJ6</f>
        <v>0.5</v>
      </c>
      <c r="KI8" s="60"/>
      <c r="KJ8" s="62">
        <v>1</v>
      </c>
      <c r="KK8" s="62"/>
      <c r="KL8" s="60">
        <f>1/2</f>
        <v>0.5</v>
      </c>
      <c r="KM8" s="60"/>
      <c r="KN8" s="60">
        <f>1/2</f>
        <v>0.5</v>
      </c>
      <c r="KO8" s="60"/>
      <c r="KP8" s="60">
        <f>1/2</f>
        <v>0.5</v>
      </c>
      <c r="KQ8" s="60"/>
      <c r="KR8" s="60">
        <v>3</v>
      </c>
      <c r="KS8" s="60"/>
      <c r="KT8" s="60">
        <v>3</v>
      </c>
      <c r="KU8" s="60"/>
      <c r="KV8" s="60">
        <f>1/3</f>
        <v>0.33333333333333331</v>
      </c>
      <c r="KW8" s="60"/>
      <c r="KX8" s="60">
        <v>2</v>
      </c>
      <c r="KY8" s="60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</row>
    <row r="9" spans="2:371" x14ac:dyDescent="0.35">
      <c r="C9" s="60"/>
      <c r="D9" s="60"/>
      <c r="E9" s="60"/>
      <c r="F9" s="60"/>
      <c r="G9" s="62"/>
      <c r="H9" s="62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X9" s="60"/>
      <c r="Y9" s="60"/>
      <c r="Z9" s="60"/>
      <c r="AA9" s="60"/>
      <c r="AB9" s="62"/>
      <c r="AC9" s="62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S9" s="60"/>
      <c r="AT9" s="60"/>
      <c r="AU9" s="60"/>
      <c r="AV9" s="60"/>
      <c r="AW9" s="62"/>
      <c r="AX9" s="62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N9" s="60"/>
      <c r="BO9" s="60"/>
      <c r="BP9" s="60"/>
      <c r="BQ9" s="60"/>
      <c r="BR9" s="62"/>
      <c r="BS9" s="62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K9" s="60"/>
      <c r="CL9" s="60"/>
      <c r="CM9" s="60"/>
      <c r="CN9" s="60"/>
      <c r="CO9" s="62"/>
      <c r="CP9" s="62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F9" s="60"/>
      <c r="DG9" s="60"/>
      <c r="DH9" s="60"/>
      <c r="DI9" s="60"/>
      <c r="DJ9" s="62"/>
      <c r="DK9" s="62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EC9" s="60"/>
      <c r="ED9" s="60"/>
      <c r="EE9" s="60"/>
      <c r="EF9" s="60"/>
      <c r="EG9" s="62"/>
      <c r="EH9" s="62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Y9" s="60"/>
      <c r="EZ9" s="60"/>
      <c r="FA9" s="60"/>
      <c r="FB9" s="60"/>
      <c r="FC9" s="62"/>
      <c r="FD9" s="62"/>
      <c r="FE9" s="60"/>
      <c r="FF9" s="60"/>
      <c r="FG9" s="60"/>
      <c r="FH9" s="60"/>
      <c r="FI9" s="60"/>
      <c r="FJ9" s="60"/>
      <c r="FK9" s="60"/>
      <c r="FL9" s="60"/>
      <c r="FM9" s="60"/>
      <c r="FN9" s="60"/>
      <c r="FO9" s="60"/>
      <c r="FP9" s="60"/>
      <c r="FQ9" s="60"/>
      <c r="FR9" s="60"/>
      <c r="FV9" s="60"/>
      <c r="FW9" s="60"/>
      <c r="FX9" s="60"/>
      <c r="FY9" s="60"/>
      <c r="FZ9" s="62"/>
      <c r="GA9" s="62"/>
      <c r="GB9" s="60"/>
      <c r="GC9" s="60"/>
      <c r="GD9" s="60"/>
      <c r="GE9" s="60"/>
      <c r="GF9" s="60"/>
      <c r="GG9" s="60"/>
      <c r="GH9" s="60"/>
      <c r="GI9" s="60"/>
      <c r="GJ9" s="60"/>
      <c r="GK9" s="60"/>
      <c r="GL9" s="60"/>
      <c r="GM9" s="60"/>
      <c r="GN9" s="60"/>
      <c r="GO9" s="60"/>
      <c r="GR9" s="60"/>
      <c r="GS9" s="60"/>
      <c r="GT9" s="60"/>
      <c r="GU9" s="60"/>
      <c r="GV9" s="62"/>
      <c r="GW9" s="62"/>
      <c r="GX9" s="60"/>
      <c r="GY9" s="60"/>
      <c r="GZ9" s="60"/>
      <c r="HA9" s="60"/>
      <c r="HB9" s="60"/>
      <c r="HC9" s="60"/>
      <c r="HD9" s="60"/>
      <c r="HE9" s="60"/>
      <c r="HF9" s="60"/>
      <c r="HG9" s="60"/>
      <c r="HH9" s="60"/>
      <c r="HI9" s="60"/>
      <c r="HJ9" s="60"/>
      <c r="HK9" s="60"/>
      <c r="HN9" s="60"/>
      <c r="HO9" s="60"/>
      <c r="HP9" s="60"/>
      <c r="HQ9" s="60"/>
      <c r="HR9" s="62"/>
      <c r="HS9" s="62"/>
      <c r="HT9" s="60"/>
      <c r="HU9" s="60"/>
      <c r="HV9" s="60"/>
      <c r="HW9" s="60"/>
      <c r="HX9" s="60"/>
      <c r="HY9" s="60"/>
      <c r="HZ9" s="60"/>
      <c r="IA9" s="60"/>
      <c r="IB9" s="60"/>
      <c r="IC9" s="60"/>
      <c r="ID9" s="60"/>
      <c r="IE9" s="60"/>
      <c r="IF9" s="60"/>
      <c r="IG9" s="60"/>
      <c r="IK9" s="60"/>
      <c r="IL9" s="60"/>
      <c r="IM9" s="60"/>
      <c r="IN9" s="60"/>
      <c r="IO9" s="62"/>
      <c r="IP9" s="62"/>
      <c r="IQ9" s="60"/>
      <c r="IR9" s="60"/>
      <c r="IS9" s="60"/>
      <c r="IT9" s="60"/>
      <c r="IU9" s="60"/>
      <c r="IV9" s="60"/>
      <c r="IW9" s="60"/>
      <c r="IX9" s="60"/>
      <c r="IY9" s="60"/>
      <c r="IZ9" s="60"/>
      <c r="JA9" s="60"/>
      <c r="JB9" s="60"/>
      <c r="JC9" s="60"/>
      <c r="JD9" s="60"/>
      <c r="JI9" s="60"/>
      <c r="JJ9" s="60"/>
      <c r="JK9" s="60"/>
      <c r="JL9" s="60"/>
      <c r="JM9" s="62"/>
      <c r="JN9" s="62"/>
      <c r="JO9" s="60"/>
      <c r="JP9" s="60"/>
      <c r="JQ9" s="60"/>
      <c r="JR9" s="60"/>
      <c r="JS9" s="60"/>
      <c r="JT9" s="60"/>
      <c r="JU9" s="60"/>
      <c r="JV9" s="60"/>
      <c r="JW9" s="60"/>
      <c r="JX9" s="60"/>
      <c r="JY9" s="60"/>
      <c r="JZ9" s="60"/>
      <c r="KA9" s="60"/>
      <c r="KB9" s="60"/>
      <c r="KF9" s="60"/>
      <c r="KG9" s="60"/>
      <c r="KH9" s="60"/>
      <c r="KI9" s="60"/>
      <c r="KJ9" s="62"/>
      <c r="KK9" s="62"/>
      <c r="KL9" s="60"/>
      <c r="KM9" s="60"/>
      <c r="KN9" s="60"/>
      <c r="KO9" s="60"/>
      <c r="KP9" s="60"/>
      <c r="KQ9" s="60"/>
      <c r="KR9" s="60"/>
      <c r="KS9" s="60"/>
      <c r="KT9" s="60"/>
      <c r="KU9" s="60"/>
      <c r="KV9" s="60"/>
      <c r="KW9" s="60"/>
      <c r="KX9" s="60"/>
      <c r="KY9" s="60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</row>
    <row r="10" spans="2:371" ht="15" customHeight="1" x14ac:dyDescent="0.35">
      <c r="C10" s="60" t="s">
        <v>4</v>
      </c>
      <c r="D10" s="60"/>
      <c r="E10" s="60">
        <f>1/I6</f>
        <v>0.33333333333333331</v>
      </c>
      <c r="F10" s="60"/>
      <c r="G10" s="60">
        <f>1/I8</f>
        <v>2</v>
      </c>
      <c r="H10" s="60"/>
      <c r="I10" s="62">
        <v>1</v>
      </c>
      <c r="J10" s="62"/>
      <c r="K10" s="60">
        <v>2</v>
      </c>
      <c r="L10" s="60"/>
      <c r="M10" s="60">
        <f>1/2</f>
        <v>0.5</v>
      </c>
      <c r="N10" s="60"/>
      <c r="O10" s="60">
        <v>3</v>
      </c>
      <c r="P10" s="60"/>
      <c r="Q10" s="60">
        <v>3</v>
      </c>
      <c r="R10" s="60"/>
      <c r="S10" s="60">
        <f>1/3</f>
        <v>0.33333333333333331</v>
      </c>
      <c r="T10" s="60"/>
      <c r="U10" s="60">
        <f>1/2</f>
        <v>0.5</v>
      </c>
      <c r="V10" s="60"/>
      <c r="X10" s="60" t="s">
        <v>4</v>
      </c>
      <c r="Y10" s="60"/>
      <c r="Z10" s="60">
        <f>1/AD6</f>
        <v>3</v>
      </c>
      <c r="AA10" s="60"/>
      <c r="AB10" s="60">
        <f>1/AD8</f>
        <v>0.5</v>
      </c>
      <c r="AC10" s="60"/>
      <c r="AD10" s="62">
        <v>1</v>
      </c>
      <c r="AE10" s="62"/>
      <c r="AF10" s="60">
        <v>3</v>
      </c>
      <c r="AG10" s="60"/>
      <c r="AH10" s="60">
        <f>1/9</f>
        <v>0.1111111111111111</v>
      </c>
      <c r="AI10" s="60"/>
      <c r="AJ10" s="60">
        <f>1/3</f>
        <v>0.33333333333333331</v>
      </c>
      <c r="AK10" s="60"/>
      <c r="AL10" s="60">
        <v>2</v>
      </c>
      <c r="AM10" s="60"/>
      <c r="AN10" s="60">
        <v>3</v>
      </c>
      <c r="AO10" s="60"/>
      <c r="AP10" s="60">
        <f>1/7</f>
        <v>0.14285714285714285</v>
      </c>
      <c r="AQ10" s="60"/>
      <c r="AS10" s="60" t="s">
        <v>4</v>
      </c>
      <c r="AT10" s="60"/>
      <c r="AU10" s="60">
        <f>1/AY6</f>
        <v>2</v>
      </c>
      <c r="AV10" s="60"/>
      <c r="AW10" s="60">
        <f>1/AY8</f>
        <v>3</v>
      </c>
      <c r="AX10" s="60"/>
      <c r="AY10" s="62">
        <v>1</v>
      </c>
      <c r="AZ10" s="62"/>
      <c r="BA10" s="60">
        <v>3</v>
      </c>
      <c r="BB10" s="60"/>
      <c r="BC10" s="60">
        <f>1/3</f>
        <v>0.33333333333333331</v>
      </c>
      <c r="BD10" s="60"/>
      <c r="BE10" s="60">
        <f>1/3</f>
        <v>0.33333333333333331</v>
      </c>
      <c r="BF10" s="60"/>
      <c r="BG10" s="60">
        <v>2</v>
      </c>
      <c r="BH10" s="60"/>
      <c r="BI10" s="60">
        <f>1/3</f>
        <v>0.33333333333333331</v>
      </c>
      <c r="BJ10" s="60"/>
      <c r="BK10" s="60">
        <f>1/3</f>
        <v>0.33333333333333331</v>
      </c>
      <c r="BL10" s="60"/>
      <c r="BN10" s="60" t="s">
        <v>4</v>
      </c>
      <c r="BO10" s="60"/>
      <c r="BP10" s="60">
        <f>1/BT6</f>
        <v>2</v>
      </c>
      <c r="BQ10" s="60"/>
      <c r="BR10" s="60">
        <f>1/BT8</f>
        <v>3</v>
      </c>
      <c r="BS10" s="60"/>
      <c r="BT10" s="62">
        <v>1</v>
      </c>
      <c r="BU10" s="62"/>
      <c r="BV10" s="60">
        <v>2</v>
      </c>
      <c r="BW10" s="60"/>
      <c r="BX10" s="60">
        <f>1/3</f>
        <v>0.33333333333333331</v>
      </c>
      <c r="BY10" s="60"/>
      <c r="BZ10" s="60">
        <v>3</v>
      </c>
      <c r="CA10" s="60"/>
      <c r="CB10" s="60">
        <f>1/3</f>
        <v>0.33333333333333331</v>
      </c>
      <c r="CC10" s="60"/>
      <c r="CD10" s="60">
        <v>3</v>
      </c>
      <c r="CE10" s="60"/>
      <c r="CF10" s="60">
        <v>2</v>
      </c>
      <c r="CG10" s="60"/>
      <c r="CK10" s="60" t="s">
        <v>4</v>
      </c>
      <c r="CL10" s="60"/>
      <c r="CM10" s="60">
        <f>1/CQ6</f>
        <v>0.33333333333333331</v>
      </c>
      <c r="CN10" s="60"/>
      <c r="CO10" s="60">
        <f>1/CQ8</f>
        <v>2</v>
      </c>
      <c r="CP10" s="60"/>
      <c r="CQ10" s="62">
        <v>1</v>
      </c>
      <c r="CR10" s="62"/>
      <c r="CS10" s="60">
        <f>1/3</f>
        <v>0.33333333333333331</v>
      </c>
      <c r="CT10" s="60"/>
      <c r="CU10" s="60">
        <v>3</v>
      </c>
      <c r="CV10" s="60"/>
      <c r="CW10" s="60">
        <v>3</v>
      </c>
      <c r="CX10" s="60"/>
      <c r="CY10" s="60">
        <v>3</v>
      </c>
      <c r="CZ10" s="60"/>
      <c r="DA10" s="60">
        <f>1/3</f>
        <v>0.33333333333333331</v>
      </c>
      <c r="DB10" s="60"/>
      <c r="DC10" s="60">
        <f>1/3</f>
        <v>0.33333333333333331</v>
      </c>
      <c r="DD10" s="60"/>
      <c r="DF10" s="60" t="s">
        <v>4</v>
      </c>
      <c r="DG10" s="60"/>
      <c r="DH10" s="60">
        <f>1/DL6</f>
        <v>0.5</v>
      </c>
      <c r="DI10" s="60"/>
      <c r="DJ10" s="60">
        <f>1/DL8</f>
        <v>5</v>
      </c>
      <c r="DK10" s="60"/>
      <c r="DL10" s="62">
        <v>1</v>
      </c>
      <c r="DM10" s="62"/>
      <c r="DN10" s="60">
        <v>5</v>
      </c>
      <c r="DO10" s="60"/>
      <c r="DP10" s="60">
        <f>1/3</f>
        <v>0.33333333333333331</v>
      </c>
      <c r="DQ10" s="60"/>
      <c r="DR10" s="60">
        <v>3</v>
      </c>
      <c r="DS10" s="60"/>
      <c r="DT10" s="60">
        <v>3</v>
      </c>
      <c r="DU10" s="60"/>
      <c r="DV10" s="60">
        <f>1/3</f>
        <v>0.33333333333333331</v>
      </c>
      <c r="DW10" s="60"/>
      <c r="DX10" s="60">
        <f>1/2</f>
        <v>0.5</v>
      </c>
      <c r="DY10" s="60"/>
      <c r="EC10" s="60" t="s">
        <v>4</v>
      </c>
      <c r="ED10" s="60"/>
      <c r="EE10" s="60">
        <f>1/EI6</f>
        <v>0.33333333333333331</v>
      </c>
      <c r="EF10" s="60"/>
      <c r="EG10" s="60">
        <f>1/EI8</f>
        <v>5</v>
      </c>
      <c r="EH10" s="60"/>
      <c r="EI10" s="62">
        <v>1</v>
      </c>
      <c r="EJ10" s="62"/>
      <c r="EK10" s="60">
        <v>3</v>
      </c>
      <c r="EL10" s="60"/>
      <c r="EM10" s="60">
        <f>1/2</f>
        <v>0.5</v>
      </c>
      <c r="EN10" s="60"/>
      <c r="EO10" s="60">
        <v>3</v>
      </c>
      <c r="EP10" s="60"/>
      <c r="EQ10" s="60">
        <v>5</v>
      </c>
      <c r="ER10" s="60"/>
      <c r="ES10" s="60">
        <f>1/3</f>
        <v>0.33333333333333331</v>
      </c>
      <c r="ET10" s="60"/>
      <c r="EU10" s="60">
        <f>1/3</f>
        <v>0.33333333333333331</v>
      </c>
      <c r="EV10" s="60"/>
      <c r="EY10" s="60" t="s">
        <v>4</v>
      </c>
      <c r="EZ10" s="60"/>
      <c r="FA10" s="60">
        <f>1/FE6</f>
        <v>0.5</v>
      </c>
      <c r="FB10" s="60"/>
      <c r="FC10" s="60">
        <f>1/FE8</f>
        <v>2</v>
      </c>
      <c r="FD10" s="60"/>
      <c r="FE10" s="62">
        <v>1</v>
      </c>
      <c r="FF10" s="62"/>
      <c r="FG10" s="60">
        <v>3</v>
      </c>
      <c r="FH10" s="60"/>
      <c r="FI10" s="60">
        <f>1/3</f>
        <v>0.33333333333333331</v>
      </c>
      <c r="FJ10" s="60"/>
      <c r="FK10" s="60">
        <v>3</v>
      </c>
      <c r="FL10" s="60"/>
      <c r="FM10" s="60">
        <v>3</v>
      </c>
      <c r="FN10" s="60"/>
      <c r="FO10" s="60">
        <v>3</v>
      </c>
      <c r="FP10" s="60"/>
      <c r="FQ10" s="60">
        <f>1/3</f>
        <v>0.33333333333333331</v>
      </c>
      <c r="FR10" s="60"/>
      <c r="FV10" s="60" t="s">
        <v>4</v>
      </c>
      <c r="FW10" s="60"/>
      <c r="FX10" s="60">
        <f>1/GB6</f>
        <v>0.33333333333333331</v>
      </c>
      <c r="FY10" s="60"/>
      <c r="FZ10" s="60">
        <f>1/GB8</f>
        <v>3</v>
      </c>
      <c r="GA10" s="60"/>
      <c r="GB10" s="62">
        <v>1</v>
      </c>
      <c r="GC10" s="62"/>
      <c r="GD10" s="60">
        <f>1/5</f>
        <v>0.2</v>
      </c>
      <c r="GE10" s="60"/>
      <c r="GF10" s="60">
        <f>1/5</f>
        <v>0.2</v>
      </c>
      <c r="GG10" s="60"/>
      <c r="GH10" s="60">
        <v>3</v>
      </c>
      <c r="GI10" s="60"/>
      <c r="GJ10" s="60">
        <v>5</v>
      </c>
      <c r="GK10" s="60"/>
      <c r="GL10" s="60">
        <f>1/3</f>
        <v>0.33333333333333331</v>
      </c>
      <c r="GM10" s="60"/>
      <c r="GN10" s="60">
        <f>1/3</f>
        <v>0.33333333333333331</v>
      </c>
      <c r="GO10" s="60"/>
      <c r="GR10" s="60" t="s">
        <v>4</v>
      </c>
      <c r="GS10" s="60"/>
      <c r="GT10" s="60">
        <f>1/GX6</f>
        <v>3</v>
      </c>
      <c r="GU10" s="60"/>
      <c r="GV10" s="60">
        <f>1/GX8</f>
        <v>0.33333333333333331</v>
      </c>
      <c r="GW10" s="60"/>
      <c r="GX10" s="62">
        <v>1</v>
      </c>
      <c r="GY10" s="62"/>
      <c r="GZ10" s="60">
        <v>3</v>
      </c>
      <c r="HA10" s="60"/>
      <c r="HB10" s="60">
        <f>1/5</f>
        <v>0.2</v>
      </c>
      <c r="HC10" s="60"/>
      <c r="HD10" s="60">
        <v>3</v>
      </c>
      <c r="HE10" s="60"/>
      <c r="HF10" s="60">
        <v>3</v>
      </c>
      <c r="HG10" s="60"/>
      <c r="HH10" s="60">
        <v>3</v>
      </c>
      <c r="HI10" s="60"/>
      <c r="HJ10" s="60">
        <v>3</v>
      </c>
      <c r="HK10" s="60"/>
      <c r="HN10" s="60" t="s">
        <v>4</v>
      </c>
      <c r="HO10" s="60"/>
      <c r="HP10" s="60">
        <f>1/HT6</f>
        <v>0.33333333333333331</v>
      </c>
      <c r="HQ10" s="60"/>
      <c r="HR10" s="60">
        <f>1/HT8</f>
        <v>5</v>
      </c>
      <c r="HS10" s="60"/>
      <c r="HT10" s="62">
        <v>1</v>
      </c>
      <c r="HU10" s="62"/>
      <c r="HV10" s="60">
        <v>3</v>
      </c>
      <c r="HW10" s="60"/>
      <c r="HX10" s="60">
        <f>1/3</f>
        <v>0.33333333333333331</v>
      </c>
      <c r="HY10" s="60"/>
      <c r="HZ10" s="60">
        <v>3</v>
      </c>
      <c r="IA10" s="60"/>
      <c r="IB10" s="60">
        <v>5</v>
      </c>
      <c r="IC10" s="60"/>
      <c r="ID10" s="60">
        <f>1/3</f>
        <v>0.33333333333333331</v>
      </c>
      <c r="IE10" s="60"/>
      <c r="IF10" s="60">
        <f>1/2</f>
        <v>0.5</v>
      </c>
      <c r="IG10" s="60"/>
      <c r="IK10" s="60" t="s">
        <v>4</v>
      </c>
      <c r="IL10" s="60"/>
      <c r="IM10" s="60">
        <f>1/IQ6</f>
        <v>0.2</v>
      </c>
      <c r="IN10" s="60"/>
      <c r="IO10" s="60">
        <f>1/IQ8</f>
        <v>5</v>
      </c>
      <c r="IP10" s="60"/>
      <c r="IQ10" s="62">
        <v>1</v>
      </c>
      <c r="IR10" s="62"/>
      <c r="IS10" s="60">
        <v>3</v>
      </c>
      <c r="IT10" s="60"/>
      <c r="IU10" s="60">
        <f>1/5</f>
        <v>0.2</v>
      </c>
      <c r="IV10" s="60"/>
      <c r="IW10" s="60">
        <v>3</v>
      </c>
      <c r="IX10" s="60"/>
      <c r="IY10" s="60">
        <f>1/3</f>
        <v>0.33333333333333331</v>
      </c>
      <c r="IZ10" s="60"/>
      <c r="JA10" s="60">
        <f>1/3</f>
        <v>0.33333333333333331</v>
      </c>
      <c r="JB10" s="60"/>
      <c r="JC10" s="60">
        <f>1/5</f>
        <v>0.2</v>
      </c>
      <c r="JD10" s="60"/>
      <c r="JI10" s="60" t="s">
        <v>4</v>
      </c>
      <c r="JJ10" s="60"/>
      <c r="JK10" s="60">
        <f>1/JO6</f>
        <v>3</v>
      </c>
      <c r="JL10" s="60"/>
      <c r="JM10" s="60">
        <f>1/JO8</f>
        <v>5</v>
      </c>
      <c r="JN10" s="60"/>
      <c r="JO10" s="62">
        <v>1</v>
      </c>
      <c r="JP10" s="62"/>
      <c r="JQ10" s="60">
        <v>2</v>
      </c>
      <c r="JR10" s="60"/>
      <c r="JS10" s="60">
        <f>1/3</f>
        <v>0.33333333333333331</v>
      </c>
      <c r="JT10" s="60"/>
      <c r="JU10" s="60">
        <v>3</v>
      </c>
      <c r="JV10" s="60"/>
      <c r="JW10" s="60">
        <f>1/3</f>
        <v>0.33333333333333331</v>
      </c>
      <c r="JX10" s="60"/>
      <c r="JY10" s="60">
        <v>5</v>
      </c>
      <c r="JZ10" s="60"/>
      <c r="KA10" s="60">
        <v>3</v>
      </c>
      <c r="KB10" s="60"/>
      <c r="KF10" s="60" t="s">
        <v>4</v>
      </c>
      <c r="KG10" s="60"/>
      <c r="KH10" s="60">
        <f>1/KL6</f>
        <v>0.33333333333333331</v>
      </c>
      <c r="KI10" s="60"/>
      <c r="KJ10" s="60">
        <f>1/KL8</f>
        <v>2</v>
      </c>
      <c r="KK10" s="60"/>
      <c r="KL10" s="62">
        <v>1</v>
      </c>
      <c r="KM10" s="62"/>
      <c r="KN10" s="60">
        <f>1/3</f>
        <v>0.33333333333333331</v>
      </c>
      <c r="KO10" s="60"/>
      <c r="KP10" s="60">
        <f>1/3</f>
        <v>0.33333333333333331</v>
      </c>
      <c r="KQ10" s="60"/>
      <c r="KR10" s="60">
        <v>2</v>
      </c>
      <c r="KS10" s="60"/>
      <c r="KT10" s="60">
        <v>3</v>
      </c>
      <c r="KU10" s="60"/>
      <c r="KV10" s="60">
        <v>3</v>
      </c>
      <c r="KW10" s="60"/>
      <c r="KX10" s="60">
        <f>1/3</f>
        <v>0.33333333333333331</v>
      </c>
      <c r="KY10" s="60"/>
      <c r="LA10" s="46"/>
      <c r="LB10" s="46"/>
      <c r="LC10" s="46"/>
      <c r="LD10" s="46"/>
      <c r="LE10" s="46"/>
      <c r="LF10" s="46"/>
      <c r="LG10" s="46"/>
      <c r="LH10" s="46"/>
      <c r="LI10" s="46"/>
      <c r="LJ10" s="46"/>
      <c r="LK10" s="46"/>
      <c r="LL10" s="46"/>
      <c r="LM10" s="46"/>
      <c r="LN10" s="46"/>
      <c r="LO10" s="46"/>
      <c r="LP10" s="46"/>
      <c r="LQ10" s="46"/>
      <c r="LR10" s="46"/>
      <c r="LS10" s="46"/>
      <c r="LT10" s="46"/>
      <c r="LU10" s="46"/>
      <c r="LV10" s="46"/>
      <c r="LW10" s="46"/>
      <c r="LX10" s="46"/>
      <c r="LY10" s="46"/>
      <c r="LZ10" s="46"/>
      <c r="MA10" s="46"/>
      <c r="MB10" s="46"/>
      <c r="MC10" s="46"/>
      <c r="MD10" s="46"/>
      <c r="ME10" s="46"/>
      <c r="MF10" s="46"/>
      <c r="MG10" s="46"/>
      <c r="MH10" s="46"/>
      <c r="MI10" s="46"/>
      <c r="MJ10" s="46"/>
      <c r="MK10" s="46"/>
      <c r="ML10" s="46"/>
      <c r="MM10" s="46"/>
      <c r="MN10" s="46"/>
      <c r="MO10" s="46"/>
      <c r="MP10" s="46"/>
      <c r="MQ10" s="46"/>
      <c r="MR10" s="46"/>
      <c r="MS10" s="46"/>
      <c r="MT10" s="46"/>
      <c r="MU10" s="46"/>
      <c r="MV10" s="46"/>
      <c r="MW10" s="46"/>
      <c r="MX10" s="46"/>
      <c r="MY10" s="46"/>
      <c r="MZ10" s="46"/>
      <c r="NA10" s="46"/>
      <c r="NB10" s="46"/>
      <c r="NC10" s="46"/>
      <c r="ND10" s="46"/>
      <c r="NE10" s="46"/>
      <c r="NF10" s="46"/>
      <c r="NG10" s="46"/>
    </row>
    <row r="11" spans="2:371" x14ac:dyDescent="0.35">
      <c r="C11" s="60"/>
      <c r="D11" s="60"/>
      <c r="E11" s="60"/>
      <c r="F11" s="60"/>
      <c r="G11" s="60"/>
      <c r="H11" s="60"/>
      <c r="I11" s="62"/>
      <c r="J11" s="62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X11" s="60"/>
      <c r="Y11" s="60"/>
      <c r="Z11" s="60"/>
      <c r="AA11" s="60"/>
      <c r="AB11" s="60"/>
      <c r="AC11" s="60"/>
      <c r="AD11" s="62"/>
      <c r="AE11" s="62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S11" s="60"/>
      <c r="AT11" s="60"/>
      <c r="AU11" s="60"/>
      <c r="AV11" s="60"/>
      <c r="AW11" s="60"/>
      <c r="AX11" s="60"/>
      <c r="AY11" s="62"/>
      <c r="AZ11" s="62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N11" s="60"/>
      <c r="BO11" s="60"/>
      <c r="BP11" s="60"/>
      <c r="BQ11" s="60"/>
      <c r="BR11" s="60"/>
      <c r="BS11" s="60"/>
      <c r="BT11" s="62"/>
      <c r="BU11" s="62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K11" s="60"/>
      <c r="CL11" s="60"/>
      <c r="CM11" s="60"/>
      <c r="CN11" s="60"/>
      <c r="CO11" s="60"/>
      <c r="CP11" s="60"/>
      <c r="CQ11" s="62"/>
      <c r="CR11" s="62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F11" s="60"/>
      <c r="DG11" s="60"/>
      <c r="DH11" s="60"/>
      <c r="DI11" s="60"/>
      <c r="DJ11" s="60"/>
      <c r="DK11" s="60"/>
      <c r="DL11" s="62"/>
      <c r="DM11" s="62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EC11" s="60"/>
      <c r="ED11" s="60"/>
      <c r="EE11" s="60"/>
      <c r="EF11" s="60"/>
      <c r="EG11" s="60"/>
      <c r="EH11" s="60"/>
      <c r="EI11" s="62"/>
      <c r="EJ11" s="62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Y11" s="60"/>
      <c r="EZ11" s="60"/>
      <c r="FA11" s="60"/>
      <c r="FB11" s="60"/>
      <c r="FC11" s="60"/>
      <c r="FD11" s="60"/>
      <c r="FE11" s="62"/>
      <c r="FF11" s="62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V11" s="60"/>
      <c r="FW11" s="60"/>
      <c r="FX11" s="60"/>
      <c r="FY11" s="60"/>
      <c r="FZ11" s="60"/>
      <c r="GA11" s="60"/>
      <c r="GB11" s="62"/>
      <c r="GC11" s="62"/>
      <c r="GD11" s="60"/>
      <c r="GE11" s="60"/>
      <c r="GF11" s="60"/>
      <c r="GG11" s="60"/>
      <c r="GH11" s="60"/>
      <c r="GI11" s="60"/>
      <c r="GJ11" s="60"/>
      <c r="GK11" s="60"/>
      <c r="GL11" s="60"/>
      <c r="GM11" s="60"/>
      <c r="GN11" s="60"/>
      <c r="GO11" s="60"/>
      <c r="GR11" s="60"/>
      <c r="GS11" s="60"/>
      <c r="GT11" s="60"/>
      <c r="GU11" s="60"/>
      <c r="GV11" s="60"/>
      <c r="GW11" s="60"/>
      <c r="GX11" s="62"/>
      <c r="GY11" s="62"/>
      <c r="GZ11" s="60"/>
      <c r="HA11" s="60"/>
      <c r="HB11" s="60"/>
      <c r="HC11" s="60"/>
      <c r="HD11" s="60"/>
      <c r="HE11" s="60"/>
      <c r="HF11" s="60"/>
      <c r="HG11" s="60"/>
      <c r="HH11" s="60"/>
      <c r="HI11" s="60"/>
      <c r="HJ11" s="60"/>
      <c r="HK11" s="60"/>
      <c r="HN11" s="60"/>
      <c r="HO11" s="60"/>
      <c r="HP11" s="60"/>
      <c r="HQ11" s="60"/>
      <c r="HR11" s="60"/>
      <c r="HS11" s="60"/>
      <c r="HT11" s="62"/>
      <c r="HU11" s="62"/>
      <c r="HV11" s="60"/>
      <c r="HW11" s="60"/>
      <c r="HX11" s="60"/>
      <c r="HY11" s="60"/>
      <c r="HZ11" s="60"/>
      <c r="IA11" s="60"/>
      <c r="IB11" s="60"/>
      <c r="IC11" s="60"/>
      <c r="ID11" s="60"/>
      <c r="IE11" s="60"/>
      <c r="IF11" s="60"/>
      <c r="IG11" s="60"/>
      <c r="IK11" s="60"/>
      <c r="IL11" s="60"/>
      <c r="IM11" s="60"/>
      <c r="IN11" s="60"/>
      <c r="IO11" s="60"/>
      <c r="IP11" s="60"/>
      <c r="IQ11" s="62"/>
      <c r="IR11" s="62"/>
      <c r="IS11" s="60"/>
      <c r="IT11" s="60"/>
      <c r="IU11" s="60"/>
      <c r="IV11" s="60"/>
      <c r="IW11" s="60"/>
      <c r="IX11" s="60"/>
      <c r="IY11" s="60"/>
      <c r="IZ11" s="60"/>
      <c r="JA11" s="60"/>
      <c r="JB11" s="60"/>
      <c r="JC11" s="60"/>
      <c r="JD11" s="60"/>
      <c r="JI11" s="60"/>
      <c r="JJ11" s="60"/>
      <c r="JK11" s="60"/>
      <c r="JL11" s="60"/>
      <c r="JM11" s="60"/>
      <c r="JN11" s="60"/>
      <c r="JO11" s="62"/>
      <c r="JP11" s="62"/>
      <c r="JQ11" s="60"/>
      <c r="JR11" s="60"/>
      <c r="JS11" s="60"/>
      <c r="JT11" s="60"/>
      <c r="JU11" s="60"/>
      <c r="JV11" s="60"/>
      <c r="JW11" s="60"/>
      <c r="JX11" s="60"/>
      <c r="JY11" s="60"/>
      <c r="JZ11" s="60"/>
      <c r="KA11" s="60"/>
      <c r="KB11" s="60"/>
      <c r="KF11" s="60"/>
      <c r="KG11" s="60"/>
      <c r="KH11" s="60"/>
      <c r="KI11" s="60"/>
      <c r="KJ11" s="60"/>
      <c r="KK11" s="60"/>
      <c r="KL11" s="62"/>
      <c r="KM11" s="62"/>
      <c r="KN11" s="60"/>
      <c r="KO11" s="60"/>
      <c r="KP11" s="60"/>
      <c r="KQ11" s="60"/>
      <c r="KR11" s="60"/>
      <c r="KS11" s="60"/>
      <c r="KT11" s="60"/>
      <c r="KU11" s="60"/>
      <c r="KV11" s="60"/>
      <c r="KW11" s="60"/>
      <c r="KX11" s="60"/>
      <c r="KY11" s="60"/>
      <c r="LA11" s="46"/>
      <c r="LB11" s="46"/>
      <c r="LC11" s="46"/>
      <c r="LD11" s="46"/>
      <c r="LE11" s="46"/>
      <c r="LF11" s="46"/>
      <c r="LG11" s="46"/>
      <c r="LH11" s="46"/>
      <c r="LI11" s="46"/>
      <c r="LJ11" s="46"/>
      <c r="LK11" s="46"/>
      <c r="LL11" s="46"/>
      <c r="LM11" s="46"/>
      <c r="LN11" s="46"/>
      <c r="LO11" s="46"/>
      <c r="LP11" s="46"/>
      <c r="LQ11" s="46"/>
      <c r="LR11" s="46"/>
      <c r="LS11" s="46"/>
      <c r="LT11" s="46"/>
      <c r="LU11" s="46"/>
      <c r="LV11" s="46"/>
      <c r="LW11" s="46"/>
      <c r="LX11" s="46"/>
      <c r="LY11" s="46"/>
      <c r="LZ11" s="46"/>
      <c r="MA11" s="46"/>
      <c r="MB11" s="46"/>
      <c r="MC11" s="46"/>
      <c r="MD11" s="46"/>
      <c r="ME11" s="46"/>
      <c r="MF11" s="46"/>
      <c r="MG11" s="46"/>
      <c r="MH11" s="46"/>
      <c r="MI11" s="46"/>
      <c r="MJ11" s="46"/>
      <c r="MK11" s="46"/>
      <c r="ML11" s="46"/>
      <c r="MM11" s="46"/>
      <c r="MN11" s="46"/>
      <c r="MO11" s="46"/>
      <c r="MP11" s="46"/>
      <c r="MQ11" s="46"/>
      <c r="MR11" s="46"/>
      <c r="MS11" s="46"/>
      <c r="MT11" s="46"/>
      <c r="MU11" s="46"/>
      <c r="MV11" s="46"/>
      <c r="MW11" s="46"/>
      <c r="MX11" s="46"/>
      <c r="MY11" s="46"/>
      <c r="MZ11" s="46"/>
      <c r="NA11" s="46"/>
      <c r="NB11" s="46"/>
      <c r="NC11" s="46"/>
      <c r="ND11" s="46"/>
      <c r="NE11" s="46"/>
      <c r="NF11" s="46"/>
      <c r="NG11" s="46"/>
    </row>
    <row r="12" spans="2:371" ht="15" customHeight="1" x14ac:dyDescent="0.35">
      <c r="C12" s="60" t="s">
        <v>5</v>
      </c>
      <c r="D12" s="60"/>
      <c r="E12" s="60">
        <f>1/K6</f>
        <v>0.33333333333333331</v>
      </c>
      <c r="F12" s="60"/>
      <c r="G12" s="60">
        <f>1/K8</f>
        <v>3</v>
      </c>
      <c r="H12" s="60"/>
      <c r="I12" s="60">
        <f>1/K10</f>
        <v>0.5</v>
      </c>
      <c r="J12" s="60"/>
      <c r="K12" s="62">
        <v>1</v>
      </c>
      <c r="L12" s="62"/>
      <c r="M12" s="60">
        <f>1/2</f>
        <v>0.5</v>
      </c>
      <c r="N12" s="60"/>
      <c r="O12" s="60">
        <f>1/2</f>
        <v>0.5</v>
      </c>
      <c r="P12" s="60"/>
      <c r="Q12" s="60">
        <f>1/3</f>
        <v>0.33333333333333331</v>
      </c>
      <c r="R12" s="60"/>
      <c r="S12" s="60">
        <v>3</v>
      </c>
      <c r="T12" s="60"/>
      <c r="U12" s="60">
        <f>1/3</f>
        <v>0.33333333333333331</v>
      </c>
      <c r="V12" s="60"/>
      <c r="X12" s="60" t="s">
        <v>5</v>
      </c>
      <c r="Y12" s="60"/>
      <c r="Z12" s="60">
        <f>1/AF6</f>
        <v>2</v>
      </c>
      <c r="AA12" s="60"/>
      <c r="AB12" s="60">
        <f>1/AF8</f>
        <v>0.5</v>
      </c>
      <c r="AC12" s="60"/>
      <c r="AD12" s="60">
        <f>1/AF10</f>
        <v>0.33333333333333331</v>
      </c>
      <c r="AE12" s="60"/>
      <c r="AF12" s="62">
        <v>1</v>
      </c>
      <c r="AG12" s="62"/>
      <c r="AH12" s="60">
        <v>5</v>
      </c>
      <c r="AI12" s="60"/>
      <c r="AJ12" s="60">
        <f>1/2</f>
        <v>0.5</v>
      </c>
      <c r="AK12" s="60"/>
      <c r="AL12" s="60">
        <v>2</v>
      </c>
      <c r="AM12" s="60"/>
      <c r="AN12" s="60">
        <f>1/3</f>
        <v>0.33333333333333331</v>
      </c>
      <c r="AO12" s="60"/>
      <c r="AP12" s="60">
        <v>2</v>
      </c>
      <c r="AQ12" s="60"/>
      <c r="AS12" s="60" t="s">
        <v>5</v>
      </c>
      <c r="AT12" s="60"/>
      <c r="AU12" s="60">
        <f>1/BA6</f>
        <v>0.33333333333333331</v>
      </c>
      <c r="AV12" s="60"/>
      <c r="AW12" s="60">
        <f>1/BA8</f>
        <v>0.33333333333333331</v>
      </c>
      <c r="AX12" s="60"/>
      <c r="AY12" s="60">
        <f>1/BA10</f>
        <v>0.33333333333333331</v>
      </c>
      <c r="AZ12" s="60"/>
      <c r="BA12" s="62">
        <v>1</v>
      </c>
      <c r="BB12" s="62"/>
      <c r="BC12" s="60">
        <v>3</v>
      </c>
      <c r="BD12" s="60"/>
      <c r="BE12" s="60">
        <v>3</v>
      </c>
      <c r="BF12" s="60"/>
      <c r="BG12" s="60">
        <f>1/2</f>
        <v>0.5</v>
      </c>
      <c r="BH12" s="60"/>
      <c r="BI12" s="60">
        <v>3</v>
      </c>
      <c r="BJ12" s="60"/>
      <c r="BK12" s="60">
        <f>1/3</f>
        <v>0.33333333333333331</v>
      </c>
      <c r="BL12" s="60"/>
      <c r="BN12" s="60" t="s">
        <v>5</v>
      </c>
      <c r="BO12" s="60"/>
      <c r="BP12" s="60">
        <f>1/BV6</f>
        <v>0.33333333333333331</v>
      </c>
      <c r="BQ12" s="60"/>
      <c r="BR12" s="60">
        <f>1/BV8</f>
        <v>0.33333333333333331</v>
      </c>
      <c r="BS12" s="60"/>
      <c r="BT12" s="60">
        <f>1/BV10</f>
        <v>0.5</v>
      </c>
      <c r="BU12" s="60"/>
      <c r="BV12" s="62">
        <v>1</v>
      </c>
      <c r="BW12" s="62"/>
      <c r="BX12" s="60">
        <f>1/3</f>
        <v>0.33333333333333331</v>
      </c>
      <c r="BY12" s="60"/>
      <c r="BZ12" s="60">
        <v>2</v>
      </c>
      <c r="CA12" s="60"/>
      <c r="CB12" s="60">
        <v>3</v>
      </c>
      <c r="CC12" s="60"/>
      <c r="CD12" s="60">
        <f>1/3</f>
        <v>0.33333333333333331</v>
      </c>
      <c r="CE12" s="60"/>
      <c r="CF12" s="60">
        <f>1/3</f>
        <v>0.33333333333333331</v>
      </c>
      <c r="CG12" s="60"/>
      <c r="CK12" s="60" t="s">
        <v>5</v>
      </c>
      <c r="CL12" s="60"/>
      <c r="CM12" s="60">
        <f>1/CS6</f>
        <v>4</v>
      </c>
      <c r="CN12" s="60"/>
      <c r="CO12" s="60">
        <f>1/CS8</f>
        <v>2</v>
      </c>
      <c r="CP12" s="60"/>
      <c r="CQ12" s="60">
        <f>1/CS10</f>
        <v>3</v>
      </c>
      <c r="CR12" s="60"/>
      <c r="CS12" s="62">
        <v>1</v>
      </c>
      <c r="CT12" s="62"/>
      <c r="CU12" s="60">
        <f>1/3</f>
        <v>0.33333333333333331</v>
      </c>
      <c r="CV12" s="60"/>
      <c r="CW12" s="60">
        <f>1/3</f>
        <v>0.33333333333333331</v>
      </c>
      <c r="CX12" s="60"/>
      <c r="CY12" s="60">
        <f>1/5</f>
        <v>0.2</v>
      </c>
      <c r="CZ12" s="60"/>
      <c r="DA12" s="60">
        <f>1/3</f>
        <v>0.33333333333333331</v>
      </c>
      <c r="DB12" s="60"/>
      <c r="DC12" s="60">
        <v>3</v>
      </c>
      <c r="DD12" s="60"/>
      <c r="DF12" s="60" t="s">
        <v>5</v>
      </c>
      <c r="DG12" s="60"/>
      <c r="DH12" s="60">
        <f>1/DN6</f>
        <v>0.33333333333333331</v>
      </c>
      <c r="DI12" s="60"/>
      <c r="DJ12" s="60">
        <f>1/DN8</f>
        <v>0.33333333333333331</v>
      </c>
      <c r="DK12" s="60"/>
      <c r="DL12" s="60">
        <f>1/DN10</f>
        <v>0.2</v>
      </c>
      <c r="DM12" s="60"/>
      <c r="DN12" s="62">
        <v>1</v>
      </c>
      <c r="DO12" s="62"/>
      <c r="DP12" s="60">
        <f>1/2</f>
        <v>0.5</v>
      </c>
      <c r="DQ12" s="60"/>
      <c r="DR12" s="60">
        <v>3</v>
      </c>
      <c r="DS12" s="60"/>
      <c r="DT12" s="60">
        <v>3</v>
      </c>
      <c r="DU12" s="60"/>
      <c r="DV12" s="60">
        <f>1/3</f>
        <v>0.33333333333333331</v>
      </c>
      <c r="DW12" s="60"/>
      <c r="DX12" s="60">
        <f>1/3</f>
        <v>0.33333333333333331</v>
      </c>
      <c r="DY12" s="60"/>
      <c r="EC12" s="60" t="s">
        <v>5</v>
      </c>
      <c r="ED12" s="60"/>
      <c r="EE12" s="60">
        <f>1/EK6</f>
        <v>3</v>
      </c>
      <c r="EF12" s="60"/>
      <c r="EG12" s="60">
        <f>1/EK8</f>
        <v>3</v>
      </c>
      <c r="EH12" s="60"/>
      <c r="EI12" s="60">
        <f>1/EK10</f>
        <v>0.33333333333333331</v>
      </c>
      <c r="EJ12" s="60"/>
      <c r="EK12" s="62">
        <v>1</v>
      </c>
      <c r="EL12" s="62"/>
      <c r="EM12" s="60">
        <f>1/3</f>
        <v>0.33333333333333331</v>
      </c>
      <c r="EN12" s="60"/>
      <c r="EO12" s="60">
        <v>5</v>
      </c>
      <c r="EP12" s="60"/>
      <c r="EQ12" s="60">
        <v>5</v>
      </c>
      <c r="ER12" s="60"/>
      <c r="ES12" s="60">
        <v>3</v>
      </c>
      <c r="ET12" s="60"/>
      <c r="EU12" s="60">
        <f>1/3</f>
        <v>0.33333333333333331</v>
      </c>
      <c r="EV12" s="60"/>
      <c r="EY12" s="60" t="s">
        <v>5</v>
      </c>
      <c r="EZ12" s="60"/>
      <c r="FA12" s="60">
        <f>1/FG6</f>
        <v>3</v>
      </c>
      <c r="FB12" s="60"/>
      <c r="FC12" s="60">
        <f>1/FG8</f>
        <v>0.33333333333333331</v>
      </c>
      <c r="FD12" s="60"/>
      <c r="FE12" s="60">
        <f>1/FG10</f>
        <v>0.33333333333333331</v>
      </c>
      <c r="FF12" s="60"/>
      <c r="FG12" s="62">
        <v>1</v>
      </c>
      <c r="FH12" s="62"/>
      <c r="FI12" s="60">
        <v>3</v>
      </c>
      <c r="FJ12" s="60"/>
      <c r="FK12" s="60">
        <f>1/3</f>
        <v>0.33333333333333331</v>
      </c>
      <c r="FL12" s="60"/>
      <c r="FM12" s="60">
        <v>3</v>
      </c>
      <c r="FN12" s="60"/>
      <c r="FO12" s="60">
        <v>3</v>
      </c>
      <c r="FP12" s="60"/>
      <c r="FQ12" s="60">
        <v>3</v>
      </c>
      <c r="FR12" s="60"/>
      <c r="FV12" s="60" t="s">
        <v>5</v>
      </c>
      <c r="FW12" s="60"/>
      <c r="FX12" s="60">
        <f>1/GD6</f>
        <v>0.33333333333333331</v>
      </c>
      <c r="FY12" s="60"/>
      <c r="FZ12" s="60">
        <f>1/GD8</f>
        <v>5</v>
      </c>
      <c r="GA12" s="60"/>
      <c r="GB12" s="60">
        <f>1/GD10</f>
        <v>5</v>
      </c>
      <c r="GC12" s="60"/>
      <c r="GD12" s="62">
        <v>1</v>
      </c>
      <c r="GE12" s="62"/>
      <c r="GF12" s="60">
        <f>1/3</f>
        <v>0.33333333333333331</v>
      </c>
      <c r="GG12" s="60"/>
      <c r="GH12" s="60">
        <v>2</v>
      </c>
      <c r="GI12" s="60"/>
      <c r="GJ12" s="60">
        <v>5</v>
      </c>
      <c r="GK12" s="60"/>
      <c r="GL12" s="60">
        <v>3</v>
      </c>
      <c r="GM12" s="60"/>
      <c r="GN12" s="60">
        <f>1/5</f>
        <v>0.2</v>
      </c>
      <c r="GO12" s="60"/>
      <c r="GR12" s="60" t="s">
        <v>5</v>
      </c>
      <c r="GS12" s="60"/>
      <c r="GT12" s="60">
        <f>1/GZ6</f>
        <v>0.33333333333333331</v>
      </c>
      <c r="GU12" s="60"/>
      <c r="GV12" s="60">
        <f>1/GZ8</f>
        <v>0.2</v>
      </c>
      <c r="GW12" s="60"/>
      <c r="GX12" s="60">
        <f>1/GZ10</f>
        <v>0.33333333333333331</v>
      </c>
      <c r="GY12" s="60"/>
      <c r="GZ12" s="62">
        <v>1</v>
      </c>
      <c r="HA12" s="62"/>
      <c r="HB12" s="60">
        <f>1/5</f>
        <v>0.2</v>
      </c>
      <c r="HC12" s="60"/>
      <c r="HD12" s="60">
        <v>3</v>
      </c>
      <c r="HE12" s="60"/>
      <c r="HF12" s="60">
        <v>5</v>
      </c>
      <c r="HG12" s="60"/>
      <c r="HH12" s="60">
        <v>3</v>
      </c>
      <c r="HI12" s="60"/>
      <c r="HJ12" s="60">
        <v>2</v>
      </c>
      <c r="HK12" s="60"/>
      <c r="HN12" s="60" t="s">
        <v>5</v>
      </c>
      <c r="HO12" s="60"/>
      <c r="HP12" s="60">
        <f>1/HV6</f>
        <v>5</v>
      </c>
      <c r="HQ12" s="60"/>
      <c r="HR12" s="60">
        <f>1/HV8</f>
        <v>2</v>
      </c>
      <c r="HS12" s="60"/>
      <c r="HT12" s="60">
        <f>1/HV10</f>
        <v>0.33333333333333331</v>
      </c>
      <c r="HU12" s="60"/>
      <c r="HV12" s="62">
        <v>1</v>
      </c>
      <c r="HW12" s="62"/>
      <c r="HX12" s="60">
        <f>1/3</f>
        <v>0.33333333333333331</v>
      </c>
      <c r="HY12" s="60"/>
      <c r="HZ12" s="60">
        <v>3</v>
      </c>
      <c r="IA12" s="60"/>
      <c r="IB12" s="60">
        <v>5</v>
      </c>
      <c r="IC12" s="60"/>
      <c r="ID12" s="60">
        <v>3</v>
      </c>
      <c r="IE12" s="60"/>
      <c r="IF12" s="60">
        <v>3</v>
      </c>
      <c r="IG12" s="60"/>
      <c r="IK12" s="60" t="s">
        <v>5</v>
      </c>
      <c r="IL12" s="60"/>
      <c r="IM12" s="60">
        <f>1/IS6</f>
        <v>3</v>
      </c>
      <c r="IN12" s="60"/>
      <c r="IO12" s="60">
        <f>1/IS8</f>
        <v>3</v>
      </c>
      <c r="IP12" s="60"/>
      <c r="IQ12" s="60">
        <f>1/IS10</f>
        <v>0.33333333333333331</v>
      </c>
      <c r="IR12" s="60"/>
      <c r="IS12" s="62">
        <v>1</v>
      </c>
      <c r="IT12" s="62"/>
      <c r="IU12" s="60">
        <f>1/3</f>
        <v>0.33333333333333331</v>
      </c>
      <c r="IV12" s="60"/>
      <c r="IW12" s="60">
        <v>3</v>
      </c>
      <c r="IX12" s="60"/>
      <c r="IY12" s="60">
        <v>3</v>
      </c>
      <c r="IZ12" s="60"/>
      <c r="JA12" s="60">
        <v>3</v>
      </c>
      <c r="JB12" s="60"/>
      <c r="JC12" s="60">
        <f>1/3</f>
        <v>0.33333333333333331</v>
      </c>
      <c r="JD12" s="60"/>
      <c r="JI12" s="60" t="s">
        <v>5</v>
      </c>
      <c r="JJ12" s="60"/>
      <c r="JK12" s="60">
        <f>1/JQ6</f>
        <v>0.33333333333333331</v>
      </c>
      <c r="JL12" s="60"/>
      <c r="JM12" s="60">
        <f>1/JQ8</f>
        <v>0.33333333333333331</v>
      </c>
      <c r="JN12" s="60"/>
      <c r="JO12" s="60">
        <f>1/JQ10</f>
        <v>0.5</v>
      </c>
      <c r="JP12" s="60"/>
      <c r="JQ12" s="62">
        <v>1</v>
      </c>
      <c r="JR12" s="62"/>
      <c r="JS12" s="60">
        <f>1/5</f>
        <v>0.2</v>
      </c>
      <c r="JT12" s="60"/>
      <c r="JU12" s="60">
        <f>1/2</f>
        <v>0.5</v>
      </c>
      <c r="JV12" s="60"/>
      <c r="JW12" s="60">
        <v>3</v>
      </c>
      <c r="JX12" s="60"/>
      <c r="JY12" s="60">
        <f>1/3</f>
        <v>0.33333333333333331</v>
      </c>
      <c r="JZ12" s="60"/>
      <c r="KA12" s="60">
        <f>1/3</f>
        <v>0.33333333333333331</v>
      </c>
      <c r="KB12" s="60"/>
      <c r="KF12" s="60" t="s">
        <v>5</v>
      </c>
      <c r="KG12" s="60"/>
      <c r="KH12" s="60">
        <f>1/KN6</f>
        <v>0.33333333333333331</v>
      </c>
      <c r="KI12" s="60"/>
      <c r="KJ12" s="60">
        <f>1/KN8</f>
        <v>2</v>
      </c>
      <c r="KK12" s="60"/>
      <c r="KL12" s="60">
        <f>1/KN10</f>
        <v>3</v>
      </c>
      <c r="KM12" s="60"/>
      <c r="KN12" s="62">
        <v>1</v>
      </c>
      <c r="KO12" s="62"/>
      <c r="KP12" s="60">
        <f>1/3</f>
        <v>0.33333333333333331</v>
      </c>
      <c r="KQ12" s="60"/>
      <c r="KR12" s="60">
        <f>1/3</f>
        <v>0.33333333333333331</v>
      </c>
      <c r="KS12" s="60"/>
      <c r="KT12" s="60">
        <f>1/3</f>
        <v>0.33333333333333331</v>
      </c>
      <c r="KU12" s="60"/>
      <c r="KV12" s="60">
        <f>1/3</f>
        <v>0.33333333333333331</v>
      </c>
      <c r="KW12" s="60"/>
      <c r="KX12" s="60">
        <v>3</v>
      </c>
      <c r="KY12" s="60"/>
      <c r="LA12" s="46"/>
      <c r="LB12" s="46"/>
      <c r="LC12" s="46"/>
      <c r="LD12" s="46"/>
      <c r="LE12" s="46"/>
      <c r="LF12" s="46"/>
      <c r="LG12" s="46"/>
      <c r="LH12" s="46"/>
      <c r="LI12" s="46"/>
      <c r="LJ12" s="46"/>
      <c r="LK12" s="46"/>
      <c r="LL12" s="46"/>
      <c r="LM12" s="46"/>
      <c r="LN12" s="46"/>
      <c r="LO12" s="46"/>
      <c r="LP12" s="46"/>
      <c r="LQ12" s="46"/>
      <c r="LR12" s="46"/>
      <c r="LS12" s="46"/>
      <c r="LT12" s="46"/>
      <c r="LU12" s="46"/>
      <c r="LV12" s="46"/>
      <c r="LW12" s="46"/>
      <c r="LX12" s="46"/>
      <c r="LY12" s="46"/>
      <c r="LZ12" s="46"/>
      <c r="MA12" s="46"/>
      <c r="MB12" s="46"/>
      <c r="MC12" s="46"/>
      <c r="MD12" s="46"/>
      <c r="ME12" s="46"/>
      <c r="MF12" s="46"/>
      <c r="MG12" s="46"/>
      <c r="MH12" s="46"/>
      <c r="MI12" s="46"/>
      <c r="MJ12" s="46"/>
      <c r="MK12" s="46"/>
      <c r="ML12" s="46"/>
      <c r="MM12" s="46"/>
      <c r="MN12" s="46"/>
      <c r="MO12" s="46"/>
      <c r="MP12" s="46"/>
      <c r="MQ12" s="46"/>
      <c r="MR12" s="46"/>
      <c r="MS12" s="46"/>
      <c r="MT12" s="46"/>
      <c r="MU12" s="46"/>
      <c r="MV12" s="46"/>
      <c r="MW12" s="46"/>
      <c r="MX12" s="46"/>
      <c r="MY12" s="46"/>
      <c r="MZ12" s="46"/>
      <c r="NA12" s="46"/>
      <c r="NB12" s="46"/>
      <c r="NC12" s="46"/>
      <c r="ND12" s="46"/>
      <c r="NE12" s="46"/>
      <c r="NF12" s="46"/>
      <c r="NG12" s="46"/>
    </row>
    <row r="13" spans="2:371" x14ac:dyDescent="0.35">
      <c r="C13" s="60"/>
      <c r="D13" s="60"/>
      <c r="E13" s="60"/>
      <c r="F13" s="60"/>
      <c r="G13" s="60"/>
      <c r="H13" s="60"/>
      <c r="I13" s="60"/>
      <c r="J13" s="60"/>
      <c r="K13" s="62"/>
      <c r="L13" s="62"/>
      <c r="M13" s="60"/>
      <c r="N13" s="60"/>
      <c r="O13" s="60"/>
      <c r="P13" s="60"/>
      <c r="Q13" s="60"/>
      <c r="R13" s="60"/>
      <c r="S13" s="60"/>
      <c r="T13" s="60"/>
      <c r="U13" s="60"/>
      <c r="V13" s="60"/>
      <c r="X13" s="60"/>
      <c r="Y13" s="60"/>
      <c r="Z13" s="60"/>
      <c r="AA13" s="60"/>
      <c r="AB13" s="60"/>
      <c r="AC13" s="60"/>
      <c r="AD13" s="60"/>
      <c r="AE13" s="60"/>
      <c r="AF13" s="62"/>
      <c r="AG13" s="62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S13" s="60"/>
      <c r="AT13" s="60"/>
      <c r="AU13" s="60"/>
      <c r="AV13" s="60"/>
      <c r="AW13" s="60"/>
      <c r="AX13" s="60"/>
      <c r="AY13" s="60"/>
      <c r="AZ13" s="60"/>
      <c r="BA13" s="62"/>
      <c r="BB13" s="62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N13" s="60"/>
      <c r="BO13" s="60"/>
      <c r="BP13" s="60"/>
      <c r="BQ13" s="60"/>
      <c r="BR13" s="60"/>
      <c r="BS13" s="60"/>
      <c r="BT13" s="60"/>
      <c r="BU13" s="60"/>
      <c r="BV13" s="62"/>
      <c r="BW13" s="62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K13" s="60"/>
      <c r="CL13" s="60"/>
      <c r="CM13" s="60"/>
      <c r="CN13" s="60"/>
      <c r="CO13" s="60"/>
      <c r="CP13" s="60"/>
      <c r="CQ13" s="60"/>
      <c r="CR13" s="60"/>
      <c r="CS13" s="62"/>
      <c r="CT13" s="62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F13" s="60"/>
      <c r="DG13" s="60"/>
      <c r="DH13" s="60"/>
      <c r="DI13" s="60"/>
      <c r="DJ13" s="60"/>
      <c r="DK13" s="60"/>
      <c r="DL13" s="60"/>
      <c r="DM13" s="60"/>
      <c r="DN13" s="62"/>
      <c r="DO13" s="62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EC13" s="60"/>
      <c r="ED13" s="60"/>
      <c r="EE13" s="60"/>
      <c r="EF13" s="60"/>
      <c r="EG13" s="60"/>
      <c r="EH13" s="60"/>
      <c r="EI13" s="60"/>
      <c r="EJ13" s="60"/>
      <c r="EK13" s="62"/>
      <c r="EL13" s="62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Y13" s="60"/>
      <c r="EZ13" s="60"/>
      <c r="FA13" s="60"/>
      <c r="FB13" s="60"/>
      <c r="FC13" s="60"/>
      <c r="FD13" s="60"/>
      <c r="FE13" s="60"/>
      <c r="FF13" s="60"/>
      <c r="FG13" s="62"/>
      <c r="FH13" s="62"/>
      <c r="FI13" s="60"/>
      <c r="FJ13" s="60"/>
      <c r="FK13" s="60"/>
      <c r="FL13" s="60"/>
      <c r="FM13" s="60"/>
      <c r="FN13" s="60"/>
      <c r="FO13" s="60"/>
      <c r="FP13" s="60"/>
      <c r="FQ13" s="60"/>
      <c r="FR13" s="60"/>
      <c r="FV13" s="60"/>
      <c r="FW13" s="60"/>
      <c r="FX13" s="60"/>
      <c r="FY13" s="60"/>
      <c r="FZ13" s="60"/>
      <c r="GA13" s="60"/>
      <c r="GB13" s="60"/>
      <c r="GC13" s="60"/>
      <c r="GD13" s="62"/>
      <c r="GE13" s="62"/>
      <c r="GF13" s="60"/>
      <c r="GG13" s="60"/>
      <c r="GH13" s="60"/>
      <c r="GI13" s="60"/>
      <c r="GJ13" s="60"/>
      <c r="GK13" s="60"/>
      <c r="GL13" s="60"/>
      <c r="GM13" s="60"/>
      <c r="GN13" s="60"/>
      <c r="GO13" s="60"/>
      <c r="GR13" s="60"/>
      <c r="GS13" s="60"/>
      <c r="GT13" s="60"/>
      <c r="GU13" s="60"/>
      <c r="GV13" s="60"/>
      <c r="GW13" s="60"/>
      <c r="GX13" s="60"/>
      <c r="GY13" s="60"/>
      <c r="GZ13" s="62"/>
      <c r="HA13" s="62"/>
      <c r="HB13" s="60"/>
      <c r="HC13" s="60"/>
      <c r="HD13" s="60"/>
      <c r="HE13" s="60"/>
      <c r="HF13" s="60"/>
      <c r="HG13" s="60"/>
      <c r="HH13" s="60"/>
      <c r="HI13" s="60"/>
      <c r="HJ13" s="60"/>
      <c r="HK13" s="60"/>
      <c r="HN13" s="60"/>
      <c r="HO13" s="60"/>
      <c r="HP13" s="60"/>
      <c r="HQ13" s="60"/>
      <c r="HR13" s="60"/>
      <c r="HS13" s="60"/>
      <c r="HT13" s="60"/>
      <c r="HU13" s="60"/>
      <c r="HV13" s="62"/>
      <c r="HW13" s="62"/>
      <c r="HX13" s="60"/>
      <c r="HY13" s="60"/>
      <c r="HZ13" s="60"/>
      <c r="IA13" s="60"/>
      <c r="IB13" s="60"/>
      <c r="IC13" s="60"/>
      <c r="ID13" s="60"/>
      <c r="IE13" s="60"/>
      <c r="IF13" s="60"/>
      <c r="IG13" s="60"/>
      <c r="IK13" s="60"/>
      <c r="IL13" s="60"/>
      <c r="IM13" s="60"/>
      <c r="IN13" s="60"/>
      <c r="IO13" s="60"/>
      <c r="IP13" s="60"/>
      <c r="IQ13" s="60"/>
      <c r="IR13" s="60"/>
      <c r="IS13" s="62"/>
      <c r="IT13" s="62"/>
      <c r="IU13" s="60"/>
      <c r="IV13" s="60"/>
      <c r="IW13" s="60"/>
      <c r="IX13" s="60"/>
      <c r="IY13" s="60"/>
      <c r="IZ13" s="60"/>
      <c r="JA13" s="60"/>
      <c r="JB13" s="60"/>
      <c r="JC13" s="60"/>
      <c r="JD13" s="60"/>
      <c r="JI13" s="60"/>
      <c r="JJ13" s="60"/>
      <c r="JK13" s="60"/>
      <c r="JL13" s="60"/>
      <c r="JM13" s="60"/>
      <c r="JN13" s="60"/>
      <c r="JO13" s="60"/>
      <c r="JP13" s="60"/>
      <c r="JQ13" s="62"/>
      <c r="JR13" s="62"/>
      <c r="JS13" s="60"/>
      <c r="JT13" s="60"/>
      <c r="JU13" s="60"/>
      <c r="JV13" s="60"/>
      <c r="JW13" s="60"/>
      <c r="JX13" s="60"/>
      <c r="JY13" s="60"/>
      <c r="JZ13" s="60"/>
      <c r="KA13" s="60"/>
      <c r="KB13" s="60"/>
      <c r="KF13" s="60"/>
      <c r="KG13" s="60"/>
      <c r="KH13" s="60"/>
      <c r="KI13" s="60"/>
      <c r="KJ13" s="60"/>
      <c r="KK13" s="60"/>
      <c r="KL13" s="60"/>
      <c r="KM13" s="60"/>
      <c r="KN13" s="62"/>
      <c r="KO13" s="62"/>
      <c r="KP13" s="60"/>
      <c r="KQ13" s="60"/>
      <c r="KR13" s="60"/>
      <c r="KS13" s="60"/>
      <c r="KT13" s="60"/>
      <c r="KU13" s="60"/>
      <c r="KV13" s="60"/>
      <c r="KW13" s="60"/>
      <c r="KX13" s="60"/>
      <c r="KY13" s="60"/>
      <c r="LA13" s="46"/>
      <c r="LB13" s="46"/>
      <c r="LC13" s="46"/>
      <c r="LD13" s="46"/>
      <c r="LE13" s="46"/>
      <c r="LF13" s="46"/>
      <c r="LG13" s="46"/>
      <c r="LH13" s="46"/>
      <c r="LI13" s="46"/>
      <c r="LJ13" s="46"/>
      <c r="LK13" s="46"/>
      <c r="LL13" s="46"/>
      <c r="LM13" s="46"/>
      <c r="LN13" s="46"/>
      <c r="LO13" s="46"/>
      <c r="LP13" s="46"/>
      <c r="LQ13" s="46"/>
      <c r="LR13" s="46"/>
      <c r="LS13" s="46"/>
      <c r="LT13" s="46"/>
      <c r="LU13" s="46"/>
      <c r="LV13" s="46"/>
      <c r="LW13" s="46"/>
      <c r="LX13" s="46"/>
      <c r="LY13" s="46"/>
      <c r="LZ13" s="46"/>
      <c r="MA13" s="46"/>
      <c r="MB13" s="46"/>
      <c r="MC13" s="46"/>
      <c r="MD13" s="46"/>
      <c r="ME13" s="46"/>
      <c r="MF13" s="46"/>
      <c r="MG13" s="46"/>
      <c r="MH13" s="46"/>
      <c r="MI13" s="46"/>
      <c r="MJ13" s="46"/>
      <c r="MK13" s="46"/>
      <c r="ML13" s="46"/>
      <c r="MM13" s="46"/>
      <c r="MN13" s="46"/>
      <c r="MO13" s="46"/>
      <c r="MP13" s="46"/>
      <c r="MQ13" s="46"/>
      <c r="MR13" s="46"/>
      <c r="MS13" s="46"/>
      <c r="MT13" s="46"/>
      <c r="MU13" s="46"/>
      <c r="MV13" s="46"/>
      <c r="MW13" s="46"/>
      <c r="MX13" s="46"/>
      <c r="MY13" s="46"/>
      <c r="MZ13" s="46"/>
      <c r="NA13" s="46"/>
      <c r="NB13" s="46"/>
      <c r="NC13" s="46"/>
      <c r="ND13" s="46"/>
      <c r="NE13" s="46"/>
      <c r="NF13" s="46"/>
      <c r="NG13" s="46"/>
    </row>
    <row r="14" spans="2:371" ht="15" customHeight="1" x14ac:dyDescent="0.35">
      <c r="C14" s="60" t="s">
        <v>32</v>
      </c>
      <c r="D14" s="60"/>
      <c r="E14" s="60">
        <f>1/M6</f>
        <v>0.33333333333333331</v>
      </c>
      <c r="F14" s="60"/>
      <c r="G14" s="60">
        <f>1/M8</f>
        <v>3</v>
      </c>
      <c r="H14" s="60"/>
      <c r="I14" s="60">
        <f>1/M10</f>
        <v>2</v>
      </c>
      <c r="J14" s="60"/>
      <c r="K14" s="60">
        <f>1/M12</f>
        <v>2</v>
      </c>
      <c r="L14" s="60"/>
      <c r="M14" s="62">
        <v>1</v>
      </c>
      <c r="N14" s="62"/>
      <c r="O14" s="60">
        <f>1/3</f>
        <v>0.33333333333333331</v>
      </c>
      <c r="P14" s="60"/>
      <c r="Q14" s="60">
        <v>3</v>
      </c>
      <c r="R14" s="60"/>
      <c r="S14" s="60">
        <f>1/3</f>
        <v>0.33333333333333331</v>
      </c>
      <c r="T14" s="60"/>
      <c r="U14" s="60">
        <v>3</v>
      </c>
      <c r="V14" s="60"/>
      <c r="X14" s="60" t="s">
        <v>32</v>
      </c>
      <c r="Y14" s="60"/>
      <c r="Z14" s="60">
        <f>1/AH6</f>
        <v>0.33333333333333331</v>
      </c>
      <c r="AA14" s="60"/>
      <c r="AB14" s="60">
        <f>1/AH8</f>
        <v>0.33333333333333331</v>
      </c>
      <c r="AC14" s="60"/>
      <c r="AD14" s="60">
        <f>1/AH10</f>
        <v>9</v>
      </c>
      <c r="AE14" s="60"/>
      <c r="AF14" s="60">
        <f>1/AH12</f>
        <v>0.2</v>
      </c>
      <c r="AG14" s="60"/>
      <c r="AH14" s="62">
        <v>1</v>
      </c>
      <c r="AI14" s="62"/>
      <c r="AJ14" s="60">
        <v>2</v>
      </c>
      <c r="AK14" s="60"/>
      <c r="AL14" s="60">
        <f>1/3</f>
        <v>0.33333333333333331</v>
      </c>
      <c r="AM14" s="60"/>
      <c r="AN14" s="60">
        <v>2</v>
      </c>
      <c r="AO14" s="60"/>
      <c r="AP14" s="60">
        <v>2</v>
      </c>
      <c r="AQ14" s="60"/>
      <c r="AS14" s="60" t="s">
        <v>32</v>
      </c>
      <c r="AT14" s="60"/>
      <c r="AU14" s="60">
        <f>1/BC6</f>
        <v>2</v>
      </c>
      <c r="AV14" s="60"/>
      <c r="AW14" s="60">
        <f>1/BC8</f>
        <v>3</v>
      </c>
      <c r="AX14" s="60"/>
      <c r="AY14" s="60">
        <f>1/BC10</f>
        <v>3</v>
      </c>
      <c r="AZ14" s="60"/>
      <c r="BA14" s="60">
        <f>1/BC12</f>
        <v>0.33333333333333331</v>
      </c>
      <c r="BB14" s="60"/>
      <c r="BC14" s="62">
        <v>1</v>
      </c>
      <c r="BD14" s="62"/>
      <c r="BE14" s="60">
        <f>1/3</f>
        <v>0.33333333333333331</v>
      </c>
      <c r="BF14" s="60"/>
      <c r="BG14" s="60">
        <f>1/2</f>
        <v>0.5</v>
      </c>
      <c r="BH14" s="60"/>
      <c r="BI14" s="60">
        <f>1/3</f>
        <v>0.33333333333333331</v>
      </c>
      <c r="BJ14" s="60"/>
      <c r="BK14" s="60">
        <v>3</v>
      </c>
      <c r="BL14" s="60"/>
      <c r="BN14" s="60" t="s">
        <v>32</v>
      </c>
      <c r="BO14" s="60"/>
      <c r="BP14" s="60">
        <f>1/BX6</f>
        <v>0.33333333333333331</v>
      </c>
      <c r="BQ14" s="60"/>
      <c r="BR14" s="60">
        <f>1/BX8</f>
        <v>2</v>
      </c>
      <c r="BS14" s="60"/>
      <c r="BT14" s="60">
        <f>1/BX10</f>
        <v>3</v>
      </c>
      <c r="BU14" s="60"/>
      <c r="BV14" s="60">
        <f>1/BX12</f>
        <v>3</v>
      </c>
      <c r="BW14" s="60"/>
      <c r="BX14" s="62">
        <v>1</v>
      </c>
      <c r="BY14" s="62"/>
      <c r="BZ14" s="60">
        <v>2</v>
      </c>
      <c r="CA14" s="60"/>
      <c r="CB14" s="60">
        <f>1/3</f>
        <v>0.33333333333333331</v>
      </c>
      <c r="CC14" s="60"/>
      <c r="CD14" s="60">
        <f>1/2</f>
        <v>0.5</v>
      </c>
      <c r="CE14" s="60"/>
      <c r="CF14" s="60">
        <v>3</v>
      </c>
      <c r="CG14" s="60"/>
      <c r="CK14" s="60" t="s">
        <v>32</v>
      </c>
      <c r="CL14" s="60"/>
      <c r="CM14" s="60">
        <f>1/CU6</f>
        <v>0.33333333333333331</v>
      </c>
      <c r="CN14" s="60"/>
      <c r="CO14" s="60">
        <f>1/CU8</f>
        <v>3</v>
      </c>
      <c r="CP14" s="60"/>
      <c r="CQ14" s="60">
        <f>1/CU10</f>
        <v>0.33333333333333331</v>
      </c>
      <c r="CR14" s="60"/>
      <c r="CS14" s="60">
        <f>1/CU12</f>
        <v>3</v>
      </c>
      <c r="CT14" s="60"/>
      <c r="CU14" s="62">
        <v>1</v>
      </c>
      <c r="CV14" s="62"/>
      <c r="CW14" s="60">
        <f>1/3</f>
        <v>0.33333333333333331</v>
      </c>
      <c r="CX14" s="60"/>
      <c r="CY14" s="60">
        <v>3</v>
      </c>
      <c r="CZ14" s="60"/>
      <c r="DA14" s="60">
        <v>3</v>
      </c>
      <c r="DB14" s="60"/>
      <c r="DC14" s="60">
        <f>1/5</f>
        <v>0.2</v>
      </c>
      <c r="DD14" s="60"/>
      <c r="DF14" s="60" t="s">
        <v>32</v>
      </c>
      <c r="DG14" s="60"/>
      <c r="DH14" s="60">
        <f>1/DP6</f>
        <v>3</v>
      </c>
      <c r="DI14" s="60"/>
      <c r="DJ14" s="60">
        <f>1/DP8</f>
        <v>3</v>
      </c>
      <c r="DK14" s="60"/>
      <c r="DL14" s="60">
        <f>1/DP10</f>
        <v>3</v>
      </c>
      <c r="DM14" s="60"/>
      <c r="DN14" s="60">
        <f>1/DP12</f>
        <v>2</v>
      </c>
      <c r="DO14" s="60"/>
      <c r="DP14" s="62">
        <v>1</v>
      </c>
      <c r="DQ14" s="62"/>
      <c r="DR14" s="60">
        <v>5</v>
      </c>
      <c r="DS14" s="60"/>
      <c r="DT14" s="60">
        <f>1/5</f>
        <v>0.2</v>
      </c>
      <c r="DU14" s="60"/>
      <c r="DV14" s="60">
        <v>3</v>
      </c>
      <c r="DW14" s="60"/>
      <c r="DX14" s="60">
        <f>1/3</f>
        <v>0.33333333333333331</v>
      </c>
      <c r="DY14" s="60"/>
      <c r="EC14" s="60" t="s">
        <v>32</v>
      </c>
      <c r="ED14" s="60"/>
      <c r="EE14" s="60">
        <f>1/EM6</f>
        <v>2</v>
      </c>
      <c r="EF14" s="60"/>
      <c r="EG14" s="60">
        <f>1/EM8</f>
        <v>3</v>
      </c>
      <c r="EH14" s="60"/>
      <c r="EI14" s="60">
        <f>1/EM10</f>
        <v>2</v>
      </c>
      <c r="EJ14" s="60"/>
      <c r="EK14" s="60">
        <f>1/EM12</f>
        <v>3</v>
      </c>
      <c r="EL14" s="60"/>
      <c r="EM14" s="62">
        <v>1</v>
      </c>
      <c r="EN14" s="62"/>
      <c r="EO14" s="60">
        <v>3</v>
      </c>
      <c r="EP14" s="60"/>
      <c r="EQ14" s="60">
        <v>3</v>
      </c>
      <c r="ER14" s="60"/>
      <c r="ES14" s="60">
        <v>3</v>
      </c>
      <c r="ET14" s="60"/>
      <c r="EU14" s="60">
        <v>3</v>
      </c>
      <c r="EV14" s="60"/>
      <c r="EY14" s="60" t="s">
        <v>32</v>
      </c>
      <c r="EZ14" s="60"/>
      <c r="FA14" s="60">
        <f>1/FI6</f>
        <v>3</v>
      </c>
      <c r="FB14" s="60"/>
      <c r="FC14" s="60">
        <f>1/FI8</f>
        <v>3</v>
      </c>
      <c r="FD14" s="60"/>
      <c r="FE14" s="60">
        <f>1/FI10</f>
        <v>3</v>
      </c>
      <c r="FF14" s="60"/>
      <c r="FG14" s="60">
        <f>1/FI12</f>
        <v>0.33333333333333331</v>
      </c>
      <c r="FH14" s="60"/>
      <c r="FI14" s="62">
        <v>1</v>
      </c>
      <c r="FJ14" s="62"/>
      <c r="FK14" s="60">
        <v>2</v>
      </c>
      <c r="FL14" s="60"/>
      <c r="FM14" s="60">
        <f>1/2</f>
        <v>0.5</v>
      </c>
      <c r="FN14" s="60"/>
      <c r="FO14" s="60">
        <v>3</v>
      </c>
      <c r="FP14" s="60"/>
      <c r="FQ14" s="60">
        <v>5</v>
      </c>
      <c r="FR14" s="60"/>
      <c r="FV14" s="60" t="s">
        <v>32</v>
      </c>
      <c r="FW14" s="60"/>
      <c r="FX14" s="60">
        <f>1/GF6</f>
        <v>5</v>
      </c>
      <c r="FY14" s="60"/>
      <c r="FZ14" s="60">
        <f>1/GF8</f>
        <v>4</v>
      </c>
      <c r="GA14" s="60"/>
      <c r="GB14" s="60">
        <f>1/GF10</f>
        <v>5</v>
      </c>
      <c r="GC14" s="60"/>
      <c r="GD14" s="60">
        <f>1/GF12</f>
        <v>3</v>
      </c>
      <c r="GE14" s="60"/>
      <c r="GF14" s="62">
        <v>1</v>
      </c>
      <c r="GG14" s="62"/>
      <c r="GH14" s="60">
        <f>1/3</f>
        <v>0.33333333333333331</v>
      </c>
      <c r="GI14" s="60"/>
      <c r="GJ14" s="60">
        <v>3</v>
      </c>
      <c r="GK14" s="60"/>
      <c r="GL14" s="60">
        <v>3</v>
      </c>
      <c r="GM14" s="60"/>
      <c r="GN14" s="60">
        <f>1/3</f>
        <v>0.33333333333333331</v>
      </c>
      <c r="GO14" s="60"/>
      <c r="GR14" s="60" t="s">
        <v>32</v>
      </c>
      <c r="GS14" s="60"/>
      <c r="GT14" s="60">
        <f>1/HB6</f>
        <v>3</v>
      </c>
      <c r="GU14" s="60"/>
      <c r="GV14" s="60">
        <f>1/HB8</f>
        <v>3</v>
      </c>
      <c r="GW14" s="60"/>
      <c r="GX14" s="60">
        <f>1/HB10</f>
        <v>5</v>
      </c>
      <c r="GY14" s="60"/>
      <c r="GZ14" s="60">
        <f>1/HB12</f>
        <v>5</v>
      </c>
      <c r="HA14" s="60"/>
      <c r="HB14" s="62">
        <v>1</v>
      </c>
      <c r="HC14" s="62"/>
      <c r="HD14" s="60">
        <v>3</v>
      </c>
      <c r="HE14" s="60"/>
      <c r="HF14" s="60">
        <f>1/5</f>
        <v>0.2</v>
      </c>
      <c r="HG14" s="60"/>
      <c r="HH14" s="60">
        <v>2</v>
      </c>
      <c r="HI14" s="60"/>
      <c r="HJ14" s="60">
        <f>1/3</f>
        <v>0.33333333333333331</v>
      </c>
      <c r="HK14" s="60"/>
      <c r="HN14" s="60" t="s">
        <v>32</v>
      </c>
      <c r="HO14" s="60"/>
      <c r="HP14" s="60">
        <f>1/HX6</f>
        <v>3</v>
      </c>
      <c r="HQ14" s="60"/>
      <c r="HR14" s="60">
        <f>1/HX8</f>
        <v>2</v>
      </c>
      <c r="HS14" s="60"/>
      <c r="HT14" s="60">
        <f>1/HX10</f>
        <v>3</v>
      </c>
      <c r="HU14" s="60"/>
      <c r="HV14" s="60">
        <f>1/HX12</f>
        <v>3</v>
      </c>
      <c r="HW14" s="60"/>
      <c r="HX14" s="62">
        <v>1</v>
      </c>
      <c r="HY14" s="62"/>
      <c r="HZ14" s="60">
        <v>3</v>
      </c>
      <c r="IA14" s="60"/>
      <c r="IB14" s="60">
        <v>2</v>
      </c>
      <c r="IC14" s="60"/>
      <c r="ID14" s="60">
        <v>3</v>
      </c>
      <c r="IE14" s="60"/>
      <c r="IF14" s="60">
        <v>3</v>
      </c>
      <c r="IG14" s="60"/>
      <c r="IK14" s="60" t="s">
        <v>32</v>
      </c>
      <c r="IL14" s="60"/>
      <c r="IM14" s="60">
        <f>1/IU6</f>
        <v>3</v>
      </c>
      <c r="IN14" s="60"/>
      <c r="IO14" s="60">
        <f>1/IU8</f>
        <v>3</v>
      </c>
      <c r="IP14" s="60"/>
      <c r="IQ14" s="60">
        <f>1/IU10</f>
        <v>5</v>
      </c>
      <c r="IR14" s="60"/>
      <c r="IS14" s="60">
        <f>1/IU12</f>
        <v>3</v>
      </c>
      <c r="IT14" s="60"/>
      <c r="IU14" s="62">
        <v>1</v>
      </c>
      <c r="IV14" s="62"/>
      <c r="IW14" s="60">
        <v>3</v>
      </c>
      <c r="IX14" s="60"/>
      <c r="IY14" s="60">
        <v>5</v>
      </c>
      <c r="IZ14" s="60"/>
      <c r="JA14" s="60">
        <v>5</v>
      </c>
      <c r="JB14" s="60"/>
      <c r="JC14" s="60">
        <v>3</v>
      </c>
      <c r="JD14" s="60"/>
      <c r="JI14" s="60" t="s">
        <v>32</v>
      </c>
      <c r="JJ14" s="60"/>
      <c r="JK14" s="60">
        <f>1/JS6</f>
        <v>0.33333333333333331</v>
      </c>
      <c r="JL14" s="60"/>
      <c r="JM14" s="60">
        <f>1/JS8</f>
        <v>0.5</v>
      </c>
      <c r="JN14" s="60"/>
      <c r="JO14" s="60">
        <f>1/JS10</f>
        <v>3</v>
      </c>
      <c r="JP14" s="60"/>
      <c r="JQ14" s="60">
        <f>1/JS12</f>
        <v>5</v>
      </c>
      <c r="JR14" s="60"/>
      <c r="JS14" s="62">
        <v>1</v>
      </c>
      <c r="JT14" s="62"/>
      <c r="JU14" s="60">
        <v>2</v>
      </c>
      <c r="JV14" s="60"/>
      <c r="JW14" s="60">
        <f>1/3</f>
        <v>0.33333333333333331</v>
      </c>
      <c r="JX14" s="60"/>
      <c r="JY14" s="60">
        <v>3</v>
      </c>
      <c r="JZ14" s="60"/>
      <c r="KA14" s="60">
        <v>3</v>
      </c>
      <c r="KB14" s="60"/>
      <c r="KF14" s="60" t="s">
        <v>32</v>
      </c>
      <c r="KG14" s="60"/>
      <c r="KH14" s="60">
        <f>1/KP6</f>
        <v>3</v>
      </c>
      <c r="KI14" s="60"/>
      <c r="KJ14" s="60">
        <f>1/KP8</f>
        <v>2</v>
      </c>
      <c r="KK14" s="60"/>
      <c r="KL14" s="60">
        <f>1/KP10</f>
        <v>3</v>
      </c>
      <c r="KM14" s="60"/>
      <c r="KN14" s="60">
        <f>1/KP12</f>
        <v>3</v>
      </c>
      <c r="KO14" s="60"/>
      <c r="KP14" s="62">
        <v>1</v>
      </c>
      <c r="KQ14" s="62"/>
      <c r="KR14" s="60">
        <f>1/3</f>
        <v>0.33333333333333331</v>
      </c>
      <c r="KS14" s="60"/>
      <c r="KT14" s="60">
        <v>3</v>
      </c>
      <c r="KU14" s="60"/>
      <c r="KV14" s="60">
        <v>3</v>
      </c>
      <c r="KW14" s="60"/>
      <c r="KX14" s="60">
        <f>1/3</f>
        <v>0.33333333333333331</v>
      </c>
      <c r="KY14" s="60"/>
      <c r="LA14" s="46"/>
      <c r="LB14" s="46"/>
      <c r="LC14" s="46"/>
      <c r="LD14" s="46"/>
      <c r="LE14" s="46"/>
      <c r="LF14" s="46"/>
      <c r="LG14" s="46"/>
      <c r="LH14" s="46"/>
      <c r="LI14" s="46"/>
      <c r="LJ14" s="46"/>
      <c r="LK14" s="46"/>
      <c r="LL14" s="46"/>
      <c r="LM14" s="46"/>
      <c r="LN14" s="46"/>
      <c r="LO14" s="46"/>
      <c r="LP14" s="46"/>
      <c r="LQ14" s="46"/>
      <c r="LR14" s="46"/>
      <c r="LS14" s="46"/>
      <c r="LT14" s="46"/>
      <c r="LU14" s="46"/>
      <c r="LV14" s="46"/>
      <c r="LW14" s="46"/>
      <c r="LX14" s="46"/>
      <c r="LY14" s="46"/>
      <c r="LZ14" s="46"/>
      <c r="MA14" s="46"/>
      <c r="MB14" s="46"/>
      <c r="MC14" s="46"/>
      <c r="MD14" s="46"/>
      <c r="ME14" s="46"/>
      <c r="MF14" s="46"/>
      <c r="MG14" s="46"/>
      <c r="MH14" s="46"/>
      <c r="MI14" s="46"/>
      <c r="MJ14" s="46"/>
      <c r="MK14" s="46"/>
      <c r="ML14" s="46"/>
      <c r="MM14" s="46"/>
      <c r="MN14" s="46"/>
      <c r="MO14" s="46"/>
      <c r="MP14" s="46"/>
      <c r="MQ14" s="46"/>
      <c r="MR14" s="46"/>
      <c r="MS14" s="46"/>
      <c r="MT14" s="46"/>
      <c r="MU14" s="46"/>
      <c r="MV14" s="46"/>
      <c r="MW14" s="46"/>
      <c r="MX14" s="46"/>
      <c r="MY14" s="46"/>
      <c r="MZ14" s="46"/>
      <c r="NA14" s="46"/>
      <c r="NB14" s="46"/>
      <c r="NC14" s="46"/>
      <c r="ND14" s="46"/>
      <c r="NE14" s="46"/>
      <c r="NF14" s="46"/>
      <c r="NG14" s="46"/>
    </row>
    <row r="15" spans="2:371" x14ac:dyDescent="0.35"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2"/>
      <c r="N15" s="62"/>
      <c r="O15" s="60"/>
      <c r="P15" s="60"/>
      <c r="Q15" s="60"/>
      <c r="R15" s="60"/>
      <c r="S15" s="60"/>
      <c r="T15" s="60"/>
      <c r="U15" s="60"/>
      <c r="V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2"/>
      <c r="AI15" s="62"/>
      <c r="AJ15" s="60"/>
      <c r="AK15" s="60"/>
      <c r="AL15" s="60"/>
      <c r="AM15" s="60"/>
      <c r="AN15" s="60"/>
      <c r="AO15" s="60"/>
      <c r="AP15" s="60"/>
      <c r="AQ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2"/>
      <c r="BD15" s="62"/>
      <c r="BE15" s="60"/>
      <c r="BF15" s="60"/>
      <c r="BG15" s="60"/>
      <c r="BH15" s="60"/>
      <c r="BI15" s="60"/>
      <c r="BJ15" s="60"/>
      <c r="BK15" s="60"/>
      <c r="BL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2"/>
      <c r="BY15" s="62"/>
      <c r="BZ15" s="60"/>
      <c r="CA15" s="60"/>
      <c r="CB15" s="60"/>
      <c r="CC15" s="60"/>
      <c r="CD15" s="60"/>
      <c r="CE15" s="60"/>
      <c r="CF15" s="60"/>
      <c r="CG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2"/>
      <c r="CV15" s="62"/>
      <c r="CW15" s="60"/>
      <c r="CX15" s="60"/>
      <c r="CY15" s="60"/>
      <c r="CZ15" s="60"/>
      <c r="DA15" s="60"/>
      <c r="DB15" s="60"/>
      <c r="DC15" s="60"/>
      <c r="DD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2"/>
      <c r="DQ15" s="62"/>
      <c r="DR15" s="60"/>
      <c r="DS15" s="60"/>
      <c r="DT15" s="60"/>
      <c r="DU15" s="60"/>
      <c r="DV15" s="60"/>
      <c r="DW15" s="60"/>
      <c r="DX15" s="60"/>
      <c r="DY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2"/>
      <c r="EN15" s="62"/>
      <c r="EO15" s="60"/>
      <c r="EP15" s="60"/>
      <c r="EQ15" s="60"/>
      <c r="ER15" s="60"/>
      <c r="ES15" s="60"/>
      <c r="ET15" s="60"/>
      <c r="EU15" s="60"/>
      <c r="EV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2"/>
      <c r="FJ15" s="62"/>
      <c r="FK15" s="60"/>
      <c r="FL15" s="60"/>
      <c r="FM15" s="60"/>
      <c r="FN15" s="60"/>
      <c r="FO15" s="60"/>
      <c r="FP15" s="60"/>
      <c r="FQ15" s="60"/>
      <c r="FR15" s="60"/>
      <c r="FV15" s="60"/>
      <c r="FW15" s="60"/>
      <c r="FX15" s="60"/>
      <c r="FY15" s="60"/>
      <c r="FZ15" s="60"/>
      <c r="GA15" s="60"/>
      <c r="GB15" s="60"/>
      <c r="GC15" s="60"/>
      <c r="GD15" s="60"/>
      <c r="GE15" s="60"/>
      <c r="GF15" s="62"/>
      <c r="GG15" s="62"/>
      <c r="GH15" s="60"/>
      <c r="GI15" s="60"/>
      <c r="GJ15" s="60"/>
      <c r="GK15" s="60"/>
      <c r="GL15" s="60"/>
      <c r="GM15" s="60"/>
      <c r="GN15" s="60"/>
      <c r="GO15" s="60"/>
      <c r="GR15" s="60"/>
      <c r="GS15" s="60"/>
      <c r="GT15" s="60"/>
      <c r="GU15" s="60"/>
      <c r="GV15" s="60"/>
      <c r="GW15" s="60"/>
      <c r="GX15" s="60"/>
      <c r="GY15" s="60"/>
      <c r="GZ15" s="60"/>
      <c r="HA15" s="60"/>
      <c r="HB15" s="62"/>
      <c r="HC15" s="62"/>
      <c r="HD15" s="60"/>
      <c r="HE15" s="60"/>
      <c r="HF15" s="60"/>
      <c r="HG15" s="60"/>
      <c r="HH15" s="60"/>
      <c r="HI15" s="60"/>
      <c r="HJ15" s="60"/>
      <c r="HK15" s="60"/>
      <c r="HN15" s="60"/>
      <c r="HO15" s="60"/>
      <c r="HP15" s="60"/>
      <c r="HQ15" s="60"/>
      <c r="HR15" s="60"/>
      <c r="HS15" s="60"/>
      <c r="HT15" s="60"/>
      <c r="HU15" s="60"/>
      <c r="HV15" s="60"/>
      <c r="HW15" s="60"/>
      <c r="HX15" s="62"/>
      <c r="HY15" s="62"/>
      <c r="HZ15" s="60"/>
      <c r="IA15" s="60"/>
      <c r="IB15" s="60"/>
      <c r="IC15" s="60"/>
      <c r="ID15" s="60"/>
      <c r="IE15" s="60"/>
      <c r="IF15" s="60"/>
      <c r="IG15" s="60"/>
      <c r="IK15" s="60"/>
      <c r="IL15" s="60"/>
      <c r="IM15" s="60"/>
      <c r="IN15" s="60"/>
      <c r="IO15" s="60"/>
      <c r="IP15" s="60"/>
      <c r="IQ15" s="60"/>
      <c r="IR15" s="60"/>
      <c r="IS15" s="60"/>
      <c r="IT15" s="60"/>
      <c r="IU15" s="62"/>
      <c r="IV15" s="62"/>
      <c r="IW15" s="60"/>
      <c r="IX15" s="60"/>
      <c r="IY15" s="60"/>
      <c r="IZ15" s="60"/>
      <c r="JA15" s="60"/>
      <c r="JB15" s="60"/>
      <c r="JC15" s="60"/>
      <c r="JD15" s="60"/>
      <c r="JI15" s="60"/>
      <c r="JJ15" s="60"/>
      <c r="JK15" s="60"/>
      <c r="JL15" s="60"/>
      <c r="JM15" s="60"/>
      <c r="JN15" s="60"/>
      <c r="JO15" s="60"/>
      <c r="JP15" s="60"/>
      <c r="JQ15" s="60"/>
      <c r="JR15" s="60"/>
      <c r="JS15" s="62"/>
      <c r="JT15" s="62"/>
      <c r="JU15" s="60"/>
      <c r="JV15" s="60"/>
      <c r="JW15" s="60"/>
      <c r="JX15" s="60"/>
      <c r="JY15" s="60"/>
      <c r="JZ15" s="60"/>
      <c r="KA15" s="60"/>
      <c r="KB15" s="60"/>
      <c r="KF15" s="60"/>
      <c r="KG15" s="60"/>
      <c r="KH15" s="60"/>
      <c r="KI15" s="60"/>
      <c r="KJ15" s="60"/>
      <c r="KK15" s="60"/>
      <c r="KL15" s="60"/>
      <c r="KM15" s="60"/>
      <c r="KN15" s="60"/>
      <c r="KO15" s="60"/>
      <c r="KP15" s="62"/>
      <c r="KQ15" s="62"/>
      <c r="KR15" s="60"/>
      <c r="KS15" s="60"/>
      <c r="KT15" s="60"/>
      <c r="KU15" s="60"/>
      <c r="KV15" s="60"/>
      <c r="KW15" s="60"/>
      <c r="KX15" s="60"/>
      <c r="KY15" s="60"/>
      <c r="LA15" s="46"/>
      <c r="LB15" s="46"/>
      <c r="LC15" s="46"/>
      <c r="LD15" s="46"/>
      <c r="LE15" s="46"/>
      <c r="LF15" s="46"/>
      <c r="LG15" s="46"/>
      <c r="LH15" s="46"/>
      <c r="LI15" s="46"/>
      <c r="LJ15" s="46"/>
      <c r="LK15" s="46"/>
      <c r="LL15" s="46"/>
      <c r="LM15" s="46"/>
      <c r="LN15" s="46"/>
      <c r="LO15" s="46"/>
      <c r="LP15" s="46"/>
      <c r="LQ15" s="46"/>
      <c r="LR15" s="46"/>
      <c r="LS15" s="46"/>
      <c r="LT15" s="46"/>
      <c r="LU15" s="46"/>
      <c r="LV15" s="46"/>
      <c r="LW15" s="46"/>
      <c r="LX15" s="46"/>
      <c r="LY15" s="46"/>
      <c r="LZ15" s="46"/>
      <c r="MA15" s="46"/>
      <c r="MB15" s="46"/>
      <c r="MC15" s="46"/>
      <c r="MD15" s="46"/>
      <c r="ME15" s="46"/>
      <c r="MF15" s="46"/>
      <c r="MG15" s="46"/>
      <c r="MH15" s="46"/>
      <c r="MI15" s="46"/>
      <c r="MJ15" s="46"/>
      <c r="MK15" s="46"/>
      <c r="ML15" s="46"/>
      <c r="MM15" s="46"/>
      <c r="MN15" s="46"/>
      <c r="MO15" s="46"/>
      <c r="MP15" s="46"/>
      <c r="MQ15" s="46"/>
      <c r="MR15" s="46"/>
      <c r="MS15" s="46"/>
      <c r="MT15" s="46"/>
      <c r="MU15" s="46"/>
      <c r="MV15" s="46"/>
      <c r="MW15" s="46"/>
      <c r="MX15" s="46"/>
      <c r="MY15" s="46"/>
      <c r="MZ15" s="46"/>
      <c r="NA15" s="46"/>
      <c r="NB15" s="46"/>
      <c r="NC15" s="46"/>
      <c r="ND15" s="46"/>
      <c r="NE15" s="46"/>
      <c r="NF15" s="46"/>
      <c r="NG15" s="46"/>
    </row>
    <row r="16" spans="2:371" ht="15" customHeight="1" x14ac:dyDescent="0.35">
      <c r="C16" s="60" t="s">
        <v>7</v>
      </c>
      <c r="D16" s="60"/>
      <c r="E16" s="60">
        <f>1/O6</f>
        <v>0.33333333333333331</v>
      </c>
      <c r="F16" s="60"/>
      <c r="G16" s="60">
        <f>1/O8</f>
        <v>0.33333333333333331</v>
      </c>
      <c r="H16" s="60"/>
      <c r="I16" s="60">
        <f>1/O10</f>
        <v>0.33333333333333331</v>
      </c>
      <c r="J16" s="60"/>
      <c r="K16" s="60">
        <f>1/O12</f>
        <v>2</v>
      </c>
      <c r="L16" s="60"/>
      <c r="M16" s="60">
        <f>1/O14</f>
        <v>3</v>
      </c>
      <c r="N16" s="60"/>
      <c r="O16" s="62">
        <v>1</v>
      </c>
      <c r="P16" s="62"/>
      <c r="Q16" s="60">
        <f>1/5</f>
        <v>0.2</v>
      </c>
      <c r="R16" s="60"/>
      <c r="S16" s="60">
        <f>1/3</f>
        <v>0.33333333333333331</v>
      </c>
      <c r="T16" s="60"/>
      <c r="U16" s="60">
        <v>3</v>
      </c>
      <c r="V16" s="60"/>
      <c r="X16" s="60" t="s">
        <v>7</v>
      </c>
      <c r="Y16" s="60"/>
      <c r="Z16" s="60">
        <f>1/AJ6</f>
        <v>0.5</v>
      </c>
      <c r="AA16" s="60"/>
      <c r="AB16" s="60">
        <f>1/AJ8</f>
        <v>0.5</v>
      </c>
      <c r="AC16" s="60"/>
      <c r="AD16" s="60">
        <f>1/AJ10</f>
        <v>3</v>
      </c>
      <c r="AE16" s="60"/>
      <c r="AF16" s="60">
        <f>1/AJ12</f>
        <v>2</v>
      </c>
      <c r="AG16" s="60"/>
      <c r="AH16" s="60">
        <f>1/AJ14</f>
        <v>0.5</v>
      </c>
      <c r="AI16" s="60"/>
      <c r="AJ16" s="62">
        <v>1</v>
      </c>
      <c r="AK16" s="62"/>
      <c r="AL16" s="60">
        <v>3</v>
      </c>
      <c r="AM16" s="60"/>
      <c r="AN16" s="60">
        <f>1/2</f>
        <v>0.5</v>
      </c>
      <c r="AO16" s="60"/>
      <c r="AP16" s="60">
        <v>3</v>
      </c>
      <c r="AQ16" s="60"/>
      <c r="AS16" s="60" t="s">
        <v>7</v>
      </c>
      <c r="AT16" s="60"/>
      <c r="AU16" s="60">
        <f>1/BE6</f>
        <v>0.5</v>
      </c>
      <c r="AV16" s="60"/>
      <c r="AW16" s="60">
        <f>1/BE8</f>
        <v>0.33333333333333331</v>
      </c>
      <c r="AX16" s="60"/>
      <c r="AY16" s="60">
        <f>1/BE10</f>
        <v>3</v>
      </c>
      <c r="AZ16" s="60"/>
      <c r="BA16" s="60">
        <f>1/BE12</f>
        <v>0.33333333333333331</v>
      </c>
      <c r="BB16" s="60"/>
      <c r="BC16" s="60">
        <f>1/BE14</f>
        <v>3</v>
      </c>
      <c r="BD16" s="60"/>
      <c r="BE16" s="62">
        <v>1</v>
      </c>
      <c r="BF16" s="62"/>
      <c r="BG16" s="60">
        <f>1/3</f>
        <v>0.33333333333333331</v>
      </c>
      <c r="BH16" s="60"/>
      <c r="BI16" s="60">
        <v>3</v>
      </c>
      <c r="BJ16" s="60"/>
      <c r="BK16" s="60">
        <v>2</v>
      </c>
      <c r="BL16" s="60"/>
      <c r="BN16" s="60" t="s">
        <v>7</v>
      </c>
      <c r="BO16" s="60"/>
      <c r="BP16" s="60">
        <f>1/BZ6</f>
        <v>0.33333333333333331</v>
      </c>
      <c r="BQ16" s="60"/>
      <c r="BR16" s="60">
        <f>1/BZ8</f>
        <v>2</v>
      </c>
      <c r="BS16" s="60"/>
      <c r="BT16" s="60">
        <f>1/BZ10</f>
        <v>0.33333333333333331</v>
      </c>
      <c r="BU16" s="60"/>
      <c r="BV16" s="60">
        <f>1/BZ12</f>
        <v>0.5</v>
      </c>
      <c r="BW16" s="60"/>
      <c r="BX16" s="60">
        <f>1/BZ14</f>
        <v>0.5</v>
      </c>
      <c r="BY16" s="60"/>
      <c r="BZ16" s="62">
        <v>1</v>
      </c>
      <c r="CA16" s="62"/>
      <c r="CB16" s="60">
        <v>3</v>
      </c>
      <c r="CC16" s="60"/>
      <c r="CD16" s="60">
        <f>1/3</f>
        <v>0.33333333333333331</v>
      </c>
      <c r="CE16" s="60"/>
      <c r="CF16" s="60">
        <v>3</v>
      </c>
      <c r="CG16" s="60"/>
      <c r="CK16" s="60" t="s">
        <v>7</v>
      </c>
      <c r="CL16" s="60"/>
      <c r="CM16" s="60">
        <f>1/CW6</f>
        <v>3</v>
      </c>
      <c r="CN16" s="60"/>
      <c r="CO16" s="60">
        <f>1/CW8</f>
        <v>0.33333333333333331</v>
      </c>
      <c r="CP16" s="60"/>
      <c r="CQ16" s="60">
        <f>1/CW10</f>
        <v>0.33333333333333331</v>
      </c>
      <c r="CR16" s="60"/>
      <c r="CS16" s="60">
        <f>1/CW12</f>
        <v>3</v>
      </c>
      <c r="CT16" s="60"/>
      <c r="CU16" s="60">
        <f>1/CW14</f>
        <v>3</v>
      </c>
      <c r="CV16" s="60"/>
      <c r="CW16" s="62">
        <v>1</v>
      </c>
      <c r="CX16" s="62"/>
      <c r="CY16" s="60">
        <v>3</v>
      </c>
      <c r="CZ16" s="60"/>
      <c r="DA16" s="60">
        <f>1/3</f>
        <v>0.33333333333333331</v>
      </c>
      <c r="DB16" s="60"/>
      <c r="DC16" s="60">
        <f>1/3</f>
        <v>0.33333333333333331</v>
      </c>
      <c r="DD16" s="60"/>
      <c r="DF16" s="60" t="s">
        <v>7</v>
      </c>
      <c r="DG16" s="60"/>
      <c r="DH16" s="60">
        <f>1/DR6</f>
        <v>3</v>
      </c>
      <c r="DI16" s="60"/>
      <c r="DJ16" s="60">
        <f>1/DR8</f>
        <v>0.33333333333333331</v>
      </c>
      <c r="DK16" s="60"/>
      <c r="DL16" s="60">
        <f>1/DR10</f>
        <v>0.33333333333333331</v>
      </c>
      <c r="DM16" s="60"/>
      <c r="DN16" s="60">
        <f>1/DR12</f>
        <v>0.33333333333333331</v>
      </c>
      <c r="DO16" s="60"/>
      <c r="DP16" s="60">
        <f>1/DR14</f>
        <v>0.2</v>
      </c>
      <c r="DQ16" s="60"/>
      <c r="DR16" s="62">
        <v>1</v>
      </c>
      <c r="DS16" s="62"/>
      <c r="DT16" s="60">
        <f>1/2</f>
        <v>0.5</v>
      </c>
      <c r="DU16" s="60"/>
      <c r="DV16" s="60">
        <v>3</v>
      </c>
      <c r="DW16" s="60"/>
      <c r="DX16" s="60">
        <v>3</v>
      </c>
      <c r="DY16" s="60"/>
      <c r="EC16" s="60" t="s">
        <v>7</v>
      </c>
      <c r="ED16" s="60"/>
      <c r="EE16" s="60">
        <f>1/EO6</f>
        <v>0.33333333333333331</v>
      </c>
      <c r="EF16" s="60"/>
      <c r="EG16" s="60">
        <f>1/EO8</f>
        <v>0.33333333333333331</v>
      </c>
      <c r="EH16" s="60"/>
      <c r="EI16" s="60">
        <f>1/EO10</f>
        <v>0.33333333333333331</v>
      </c>
      <c r="EJ16" s="60"/>
      <c r="EK16" s="60">
        <f>1/EO12</f>
        <v>0.2</v>
      </c>
      <c r="EL16" s="60"/>
      <c r="EM16" s="60">
        <f>1/EO14</f>
        <v>0.33333333333333331</v>
      </c>
      <c r="EN16" s="60"/>
      <c r="EO16" s="62">
        <v>1</v>
      </c>
      <c r="EP16" s="62"/>
      <c r="EQ16" s="60">
        <f>1/3</f>
        <v>0.33333333333333331</v>
      </c>
      <c r="ER16" s="60"/>
      <c r="ES16" s="60">
        <v>3</v>
      </c>
      <c r="ET16" s="60"/>
      <c r="EU16" s="60">
        <v>3</v>
      </c>
      <c r="EV16" s="60"/>
      <c r="EY16" s="60" t="s">
        <v>7</v>
      </c>
      <c r="EZ16" s="60"/>
      <c r="FA16" s="60">
        <f>1/FK6</f>
        <v>0.33333333333333331</v>
      </c>
      <c r="FB16" s="60"/>
      <c r="FC16" s="60">
        <f>1/FK8</f>
        <v>0.33333333333333331</v>
      </c>
      <c r="FD16" s="60"/>
      <c r="FE16" s="60">
        <f>1/FK10</f>
        <v>0.33333333333333331</v>
      </c>
      <c r="FF16" s="60"/>
      <c r="FG16" s="60">
        <f>1/FK12</f>
        <v>3</v>
      </c>
      <c r="FH16" s="60"/>
      <c r="FI16" s="60">
        <f>1/FK14</f>
        <v>0.5</v>
      </c>
      <c r="FJ16" s="60"/>
      <c r="FK16" s="62">
        <v>1</v>
      </c>
      <c r="FL16" s="62"/>
      <c r="FM16" s="60">
        <f>1/3</f>
        <v>0.33333333333333331</v>
      </c>
      <c r="FN16" s="60"/>
      <c r="FO16" s="60">
        <v>2</v>
      </c>
      <c r="FP16" s="60"/>
      <c r="FQ16" s="60">
        <v>5</v>
      </c>
      <c r="FR16" s="60"/>
      <c r="FV16" s="60" t="s">
        <v>7</v>
      </c>
      <c r="FW16" s="60"/>
      <c r="FX16" s="60">
        <f>1/GH6</f>
        <v>3</v>
      </c>
      <c r="FY16" s="60"/>
      <c r="FZ16" s="60">
        <f>1/GH8</f>
        <v>0.33333333333333331</v>
      </c>
      <c r="GA16" s="60"/>
      <c r="GB16" s="60">
        <f>1/GH10</f>
        <v>0.33333333333333331</v>
      </c>
      <c r="GC16" s="60"/>
      <c r="GD16" s="60">
        <f>1/GH12</f>
        <v>0.5</v>
      </c>
      <c r="GE16" s="60"/>
      <c r="GF16" s="60">
        <f>1/GH14</f>
        <v>3</v>
      </c>
      <c r="GG16" s="60"/>
      <c r="GH16" s="62">
        <v>1</v>
      </c>
      <c r="GI16" s="62"/>
      <c r="GJ16" s="60">
        <f>1/3</f>
        <v>0.33333333333333331</v>
      </c>
      <c r="GK16" s="60"/>
      <c r="GL16" s="60">
        <v>5</v>
      </c>
      <c r="GM16" s="60"/>
      <c r="GN16" s="60">
        <v>5</v>
      </c>
      <c r="GO16" s="60"/>
      <c r="GR16" s="60" t="s">
        <v>7</v>
      </c>
      <c r="GS16" s="60"/>
      <c r="GT16" s="60">
        <f>1/HD6</f>
        <v>0.2</v>
      </c>
      <c r="GU16" s="60"/>
      <c r="GV16" s="60">
        <f>1/HD8</f>
        <v>5</v>
      </c>
      <c r="GW16" s="60"/>
      <c r="GX16" s="60">
        <f>1/HD10</f>
        <v>0.33333333333333331</v>
      </c>
      <c r="GY16" s="60"/>
      <c r="GZ16" s="60">
        <f>1/HD12</f>
        <v>0.33333333333333331</v>
      </c>
      <c r="HA16" s="60"/>
      <c r="HB16" s="60">
        <f>1/HD14</f>
        <v>0.33333333333333331</v>
      </c>
      <c r="HC16" s="60"/>
      <c r="HD16" s="62">
        <v>1</v>
      </c>
      <c r="HE16" s="62"/>
      <c r="HF16" s="60">
        <f>1/4</f>
        <v>0.25</v>
      </c>
      <c r="HG16" s="60"/>
      <c r="HH16" s="60">
        <v>3</v>
      </c>
      <c r="HI16" s="60"/>
      <c r="HJ16" s="60">
        <v>5</v>
      </c>
      <c r="HK16" s="60"/>
      <c r="HN16" s="60" t="s">
        <v>7</v>
      </c>
      <c r="HO16" s="60"/>
      <c r="HP16" s="60">
        <f>1/HZ6</f>
        <v>0.33333333333333331</v>
      </c>
      <c r="HQ16" s="60"/>
      <c r="HR16" s="60">
        <f>1/HZ8</f>
        <v>0.33333333333333331</v>
      </c>
      <c r="HS16" s="60"/>
      <c r="HT16" s="60">
        <f>1/HZ10</f>
        <v>0.33333333333333331</v>
      </c>
      <c r="HU16" s="60"/>
      <c r="HV16" s="60">
        <f>1/HZ12</f>
        <v>0.33333333333333331</v>
      </c>
      <c r="HW16" s="60"/>
      <c r="HX16" s="60">
        <f>1/HZ14</f>
        <v>0.33333333333333331</v>
      </c>
      <c r="HY16" s="60"/>
      <c r="HZ16" s="62">
        <v>1</v>
      </c>
      <c r="IA16" s="62"/>
      <c r="IB16" s="60">
        <f>1/2</f>
        <v>0.5</v>
      </c>
      <c r="IC16" s="60"/>
      <c r="ID16" s="60">
        <v>3</v>
      </c>
      <c r="IE16" s="60"/>
      <c r="IF16" s="60">
        <v>3</v>
      </c>
      <c r="IG16" s="60"/>
      <c r="IK16" s="60" t="s">
        <v>7</v>
      </c>
      <c r="IL16" s="60"/>
      <c r="IM16" s="60">
        <f>1/IW6</f>
        <v>0.33333333333333331</v>
      </c>
      <c r="IN16" s="60"/>
      <c r="IO16" s="60">
        <f>1/IW8</f>
        <v>3</v>
      </c>
      <c r="IP16" s="60"/>
      <c r="IQ16" s="60">
        <f>1/IW10</f>
        <v>0.33333333333333331</v>
      </c>
      <c r="IR16" s="60"/>
      <c r="IS16" s="60">
        <f>1/IW12</f>
        <v>0.33333333333333331</v>
      </c>
      <c r="IT16" s="60"/>
      <c r="IU16" s="60">
        <f>1/IW14</f>
        <v>0.33333333333333331</v>
      </c>
      <c r="IV16" s="60"/>
      <c r="IW16" s="62">
        <v>1</v>
      </c>
      <c r="IX16" s="62"/>
      <c r="IY16" s="60">
        <f>1/5</f>
        <v>0.2</v>
      </c>
      <c r="IZ16" s="60"/>
      <c r="JA16" s="60">
        <v>3</v>
      </c>
      <c r="JB16" s="60"/>
      <c r="JC16" s="60">
        <v>3</v>
      </c>
      <c r="JD16" s="60"/>
      <c r="JI16" s="60" t="s">
        <v>7</v>
      </c>
      <c r="JJ16" s="60"/>
      <c r="JK16" s="60">
        <f>1/JU6</f>
        <v>0.33333333333333331</v>
      </c>
      <c r="JL16" s="60"/>
      <c r="JM16" s="60">
        <f>1/JU8</f>
        <v>0.33333333333333331</v>
      </c>
      <c r="JN16" s="60"/>
      <c r="JO16" s="60">
        <f>1/JU10</f>
        <v>0.33333333333333331</v>
      </c>
      <c r="JP16" s="60"/>
      <c r="JQ16" s="60">
        <f>1/JU12</f>
        <v>2</v>
      </c>
      <c r="JR16" s="60"/>
      <c r="JS16" s="60">
        <f>1/JU14</f>
        <v>0.5</v>
      </c>
      <c r="JT16" s="60"/>
      <c r="JU16" s="62">
        <v>1</v>
      </c>
      <c r="JV16" s="62"/>
      <c r="JW16" s="60">
        <f>1/3</f>
        <v>0.33333333333333331</v>
      </c>
      <c r="JX16" s="60"/>
      <c r="JY16" s="60">
        <v>3</v>
      </c>
      <c r="JZ16" s="60"/>
      <c r="KA16" s="60">
        <v>3</v>
      </c>
      <c r="KB16" s="60"/>
      <c r="KF16" s="60" t="s">
        <v>7</v>
      </c>
      <c r="KG16" s="60"/>
      <c r="KH16" s="60">
        <f>1/KR6</f>
        <v>3</v>
      </c>
      <c r="KI16" s="60"/>
      <c r="KJ16" s="60">
        <f>1/KR8</f>
        <v>0.33333333333333331</v>
      </c>
      <c r="KK16" s="60"/>
      <c r="KL16" s="60">
        <f>1/KR10</f>
        <v>0.5</v>
      </c>
      <c r="KM16" s="60"/>
      <c r="KN16" s="60">
        <f>1/KR12</f>
        <v>3</v>
      </c>
      <c r="KO16" s="60"/>
      <c r="KP16" s="60">
        <f>1/KR14</f>
        <v>3</v>
      </c>
      <c r="KQ16" s="60"/>
      <c r="KR16" s="62">
        <v>1</v>
      </c>
      <c r="KS16" s="62"/>
      <c r="KT16" s="60">
        <f>1/3</f>
        <v>0.33333333333333331</v>
      </c>
      <c r="KU16" s="60"/>
      <c r="KV16" s="60">
        <v>3</v>
      </c>
      <c r="KW16" s="60"/>
      <c r="KX16" s="60">
        <f>1/3</f>
        <v>0.33333333333333331</v>
      </c>
      <c r="KY16" s="60"/>
      <c r="LA16" s="46"/>
      <c r="LB16" s="46"/>
      <c r="LC16" s="46"/>
      <c r="LD16" s="46"/>
      <c r="LE16" s="46"/>
      <c r="LF16" s="46"/>
      <c r="LG16" s="46"/>
      <c r="LH16" s="46"/>
      <c r="LI16" s="46"/>
      <c r="LJ16" s="46"/>
      <c r="LK16" s="46"/>
      <c r="LL16" s="46"/>
      <c r="LM16" s="46"/>
      <c r="LN16" s="46"/>
      <c r="LO16" s="46"/>
      <c r="LP16" s="46"/>
      <c r="LQ16" s="46"/>
      <c r="LR16" s="46"/>
      <c r="LS16" s="46"/>
      <c r="LT16" s="46"/>
      <c r="LU16" s="46"/>
      <c r="LV16" s="46"/>
      <c r="LW16" s="46"/>
      <c r="LX16" s="46"/>
      <c r="LY16" s="46"/>
      <c r="LZ16" s="46"/>
      <c r="MA16" s="46"/>
      <c r="MB16" s="46"/>
      <c r="MC16" s="46"/>
      <c r="MD16" s="46"/>
      <c r="ME16" s="46"/>
      <c r="MF16" s="46"/>
      <c r="MG16" s="46"/>
      <c r="MH16" s="46"/>
      <c r="MI16" s="46"/>
      <c r="MJ16" s="46"/>
      <c r="MK16" s="46"/>
      <c r="ML16" s="46"/>
      <c r="MM16" s="46"/>
      <c r="MN16" s="46"/>
      <c r="MO16" s="46"/>
      <c r="MP16" s="46"/>
      <c r="MQ16" s="46"/>
      <c r="MR16" s="46"/>
      <c r="MS16" s="46"/>
      <c r="MT16" s="46"/>
      <c r="MU16" s="46"/>
      <c r="MV16" s="46"/>
      <c r="MW16" s="46"/>
      <c r="MX16" s="46"/>
      <c r="MY16" s="46"/>
      <c r="MZ16" s="46"/>
      <c r="NA16" s="46"/>
      <c r="NB16" s="46"/>
      <c r="NC16" s="46"/>
      <c r="ND16" s="46"/>
      <c r="NE16" s="46"/>
      <c r="NF16" s="46"/>
      <c r="NG16" s="46"/>
    </row>
    <row r="17" spans="3:380" x14ac:dyDescent="0.35"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2"/>
      <c r="P17" s="62"/>
      <c r="Q17" s="60"/>
      <c r="R17" s="60"/>
      <c r="S17" s="60"/>
      <c r="T17" s="60"/>
      <c r="U17" s="60"/>
      <c r="V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2"/>
      <c r="AK17" s="62"/>
      <c r="AL17" s="60"/>
      <c r="AM17" s="60"/>
      <c r="AN17" s="60"/>
      <c r="AO17" s="60"/>
      <c r="AP17" s="60"/>
      <c r="AQ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2"/>
      <c r="BF17" s="62"/>
      <c r="BG17" s="60"/>
      <c r="BH17" s="60"/>
      <c r="BI17" s="60"/>
      <c r="BJ17" s="60"/>
      <c r="BK17" s="60"/>
      <c r="BL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2"/>
      <c r="CA17" s="62"/>
      <c r="CB17" s="60"/>
      <c r="CC17" s="60"/>
      <c r="CD17" s="60"/>
      <c r="CE17" s="60"/>
      <c r="CF17" s="60"/>
      <c r="CG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2"/>
      <c r="CX17" s="62"/>
      <c r="CY17" s="60"/>
      <c r="CZ17" s="60"/>
      <c r="DA17" s="60"/>
      <c r="DB17" s="60"/>
      <c r="DC17" s="60"/>
      <c r="DD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2"/>
      <c r="DS17" s="62"/>
      <c r="DT17" s="60"/>
      <c r="DU17" s="60"/>
      <c r="DV17" s="60"/>
      <c r="DW17" s="60"/>
      <c r="DX17" s="60"/>
      <c r="DY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2"/>
      <c r="EP17" s="62"/>
      <c r="EQ17" s="60"/>
      <c r="ER17" s="60"/>
      <c r="ES17" s="60"/>
      <c r="ET17" s="60"/>
      <c r="EU17" s="60"/>
      <c r="EV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  <c r="FK17" s="62"/>
      <c r="FL17" s="62"/>
      <c r="FM17" s="60"/>
      <c r="FN17" s="60"/>
      <c r="FO17" s="60"/>
      <c r="FP17" s="60"/>
      <c r="FQ17" s="60"/>
      <c r="FR17" s="60"/>
      <c r="FV17" s="60"/>
      <c r="FW17" s="60"/>
      <c r="FX17" s="60"/>
      <c r="FY17" s="60"/>
      <c r="FZ17" s="60"/>
      <c r="GA17" s="60"/>
      <c r="GB17" s="60"/>
      <c r="GC17" s="60"/>
      <c r="GD17" s="60"/>
      <c r="GE17" s="60"/>
      <c r="GF17" s="60"/>
      <c r="GG17" s="60"/>
      <c r="GH17" s="62"/>
      <c r="GI17" s="62"/>
      <c r="GJ17" s="60"/>
      <c r="GK17" s="60"/>
      <c r="GL17" s="60"/>
      <c r="GM17" s="60"/>
      <c r="GN17" s="60"/>
      <c r="GO17" s="60"/>
      <c r="GR17" s="60"/>
      <c r="GS17" s="60"/>
      <c r="GT17" s="60"/>
      <c r="GU17" s="60"/>
      <c r="GV17" s="60"/>
      <c r="GW17" s="60"/>
      <c r="GX17" s="60"/>
      <c r="GY17" s="60"/>
      <c r="GZ17" s="60"/>
      <c r="HA17" s="60"/>
      <c r="HB17" s="60"/>
      <c r="HC17" s="60"/>
      <c r="HD17" s="62"/>
      <c r="HE17" s="62"/>
      <c r="HF17" s="60"/>
      <c r="HG17" s="60"/>
      <c r="HH17" s="60"/>
      <c r="HI17" s="60"/>
      <c r="HJ17" s="60"/>
      <c r="HK17" s="60"/>
      <c r="HN17" s="60"/>
      <c r="HO17" s="60"/>
      <c r="HP17" s="60"/>
      <c r="HQ17" s="60"/>
      <c r="HR17" s="60"/>
      <c r="HS17" s="60"/>
      <c r="HT17" s="60"/>
      <c r="HU17" s="60"/>
      <c r="HV17" s="60"/>
      <c r="HW17" s="60"/>
      <c r="HX17" s="60"/>
      <c r="HY17" s="60"/>
      <c r="HZ17" s="62"/>
      <c r="IA17" s="62"/>
      <c r="IB17" s="60"/>
      <c r="IC17" s="60"/>
      <c r="ID17" s="60"/>
      <c r="IE17" s="60"/>
      <c r="IF17" s="60"/>
      <c r="IG17" s="60"/>
      <c r="IK17" s="60"/>
      <c r="IL17" s="60"/>
      <c r="IM17" s="60"/>
      <c r="IN17" s="60"/>
      <c r="IO17" s="60"/>
      <c r="IP17" s="60"/>
      <c r="IQ17" s="60"/>
      <c r="IR17" s="60"/>
      <c r="IS17" s="60"/>
      <c r="IT17" s="60"/>
      <c r="IU17" s="60"/>
      <c r="IV17" s="60"/>
      <c r="IW17" s="62"/>
      <c r="IX17" s="62"/>
      <c r="IY17" s="60"/>
      <c r="IZ17" s="60"/>
      <c r="JA17" s="60"/>
      <c r="JB17" s="60"/>
      <c r="JC17" s="60"/>
      <c r="JD17" s="60"/>
      <c r="JI17" s="60"/>
      <c r="JJ17" s="60"/>
      <c r="JK17" s="60"/>
      <c r="JL17" s="60"/>
      <c r="JM17" s="60"/>
      <c r="JN17" s="60"/>
      <c r="JO17" s="60"/>
      <c r="JP17" s="60"/>
      <c r="JQ17" s="60"/>
      <c r="JR17" s="60"/>
      <c r="JS17" s="60"/>
      <c r="JT17" s="60"/>
      <c r="JU17" s="62"/>
      <c r="JV17" s="62"/>
      <c r="JW17" s="60"/>
      <c r="JX17" s="60"/>
      <c r="JY17" s="60"/>
      <c r="JZ17" s="60"/>
      <c r="KA17" s="60"/>
      <c r="KB17" s="60"/>
      <c r="KF17" s="60"/>
      <c r="KG17" s="60"/>
      <c r="KH17" s="60"/>
      <c r="KI17" s="60"/>
      <c r="KJ17" s="60"/>
      <c r="KK17" s="60"/>
      <c r="KL17" s="60"/>
      <c r="KM17" s="60"/>
      <c r="KN17" s="60"/>
      <c r="KO17" s="60"/>
      <c r="KP17" s="60"/>
      <c r="KQ17" s="60"/>
      <c r="KR17" s="62"/>
      <c r="KS17" s="62"/>
      <c r="KT17" s="60"/>
      <c r="KU17" s="60"/>
      <c r="KV17" s="60"/>
      <c r="KW17" s="60"/>
      <c r="KX17" s="60"/>
      <c r="KY17" s="60"/>
      <c r="LA17" s="46"/>
      <c r="LB17" s="46"/>
      <c r="LC17" s="46"/>
      <c r="LD17" s="46"/>
      <c r="LE17" s="46"/>
      <c r="LF17" s="46"/>
      <c r="LG17" s="46"/>
      <c r="LH17" s="46"/>
      <c r="LI17" s="46"/>
      <c r="LJ17" s="46"/>
      <c r="LK17" s="46"/>
      <c r="LL17" s="46"/>
      <c r="LM17" s="46"/>
      <c r="LN17" s="46"/>
      <c r="LO17" s="46"/>
      <c r="LP17" s="46"/>
      <c r="LQ17" s="46"/>
      <c r="LR17" s="46"/>
      <c r="LS17" s="46"/>
      <c r="LT17" s="46"/>
      <c r="LU17" s="46"/>
      <c r="LV17" s="46"/>
      <c r="LW17" s="46"/>
      <c r="LX17" s="46"/>
      <c r="LY17" s="46"/>
      <c r="LZ17" s="46"/>
      <c r="MA17" s="46"/>
      <c r="MB17" s="46"/>
      <c r="MC17" s="46"/>
      <c r="MD17" s="46"/>
      <c r="ME17" s="46"/>
      <c r="MF17" s="46"/>
      <c r="MG17" s="46"/>
      <c r="MH17" s="46"/>
      <c r="MI17" s="46"/>
      <c r="MJ17" s="46"/>
      <c r="MK17" s="46"/>
      <c r="ML17" s="46"/>
      <c r="MM17" s="46"/>
      <c r="MN17" s="46"/>
      <c r="MO17" s="46"/>
      <c r="MP17" s="46"/>
      <c r="MQ17" s="46"/>
      <c r="MR17" s="46"/>
      <c r="MS17" s="46"/>
      <c r="MT17" s="46"/>
      <c r="MU17" s="46"/>
      <c r="MV17" s="46"/>
      <c r="MW17" s="46"/>
      <c r="MX17" s="46"/>
      <c r="MY17" s="46"/>
      <c r="MZ17" s="46"/>
      <c r="NA17" s="46"/>
      <c r="NB17" s="46"/>
      <c r="NC17" s="46"/>
      <c r="ND17" s="46"/>
      <c r="NE17" s="46"/>
      <c r="NF17" s="46"/>
      <c r="NG17" s="46"/>
    </row>
    <row r="18" spans="3:380" ht="15" customHeight="1" x14ac:dyDescent="0.35">
      <c r="C18" s="60" t="s">
        <v>8</v>
      </c>
      <c r="D18" s="60"/>
      <c r="E18" s="60">
        <f>1/Q6</f>
        <v>3</v>
      </c>
      <c r="F18" s="60"/>
      <c r="G18" s="60">
        <f>1/Q8</f>
        <v>0.33333333333333331</v>
      </c>
      <c r="H18" s="60"/>
      <c r="I18" s="60">
        <f>1/Q10</f>
        <v>0.33333333333333331</v>
      </c>
      <c r="J18" s="60"/>
      <c r="K18" s="60">
        <f>1/Q12</f>
        <v>3</v>
      </c>
      <c r="L18" s="60"/>
      <c r="M18" s="60">
        <f>1/Q14</f>
        <v>0.33333333333333331</v>
      </c>
      <c r="N18" s="60"/>
      <c r="O18" s="60">
        <f>1/Q16</f>
        <v>5</v>
      </c>
      <c r="P18" s="60"/>
      <c r="Q18" s="62">
        <v>1</v>
      </c>
      <c r="R18" s="62"/>
      <c r="S18" s="60">
        <v>2</v>
      </c>
      <c r="T18" s="60"/>
      <c r="U18" s="60">
        <f>1/9</f>
        <v>0.1111111111111111</v>
      </c>
      <c r="V18" s="60"/>
      <c r="X18" s="60" t="s">
        <v>8</v>
      </c>
      <c r="Y18" s="60"/>
      <c r="Z18" s="60">
        <f>1/AL6</f>
        <v>0.33333333333333331</v>
      </c>
      <c r="AA18" s="60"/>
      <c r="AB18" s="60">
        <f>1/AL8</f>
        <v>3</v>
      </c>
      <c r="AC18" s="60"/>
      <c r="AD18" s="60">
        <f>1/AL10</f>
        <v>0.5</v>
      </c>
      <c r="AE18" s="60"/>
      <c r="AF18" s="60">
        <f>1/AL12</f>
        <v>0.5</v>
      </c>
      <c r="AG18" s="60"/>
      <c r="AH18" s="60">
        <f>1/AL14</f>
        <v>3</v>
      </c>
      <c r="AI18" s="60"/>
      <c r="AJ18" s="60">
        <f>1/AL16</f>
        <v>0.33333333333333331</v>
      </c>
      <c r="AK18" s="60"/>
      <c r="AL18" s="62">
        <v>1</v>
      </c>
      <c r="AM18" s="62"/>
      <c r="AN18" s="60">
        <v>2</v>
      </c>
      <c r="AO18" s="60"/>
      <c r="AP18" s="60">
        <f>1/2</f>
        <v>0.5</v>
      </c>
      <c r="AQ18" s="60"/>
      <c r="AS18" s="60" t="s">
        <v>8</v>
      </c>
      <c r="AT18" s="60"/>
      <c r="AU18" s="60">
        <f>1/BG6</f>
        <v>3</v>
      </c>
      <c r="AV18" s="60"/>
      <c r="AW18" s="60">
        <f>1/BG8</f>
        <v>2</v>
      </c>
      <c r="AX18" s="60"/>
      <c r="AY18" s="60">
        <f>1/BG10</f>
        <v>0.5</v>
      </c>
      <c r="AZ18" s="60"/>
      <c r="BA18" s="60">
        <f>1/BG12</f>
        <v>2</v>
      </c>
      <c r="BB18" s="60"/>
      <c r="BC18" s="60">
        <f>1/BG14</f>
        <v>2</v>
      </c>
      <c r="BD18" s="60"/>
      <c r="BE18" s="60">
        <f>1/BG16</f>
        <v>3</v>
      </c>
      <c r="BF18" s="60"/>
      <c r="BG18" s="62">
        <v>1</v>
      </c>
      <c r="BH18" s="62"/>
      <c r="BI18" s="60">
        <f>1/2</f>
        <v>0.5</v>
      </c>
      <c r="BJ18" s="60"/>
      <c r="BK18" s="60">
        <v>3</v>
      </c>
      <c r="BL18" s="60"/>
      <c r="BN18" s="60" t="s">
        <v>8</v>
      </c>
      <c r="BO18" s="60"/>
      <c r="BP18" s="60">
        <f>1/CB6</f>
        <v>3</v>
      </c>
      <c r="BQ18" s="60"/>
      <c r="BR18" s="60">
        <f>1/CB8</f>
        <v>3</v>
      </c>
      <c r="BS18" s="60"/>
      <c r="BT18" s="60">
        <f>1/CB10</f>
        <v>3</v>
      </c>
      <c r="BU18" s="60"/>
      <c r="BV18" s="60">
        <f>1/CB12</f>
        <v>0.33333333333333331</v>
      </c>
      <c r="BW18" s="60"/>
      <c r="BX18" s="60">
        <f>1/CB14</f>
        <v>3</v>
      </c>
      <c r="BY18" s="60"/>
      <c r="BZ18" s="60">
        <f>1/CB16</f>
        <v>0.33333333333333331</v>
      </c>
      <c r="CA18" s="60"/>
      <c r="CB18" s="62">
        <v>1</v>
      </c>
      <c r="CC18" s="62"/>
      <c r="CD18" s="60">
        <f>1/3</f>
        <v>0.33333333333333331</v>
      </c>
      <c r="CE18" s="60"/>
      <c r="CF18" s="61">
        <f>1/2</f>
        <v>0.5</v>
      </c>
      <c r="CG18" s="61"/>
      <c r="CK18" s="60" t="s">
        <v>8</v>
      </c>
      <c r="CL18" s="60"/>
      <c r="CM18" s="60">
        <f>1/CY6</f>
        <v>3</v>
      </c>
      <c r="CN18" s="60"/>
      <c r="CO18" s="60">
        <f>1/CY8</f>
        <v>3</v>
      </c>
      <c r="CP18" s="60"/>
      <c r="CQ18" s="60">
        <f>1/CY10</f>
        <v>0.33333333333333331</v>
      </c>
      <c r="CR18" s="60"/>
      <c r="CS18" s="60">
        <f>1/CY12</f>
        <v>5</v>
      </c>
      <c r="CT18" s="60"/>
      <c r="CU18" s="60">
        <f>1/CY14</f>
        <v>0.33333333333333331</v>
      </c>
      <c r="CV18" s="60"/>
      <c r="CW18" s="60">
        <f>1/CY16</f>
        <v>0.33333333333333331</v>
      </c>
      <c r="CX18" s="60"/>
      <c r="CY18" s="62">
        <v>1</v>
      </c>
      <c r="CZ18" s="62"/>
      <c r="DA18" s="60">
        <v>3</v>
      </c>
      <c r="DB18" s="60"/>
      <c r="DC18" s="60">
        <f>1/3</f>
        <v>0.33333333333333331</v>
      </c>
      <c r="DD18" s="60"/>
      <c r="DF18" s="60" t="s">
        <v>8</v>
      </c>
      <c r="DG18" s="60"/>
      <c r="DH18" s="60">
        <f>1/DT6</f>
        <v>0.2</v>
      </c>
      <c r="DI18" s="60"/>
      <c r="DJ18" s="60">
        <f>1/DT8</f>
        <v>0.2</v>
      </c>
      <c r="DK18" s="60"/>
      <c r="DL18" s="60">
        <f>1/DT10</f>
        <v>0.33333333333333331</v>
      </c>
      <c r="DM18" s="60"/>
      <c r="DN18" s="60">
        <f>1/DT12</f>
        <v>0.33333333333333331</v>
      </c>
      <c r="DO18" s="60"/>
      <c r="DP18" s="60">
        <f>1/DT14</f>
        <v>5</v>
      </c>
      <c r="DQ18" s="60"/>
      <c r="DR18" s="60">
        <f>1/DT16</f>
        <v>2</v>
      </c>
      <c r="DS18" s="60"/>
      <c r="DT18" s="62">
        <v>1</v>
      </c>
      <c r="DU18" s="62"/>
      <c r="DV18" s="60">
        <v>2</v>
      </c>
      <c r="DW18" s="60"/>
      <c r="DX18" s="60">
        <f>1/3</f>
        <v>0.33333333333333331</v>
      </c>
      <c r="DY18" s="60"/>
      <c r="EC18" s="60" t="s">
        <v>8</v>
      </c>
      <c r="ED18" s="60"/>
      <c r="EE18" s="60">
        <f>1/EQ6</f>
        <v>0.2</v>
      </c>
      <c r="EF18" s="60"/>
      <c r="EG18" s="60">
        <f>1/EQ8</f>
        <v>3</v>
      </c>
      <c r="EH18" s="60"/>
      <c r="EI18" s="60">
        <f>1/EQ10</f>
        <v>0.2</v>
      </c>
      <c r="EJ18" s="60"/>
      <c r="EK18" s="60">
        <f>1/EQ12</f>
        <v>0.2</v>
      </c>
      <c r="EL18" s="60"/>
      <c r="EM18" s="60">
        <f>1/EQ14</f>
        <v>0.33333333333333331</v>
      </c>
      <c r="EN18" s="60"/>
      <c r="EO18" s="60">
        <f>1/EQ16</f>
        <v>3</v>
      </c>
      <c r="EP18" s="60"/>
      <c r="EQ18" s="62">
        <v>1</v>
      </c>
      <c r="ER18" s="62"/>
      <c r="ES18" s="60">
        <v>2</v>
      </c>
      <c r="ET18" s="60"/>
      <c r="EU18" s="60">
        <f>1/3</f>
        <v>0.33333333333333331</v>
      </c>
      <c r="EV18" s="60"/>
      <c r="EY18" s="60" t="s">
        <v>8</v>
      </c>
      <c r="EZ18" s="60"/>
      <c r="FA18" s="60">
        <f>1/FM6</f>
        <v>0.33333333333333331</v>
      </c>
      <c r="FB18" s="60"/>
      <c r="FC18" s="60">
        <f>1/FM8</f>
        <v>3</v>
      </c>
      <c r="FD18" s="60"/>
      <c r="FE18" s="60">
        <f>1/FM10</f>
        <v>0.33333333333333331</v>
      </c>
      <c r="FF18" s="60"/>
      <c r="FG18" s="60">
        <f>1/FM12</f>
        <v>0.33333333333333331</v>
      </c>
      <c r="FH18" s="60"/>
      <c r="FI18" s="60">
        <f>1/FM14</f>
        <v>2</v>
      </c>
      <c r="FJ18" s="60"/>
      <c r="FK18" s="60">
        <f>1/FM16</f>
        <v>3</v>
      </c>
      <c r="FL18" s="60"/>
      <c r="FM18" s="62">
        <v>1</v>
      </c>
      <c r="FN18" s="62"/>
      <c r="FO18" s="60">
        <v>2</v>
      </c>
      <c r="FP18" s="60"/>
      <c r="FQ18" s="60">
        <f>1/2</f>
        <v>0.5</v>
      </c>
      <c r="FR18" s="60"/>
      <c r="FV18" s="60" t="s">
        <v>8</v>
      </c>
      <c r="FW18" s="60"/>
      <c r="FX18" s="60">
        <f>1/GJ6</f>
        <v>0.33333333333333331</v>
      </c>
      <c r="FY18" s="60"/>
      <c r="FZ18" s="60">
        <f>1/GJ8</f>
        <v>0.33333333333333331</v>
      </c>
      <c r="GA18" s="60"/>
      <c r="GB18" s="60">
        <f>1/GJ10</f>
        <v>0.2</v>
      </c>
      <c r="GC18" s="60"/>
      <c r="GD18" s="60">
        <f>1/GJ12</f>
        <v>0.2</v>
      </c>
      <c r="GE18" s="60"/>
      <c r="GF18" s="60">
        <f>1/GJ14</f>
        <v>0.33333333333333331</v>
      </c>
      <c r="GG18" s="60"/>
      <c r="GH18" s="60">
        <f>1/GJ16</f>
        <v>3</v>
      </c>
      <c r="GI18" s="60"/>
      <c r="GJ18" s="62">
        <v>1</v>
      </c>
      <c r="GK18" s="62"/>
      <c r="GL18" s="60">
        <f>1/4</f>
        <v>0.25</v>
      </c>
      <c r="GM18" s="60"/>
      <c r="GN18" s="60">
        <f>1/3</f>
        <v>0.33333333333333331</v>
      </c>
      <c r="GO18" s="60"/>
      <c r="GR18" s="60" t="s">
        <v>8</v>
      </c>
      <c r="GS18" s="60"/>
      <c r="GT18" s="60">
        <f>1/HF6</f>
        <v>3</v>
      </c>
      <c r="GU18" s="60"/>
      <c r="GV18" s="60">
        <f>1/HF8</f>
        <v>0.33333333333333331</v>
      </c>
      <c r="GW18" s="60"/>
      <c r="GX18" s="60">
        <f>1/HF10</f>
        <v>0.33333333333333331</v>
      </c>
      <c r="GY18" s="60"/>
      <c r="GZ18" s="60">
        <f>1/HF12</f>
        <v>0.2</v>
      </c>
      <c r="HA18" s="60"/>
      <c r="HB18" s="60">
        <f>1/HF14</f>
        <v>5</v>
      </c>
      <c r="HC18" s="60"/>
      <c r="HD18" s="60">
        <f>1/HF16</f>
        <v>4</v>
      </c>
      <c r="HE18" s="60"/>
      <c r="HF18" s="62">
        <v>1</v>
      </c>
      <c r="HG18" s="62"/>
      <c r="HH18" s="60">
        <v>4</v>
      </c>
      <c r="HI18" s="60"/>
      <c r="HJ18" s="60">
        <f>1/3</f>
        <v>0.33333333333333331</v>
      </c>
      <c r="HK18" s="60"/>
      <c r="HN18" s="60" t="s">
        <v>8</v>
      </c>
      <c r="HO18" s="60"/>
      <c r="HP18" s="60">
        <f>1/IB6</f>
        <v>0.33333333333333331</v>
      </c>
      <c r="HQ18" s="60"/>
      <c r="HR18" s="60">
        <f>1/IB8</f>
        <v>0.33333333333333331</v>
      </c>
      <c r="HS18" s="60"/>
      <c r="HT18" s="60">
        <f>1/IB10</f>
        <v>0.2</v>
      </c>
      <c r="HU18" s="60"/>
      <c r="HV18" s="60">
        <f>1/IB12</f>
        <v>0.2</v>
      </c>
      <c r="HW18" s="60"/>
      <c r="HX18" s="60">
        <f>1/IB14</f>
        <v>0.5</v>
      </c>
      <c r="HY18" s="60"/>
      <c r="HZ18" s="60">
        <f>1/IB16</f>
        <v>2</v>
      </c>
      <c r="IA18" s="60"/>
      <c r="IB18" s="62">
        <v>1</v>
      </c>
      <c r="IC18" s="62"/>
      <c r="ID18" s="60">
        <v>2</v>
      </c>
      <c r="IE18" s="60"/>
      <c r="IF18" s="60">
        <f>1/5</f>
        <v>0.2</v>
      </c>
      <c r="IG18" s="60"/>
      <c r="IK18" s="60" t="s">
        <v>8</v>
      </c>
      <c r="IL18" s="60"/>
      <c r="IM18" s="60">
        <f>1/IY6</f>
        <v>0.33333333333333331</v>
      </c>
      <c r="IN18" s="60"/>
      <c r="IO18" s="60">
        <f>1/IY8</f>
        <v>0.33333333333333331</v>
      </c>
      <c r="IP18" s="60"/>
      <c r="IQ18" s="60">
        <f>1/IY10</f>
        <v>3</v>
      </c>
      <c r="IR18" s="60"/>
      <c r="IS18" s="60">
        <f>1/IY12</f>
        <v>0.33333333333333331</v>
      </c>
      <c r="IT18" s="60"/>
      <c r="IU18" s="60">
        <f>1/IY14</f>
        <v>0.2</v>
      </c>
      <c r="IV18" s="60"/>
      <c r="IW18" s="60">
        <f>1/IY16</f>
        <v>5</v>
      </c>
      <c r="IX18" s="60"/>
      <c r="IY18" s="62">
        <v>1</v>
      </c>
      <c r="IZ18" s="62"/>
      <c r="JA18" s="60">
        <v>2</v>
      </c>
      <c r="JB18" s="60"/>
      <c r="JC18" s="60">
        <f>1/3</f>
        <v>0.33333333333333331</v>
      </c>
      <c r="JD18" s="60"/>
      <c r="JI18" s="60" t="s">
        <v>8</v>
      </c>
      <c r="JJ18" s="60"/>
      <c r="JK18" s="60">
        <f>1/JW6</f>
        <v>2</v>
      </c>
      <c r="JL18" s="60"/>
      <c r="JM18" s="60">
        <f>1/JW8</f>
        <v>3</v>
      </c>
      <c r="JN18" s="60"/>
      <c r="JO18" s="60">
        <f>1/JW10</f>
        <v>3</v>
      </c>
      <c r="JP18" s="60"/>
      <c r="JQ18" s="60">
        <f>1/JW12</f>
        <v>0.33333333333333331</v>
      </c>
      <c r="JR18" s="60"/>
      <c r="JS18" s="60">
        <f>1/JW14</f>
        <v>3</v>
      </c>
      <c r="JT18" s="60"/>
      <c r="JU18" s="60">
        <f>1/JW16</f>
        <v>3</v>
      </c>
      <c r="JV18" s="60"/>
      <c r="JW18" s="62">
        <v>1</v>
      </c>
      <c r="JX18" s="62"/>
      <c r="JY18" s="60">
        <v>2</v>
      </c>
      <c r="JZ18" s="60"/>
      <c r="KA18" s="61">
        <f>1/3</f>
        <v>0.33333333333333331</v>
      </c>
      <c r="KB18" s="61"/>
      <c r="KF18" s="60" t="s">
        <v>8</v>
      </c>
      <c r="KG18" s="60"/>
      <c r="KH18" s="60">
        <f>1/KT6</f>
        <v>0.33333333333333331</v>
      </c>
      <c r="KI18" s="60"/>
      <c r="KJ18" s="60">
        <f>1/KT8</f>
        <v>0.33333333333333331</v>
      </c>
      <c r="KK18" s="60"/>
      <c r="KL18" s="60">
        <f>1/KT10</f>
        <v>0.33333333333333331</v>
      </c>
      <c r="KM18" s="60"/>
      <c r="KN18" s="60">
        <f>1/KT12</f>
        <v>3</v>
      </c>
      <c r="KO18" s="60"/>
      <c r="KP18" s="60">
        <f>1/KT14</f>
        <v>0.33333333333333331</v>
      </c>
      <c r="KQ18" s="60"/>
      <c r="KR18" s="60">
        <f>1/KT16</f>
        <v>3</v>
      </c>
      <c r="KS18" s="60"/>
      <c r="KT18" s="62">
        <v>1</v>
      </c>
      <c r="KU18" s="62"/>
      <c r="KV18" s="60">
        <v>2</v>
      </c>
      <c r="KW18" s="60"/>
      <c r="KX18" s="60">
        <f>1/3</f>
        <v>0.33333333333333331</v>
      </c>
      <c r="KY18" s="60"/>
      <c r="LA18" s="46"/>
      <c r="LB18" s="46"/>
      <c r="LC18" s="46"/>
      <c r="LD18" s="46"/>
      <c r="LE18" s="46"/>
      <c r="LF18" s="46"/>
      <c r="LG18" s="46"/>
      <c r="LH18" s="46"/>
      <c r="LI18" s="46"/>
      <c r="LJ18" s="46"/>
      <c r="LK18" s="46"/>
      <c r="LL18" s="46"/>
      <c r="LM18" s="46"/>
      <c r="LN18" s="46"/>
      <c r="LO18" s="46"/>
      <c r="LP18" s="46"/>
      <c r="LQ18" s="46"/>
      <c r="LR18" s="46"/>
      <c r="LS18" s="46"/>
      <c r="LT18" s="46"/>
      <c r="LU18" s="46"/>
      <c r="LV18" s="46"/>
      <c r="LW18" s="46"/>
      <c r="LX18" s="46"/>
      <c r="LY18" s="46"/>
      <c r="LZ18" s="46"/>
      <c r="MA18" s="46"/>
      <c r="MB18" s="46"/>
      <c r="MC18" s="46"/>
      <c r="MD18" s="46"/>
      <c r="ME18" s="46"/>
      <c r="MF18" s="46"/>
      <c r="MG18" s="46"/>
      <c r="MH18" s="46"/>
      <c r="MI18" s="46"/>
      <c r="MJ18" s="46"/>
      <c r="MK18" s="46"/>
      <c r="ML18" s="46"/>
      <c r="MM18" s="46"/>
      <c r="MN18" s="46"/>
      <c r="MO18" s="46"/>
      <c r="MP18" s="46"/>
      <c r="MQ18" s="46"/>
      <c r="MR18" s="46"/>
      <c r="MS18" s="46"/>
      <c r="MT18" s="46"/>
      <c r="MU18" s="46"/>
      <c r="MV18" s="46"/>
      <c r="MW18" s="46"/>
      <c r="MX18" s="46"/>
      <c r="MY18" s="46"/>
      <c r="MZ18" s="46"/>
      <c r="NA18" s="46"/>
      <c r="NB18" s="46"/>
      <c r="NC18" s="46"/>
      <c r="ND18" s="46"/>
      <c r="NE18" s="46"/>
      <c r="NF18" s="46"/>
      <c r="NG18" s="46"/>
    </row>
    <row r="19" spans="3:380" x14ac:dyDescent="0.35"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2"/>
      <c r="R19" s="62"/>
      <c r="S19" s="60"/>
      <c r="T19" s="60"/>
      <c r="U19" s="60"/>
      <c r="V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2"/>
      <c r="AM19" s="62"/>
      <c r="AN19" s="60"/>
      <c r="AO19" s="60"/>
      <c r="AP19" s="60"/>
      <c r="AQ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2"/>
      <c r="BH19" s="62"/>
      <c r="BI19" s="60"/>
      <c r="BJ19" s="60"/>
      <c r="BK19" s="60"/>
      <c r="BL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2"/>
      <c r="CC19" s="62"/>
      <c r="CD19" s="60"/>
      <c r="CE19" s="60"/>
      <c r="CF19" s="61"/>
      <c r="CG19" s="61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2"/>
      <c r="CZ19" s="62"/>
      <c r="DA19" s="60"/>
      <c r="DB19" s="60"/>
      <c r="DC19" s="60"/>
      <c r="DD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2"/>
      <c r="DU19" s="62"/>
      <c r="DV19" s="60"/>
      <c r="DW19" s="60"/>
      <c r="DX19" s="60"/>
      <c r="DY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2"/>
      <c r="ER19" s="62"/>
      <c r="ES19" s="60"/>
      <c r="ET19" s="60"/>
      <c r="EU19" s="60"/>
      <c r="EV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2"/>
      <c r="FN19" s="62"/>
      <c r="FO19" s="60"/>
      <c r="FP19" s="60"/>
      <c r="FQ19" s="60"/>
      <c r="FR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2"/>
      <c r="GK19" s="62"/>
      <c r="GL19" s="60"/>
      <c r="GM19" s="60"/>
      <c r="GN19" s="60"/>
      <c r="GO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2"/>
      <c r="HG19" s="62"/>
      <c r="HH19" s="60"/>
      <c r="HI19" s="60"/>
      <c r="HJ19" s="60"/>
      <c r="HK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2"/>
      <c r="IC19" s="62"/>
      <c r="ID19" s="60"/>
      <c r="IE19" s="60"/>
      <c r="IF19" s="60"/>
      <c r="IG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2"/>
      <c r="IZ19" s="62"/>
      <c r="JA19" s="60"/>
      <c r="JB19" s="60"/>
      <c r="JC19" s="60"/>
      <c r="JD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2"/>
      <c r="JX19" s="62"/>
      <c r="JY19" s="60"/>
      <c r="JZ19" s="60"/>
      <c r="KA19" s="61"/>
      <c r="KB19" s="61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2"/>
      <c r="KU19" s="62"/>
      <c r="KV19" s="60"/>
      <c r="KW19" s="60"/>
      <c r="KX19" s="60"/>
      <c r="KY19" s="60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</row>
    <row r="20" spans="3:380" ht="15" customHeight="1" x14ac:dyDescent="0.35">
      <c r="C20" s="60" t="s">
        <v>80</v>
      </c>
      <c r="D20" s="60"/>
      <c r="E20" s="60">
        <f>1/S6</f>
        <v>0.33333333333333331</v>
      </c>
      <c r="F20" s="60"/>
      <c r="G20" s="60">
        <f>1/S8</f>
        <v>0.2</v>
      </c>
      <c r="H20" s="60"/>
      <c r="I20" s="60">
        <f>1/S10</f>
        <v>3</v>
      </c>
      <c r="J20" s="60"/>
      <c r="K20" s="60">
        <f>1/S12</f>
        <v>0.33333333333333331</v>
      </c>
      <c r="L20" s="60"/>
      <c r="M20" s="60">
        <f>1/S14</f>
        <v>3</v>
      </c>
      <c r="N20" s="60"/>
      <c r="O20" s="60">
        <f>1/S16</f>
        <v>3</v>
      </c>
      <c r="P20" s="60"/>
      <c r="Q20" s="60">
        <f>1/S18</f>
        <v>0.5</v>
      </c>
      <c r="R20" s="60"/>
      <c r="S20" s="62">
        <v>1</v>
      </c>
      <c r="T20" s="62"/>
      <c r="U20" s="60">
        <f>1/2</f>
        <v>0.5</v>
      </c>
      <c r="V20" s="60"/>
      <c r="X20" s="60" t="s">
        <v>80</v>
      </c>
      <c r="Y20" s="60"/>
      <c r="Z20" s="60">
        <f>1/AN6</f>
        <v>0.33333333333333331</v>
      </c>
      <c r="AA20" s="60"/>
      <c r="AB20" s="60">
        <f>1/AN8</f>
        <v>3</v>
      </c>
      <c r="AC20" s="60"/>
      <c r="AD20" s="60">
        <f>1/AN10</f>
        <v>0.33333333333333331</v>
      </c>
      <c r="AE20" s="60"/>
      <c r="AF20" s="60">
        <f>1/AN12</f>
        <v>3</v>
      </c>
      <c r="AG20" s="60"/>
      <c r="AH20" s="60">
        <f>1/AN14</f>
        <v>0.5</v>
      </c>
      <c r="AI20" s="60"/>
      <c r="AJ20" s="60">
        <f>1/AN16</f>
        <v>2</v>
      </c>
      <c r="AK20" s="60"/>
      <c r="AL20" s="60">
        <f>1/AN18</f>
        <v>0.5</v>
      </c>
      <c r="AM20" s="60"/>
      <c r="AN20" s="62">
        <v>1</v>
      </c>
      <c r="AO20" s="62"/>
      <c r="AP20" s="60">
        <f>1/3</f>
        <v>0.33333333333333331</v>
      </c>
      <c r="AQ20" s="60"/>
      <c r="AS20" s="60" t="s">
        <v>80</v>
      </c>
      <c r="AT20" s="60"/>
      <c r="AU20" s="60">
        <f>1/BI6</f>
        <v>0.5</v>
      </c>
      <c r="AV20" s="60"/>
      <c r="AW20" s="60">
        <f>1/BI8</f>
        <v>0.33333333333333331</v>
      </c>
      <c r="AX20" s="60"/>
      <c r="AY20" s="60">
        <f>1/BI10</f>
        <v>3</v>
      </c>
      <c r="AZ20" s="60"/>
      <c r="BA20" s="60">
        <f>1/BI12</f>
        <v>0.33333333333333331</v>
      </c>
      <c r="BB20" s="60"/>
      <c r="BC20" s="60">
        <f>1/BI14</f>
        <v>3</v>
      </c>
      <c r="BD20" s="60"/>
      <c r="BE20" s="60">
        <f>1/BI16</f>
        <v>0.33333333333333331</v>
      </c>
      <c r="BF20" s="60"/>
      <c r="BG20" s="60">
        <f>1/BI18</f>
        <v>2</v>
      </c>
      <c r="BH20" s="60"/>
      <c r="BI20" s="62">
        <v>1</v>
      </c>
      <c r="BJ20" s="62"/>
      <c r="BK20" s="60">
        <v>3</v>
      </c>
      <c r="BL20" s="60"/>
      <c r="BN20" s="60" t="s">
        <v>80</v>
      </c>
      <c r="BO20" s="60"/>
      <c r="BP20" s="60">
        <f>1/CD6</f>
        <v>2</v>
      </c>
      <c r="BQ20" s="60"/>
      <c r="BR20" s="60">
        <f>1/CD8</f>
        <v>3</v>
      </c>
      <c r="BS20" s="60"/>
      <c r="BT20" s="60">
        <f>1/CD10</f>
        <v>0.33333333333333331</v>
      </c>
      <c r="BU20" s="60"/>
      <c r="BV20" s="60">
        <f>1/CD12</f>
        <v>3</v>
      </c>
      <c r="BW20" s="60"/>
      <c r="BX20" s="60">
        <f>1/CD14</f>
        <v>2</v>
      </c>
      <c r="BY20" s="60"/>
      <c r="BZ20" s="60">
        <f>1/CD16</f>
        <v>3</v>
      </c>
      <c r="CA20" s="60"/>
      <c r="CB20" s="60">
        <f>1/CD18</f>
        <v>3</v>
      </c>
      <c r="CC20" s="60"/>
      <c r="CD20" s="62">
        <v>1</v>
      </c>
      <c r="CE20" s="62"/>
      <c r="CF20" s="60">
        <f>1/3</f>
        <v>0.33333333333333331</v>
      </c>
      <c r="CG20" s="60"/>
      <c r="CK20" s="60" t="s">
        <v>80</v>
      </c>
      <c r="CL20" s="60"/>
      <c r="CM20" s="60">
        <f>1/DA6</f>
        <v>0.33333333333333331</v>
      </c>
      <c r="CN20" s="60"/>
      <c r="CO20" s="60">
        <f>1/DA8</f>
        <v>3</v>
      </c>
      <c r="CP20" s="60"/>
      <c r="CQ20" s="60">
        <f>1/DA10</f>
        <v>3</v>
      </c>
      <c r="CR20" s="60"/>
      <c r="CS20" s="60">
        <f>1/DA12</f>
        <v>3</v>
      </c>
      <c r="CT20" s="60"/>
      <c r="CU20" s="60">
        <f>1/DA14</f>
        <v>0.33333333333333331</v>
      </c>
      <c r="CV20" s="60"/>
      <c r="CW20" s="60">
        <f>1/DA16</f>
        <v>3</v>
      </c>
      <c r="CX20" s="60"/>
      <c r="CY20" s="60">
        <f>1/DA18</f>
        <v>0.33333333333333331</v>
      </c>
      <c r="CZ20" s="60"/>
      <c r="DA20" s="62">
        <v>1</v>
      </c>
      <c r="DB20" s="62"/>
      <c r="DC20" s="60">
        <f>1/2</f>
        <v>0.5</v>
      </c>
      <c r="DD20" s="60"/>
      <c r="DF20" s="60" t="s">
        <v>80</v>
      </c>
      <c r="DG20" s="60"/>
      <c r="DH20" s="60">
        <f>1/DV6</f>
        <v>3</v>
      </c>
      <c r="DI20" s="60"/>
      <c r="DJ20" s="60">
        <f>1/DV8</f>
        <v>3</v>
      </c>
      <c r="DK20" s="60"/>
      <c r="DL20" s="60">
        <f>1/DV10</f>
        <v>3</v>
      </c>
      <c r="DM20" s="60"/>
      <c r="DN20" s="60">
        <f>1/DV12</f>
        <v>3</v>
      </c>
      <c r="DO20" s="60"/>
      <c r="DP20" s="60">
        <f>1/DV14</f>
        <v>0.33333333333333331</v>
      </c>
      <c r="DQ20" s="60"/>
      <c r="DR20" s="60">
        <f>1/DV16</f>
        <v>0.33333333333333331</v>
      </c>
      <c r="DS20" s="60"/>
      <c r="DT20" s="60">
        <f>1/DV18</f>
        <v>0.5</v>
      </c>
      <c r="DU20" s="60"/>
      <c r="DV20" s="62">
        <v>1</v>
      </c>
      <c r="DW20" s="62"/>
      <c r="DX20" s="60">
        <f>1/2</f>
        <v>0.5</v>
      </c>
      <c r="DY20" s="60"/>
      <c r="EC20" s="60" t="s">
        <v>9</v>
      </c>
      <c r="ED20" s="60"/>
      <c r="EE20" s="60">
        <f>1/ES6</f>
        <v>2</v>
      </c>
      <c r="EF20" s="60"/>
      <c r="EG20" s="60">
        <f>1/ES8</f>
        <v>0.33333333333333331</v>
      </c>
      <c r="EH20" s="60"/>
      <c r="EI20" s="60">
        <f>1/ES10</f>
        <v>3</v>
      </c>
      <c r="EJ20" s="60"/>
      <c r="EK20" s="60">
        <f>1/ES12</f>
        <v>0.33333333333333331</v>
      </c>
      <c r="EL20" s="60"/>
      <c r="EM20" s="60">
        <f>1/ES14</f>
        <v>0.33333333333333331</v>
      </c>
      <c r="EN20" s="60"/>
      <c r="EO20" s="60">
        <f>1/ES16</f>
        <v>0.33333333333333331</v>
      </c>
      <c r="EP20" s="60"/>
      <c r="EQ20" s="60">
        <f>1/ES18</f>
        <v>0.5</v>
      </c>
      <c r="ER20" s="60"/>
      <c r="ES20" s="62">
        <v>1</v>
      </c>
      <c r="ET20" s="62"/>
      <c r="EU20" s="60">
        <f>1/2</f>
        <v>0.5</v>
      </c>
      <c r="EV20" s="60"/>
      <c r="EY20" s="60" t="s">
        <v>80</v>
      </c>
      <c r="EZ20" s="60"/>
      <c r="FA20" s="60">
        <f>1/FO6</f>
        <v>3</v>
      </c>
      <c r="FB20" s="60"/>
      <c r="FC20" s="60">
        <f>1/FO8</f>
        <v>0.33333333333333331</v>
      </c>
      <c r="FD20" s="60"/>
      <c r="FE20" s="60">
        <f>1/FO10</f>
        <v>0.33333333333333331</v>
      </c>
      <c r="FF20" s="60"/>
      <c r="FG20" s="60">
        <f>1/FO12</f>
        <v>0.33333333333333331</v>
      </c>
      <c r="FH20" s="60"/>
      <c r="FI20" s="60">
        <f>1/FO14</f>
        <v>0.33333333333333331</v>
      </c>
      <c r="FJ20" s="60"/>
      <c r="FK20" s="60">
        <f>1/FO16</f>
        <v>0.5</v>
      </c>
      <c r="FL20" s="60"/>
      <c r="FM20" s="60">
        <f>1/FO18</f>
        <v>0.5</v>
      </c>
      <c r="FN20" s="60"/>
      <c r="FO20" s="62">
        <v>1</v>
      </c>
      <c r="FP20" s="62"/>
      <c r="FQ20" s="60">
        <f>1/2</f>
        <v>0.5</v>
      </c>
      <c r="FR20" s="60"/>
      <c r="FV20" s="60" t="s">
        <v>80</v>
      </c>
      <c r="FW20" s="60"/>
      <c r="FX20" s="60">
        <f>1/GL6</f>
        <v>0.33333333333333331</v>
      </c>
      <c r="FY20" s="60"/>
      <c r="FZ20" s="60">
        <f>1/GL8</f>
        <v>0.5</v>
      </c>
      <c r="GA20" s="60"/>
      <c r="GB20" s="60">
        <f>1/GL10</f>
        <v>3</v>
      </c>
      <c r="GC20" s="60"/>
      <c r="GD20" s="60">
        <f>1/GL12</f>
        <v>0.33333333333333331</v>
      </c>
      <c r="GE20" s="60"/>
      <c r="GF20" s="60">
        <f>1/GL14</f>
        <v>0.33333333333333331</v>
      </c>
      <c r="GG20" s="60"/>
      <c r="GH20" s="60">
        <f>1/GL16</f>
        <v>0.2</v>
      </c>
      <c r="GI20" s="60"/>
      <c r="GJ20" s="60">
        <f>1/GL18</f>
        <v>4</v>
      </c>
      <c r="GK20" s="60"/>
      <c r="GL20" s="62">
        <v>1</v>
      </c>
      <c r="GM20" s="62"/>
      <c r="GN20" s="60">
        <v>2</v>
      </c>
      <c r="GO20" s="60"/>
      <c r="GR20" s="60" t="s">
        <v>80</v>
      </c>
      <c r="GS20" s="60"/>
      <c r="GT20" s="60">
        <f>1/HH6</f>
        <v>0.33333333333333331</v>
      </c>
      <c r="GU20" s="60"/>
      <c r="GV20" s="60">
        <f>1/HH8</f>
        <v>0.2</v>
      </c>
      <c r="GW20" s="60"/>
      <c r="GX20" s="60">
        <f>1/HH10</f>
        <v>0.33333333333333331</v>
      </c>
      <c r="GY20" s="60"/>
      <c r="GZ20" s="60">
        <f>1/HH12</f>
        <v>0.33333333333333331</v>
      </c>
      <c r="HA20" s="60"/>
      <c r="HB20" s="60">
        <f>1/HH14</f>
        <v>0.5</v>
      </c>
      <c r="HC20" s="60"/>
      <c r="HD20" s="60">
        <f>1/HH16</f>
        <v>0.33333333333333331</v>
      </c>
      <c r="HE20" s="60"/>
      <c r="HF20" s="60">
        <f>1/HH18</f>
        <v>0.25</v>
      </c>
      <c r="HG20" s="60"/>
      <c r="HH20" s="62">
        <v>1</v>
      </c>
      <c r="HI20" s="62"/>
      <c r="HJ20" s="60">
        <f>1/2</f>
        <v>0.5</v>
      </c>
      <c r="HK20" s="60"/>
      <c r="HN20" s="60" t="s">
        <v>80</v>
      </c>
      <c r="HO20" s="60"/>
      <c r="HP20" s="60">
        <f>1/ID6</f>
        <v>0.33333333333333331</v>
      </c>
      <c r="HQ20" s="60"/>
      <c r="HR20" s="60">
        <f>1/ID8</f>
        <v>0.33333333333333331</v>
      </c>
      <c r="HS20" s="60"/>
      <c r="HT20" s="60">
        <f>1/ID10</f>
        <v>3</v>
      </c>
      <c r="HU20" s="60"/>
      <c r="HV20" s="60">
        <f>1/ID12</f>
        <v>0.33333333333333331</v>
      </c>
      <c r="HW20" s="60"/>
      <c r="HX20" s="60">
        <f>1/ID14</f>
        <v>0.33333333333333331</v>
      </c>
      <c r="HY20" s="60"/>
      <c r="HZ20" s="60">
        <f>1/ID16</f>
        <v>0.33333333333333331</v>
      </c>
      <c r="IA20" s="60"/>
      <c r="IB20" s="60">
        <f>1/ID18</f>
        <v>0.5</v>
      </c>
      <c r="IC20" s="60"/>
      <c r="ID20" s="62">
        <v>1</v>
      </c>
      <c r="IE20" s="62"/>
      <c r="IF20" s="60">
        <f>1/2</f>
        <v>0.5</v>
      </c>
      <c r="IG20" s="60"/>
      <c r="IK20" s="60" t="s">
        <v>9</v>
      </c>
      <c r="IL20" s="60"/>
      <c r="IM20" s="60">
        <f>1/JA6</f>
        <v>2</v>
      </c>
      <c r="IN20" s="60"/>
      <c r="IO20" s="60">
        <f>1/JA8</f>
        <v>0.2</v>
      </c>
      <c r="IP20" s="60"/>
      <c r="IQ20" s="60">
        <f>1/JA10</f>
        <v>3</v>
      </c>
      <c r="IR20" s="60"/>
      <c r="IS20" s="60">
        <f>1/JA12</f>
        <v>0.33333333333333331</v>
      </c>
      <c r="IT20" s="60"/>
      <c r="IU20" s="60">
        <f>1/JA14</f>
        <v>0.2</v>
      </c>
      <c r="IV20" s="60"/>
      <c r="IW20" s="60">
        <f>1/JA16</f>
        <v>0.33333333333333331</v>
      </c>
      <c r="IX20" s="60"/>
      <c r="IY20" s="60">
        <f>1/JA18</f>
        <v>0.5</v>
      </c>
      <c r="IZ20" s="60"/>
      <c r="JA20" s="62">
        <v>1</v>
      </c>
      <c r="JB20" s="62"/>
      <c r="JC20" s="60">
        <f>1/2</f>
        <v>0.5</v>
      </c>
      <c r="JD20" s="60"/>
      <c r="JI20" s="60" t="s">
        <v>80</v>
      </c>
      <c r="JJ20" s="60"/>
      <c r="JK20" s="60">
        <f>1/JY6</f>
        <v>4</v>
      </c>
      <c r="JL20" s="60"/>
      <c r="JM20" s="60">
        <f>1/JY8</f>
        <v>0.2</v>
      </c>
      <c r="JN20" s="60"/>
      <c r="JO20" s="60">
        <f>1/JY10</f>
        <v>0.2</v>
      </c>
      <c r="JP20" s="60"/>
      <c r="JQ20" s="60">
        <f>1/JY12</f>
        <v>3</v>
      </c>
      <c r="JR20" s="60"/>
      <c r="JS20" s="60">
        <f>1/JY14</f>
        <v>0.33333333333333331</v>
      </c>
      <c r="JT20" s="60"/>
      <c r="JU20" s="60">
        <f>1/JY16</f>
        <v>0.33333333333333331</v>
      </c>
      <c r="JV20" s="60"/>
      <c r="JW20" s="60">
        <f>1/JY18</f>
        <v>0.5</v>
      </c>
      <c r="JX20" s="60"/>
      <c r="JY20" s="62">
        <v>1</v>
      </c>
      <c r="JZ20" s="62"/>
      <c r="KA20" s="60">
        <f>1/2</f>
        <v>0.5</v>
      </c>
      <c r="KB20" s="60"/>
      <c r="KF20" s="60" t="s">
        <v>80</v>
      </c>
      <c r="KG20" s="60"/>
      <c r="KH20" s="60">
        <f>1/KV6</f>
        <v>0.33333333333333331</v>
      </c>
      <c r="KI20" s="60"/>
      <c r="KJ20" s="60">
        <f>1/KV8</f>
        <v>3</v>
      </c>
      <c r="KK20" s="60"/>
      <c r="KL20" s="60">
        <f>1/KV10</f>
        <v>0.33333333333333331</v>
      </c>
      <c r="KM20" s="60"/>
      <c r="KN20" s="60">
        <f>1/KV12</f>
        <v>3</v>
      </c>
      <c r="KO20" s="60"/>
      <c r="KP20" s="60">
        <f>1/KV14</f>
        <v>0.33333333333333331</v>
      </c>
      <c r="KQ20" s="60"/>
      <c r="KR20" s="60">
        <f>1/KV16</f>
        <v>0.33333333333333331</v>
      </c>
      <c r="KS20" s="60"/>
      <c r="KT20" s="60">
        <f>1/KV18</f>
        <v>0.5</v>
      </c>
      <c r="KU20" s="60"/>
      <c r="KV20" s="62">
        <v>1</v>
      </c>
      <c r="KW20" s="62"/>
      <c r="KX20" s="60">
        <f>1/2</f>
        <v>0.5</v>
      </c>
      <c r="KY20" s="60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</row>
    <row r="21" spans="3:380" ht="15" customHeight="1" x14ac:dyDescent="0.35"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2"/>
      <c r="T21" s="62"/>
      <c r="U21" s="60"/>
      <c r="V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2"/>
      <c r="AO21" s="62"/>
      <c r="AP21" s="60"/>
      <c r="AQ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2"/>
      <c r="BJ21" s="62"/>
      <c r="BK21" s="60"/>
      <c r="BL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2"/>
      <c r="CE21" s="62"/>
      <c r="CF21" s="60"/>
      <c r="CG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2"/>
      <c r="DB21" s="62"/>
      <c r="DC21" s="60"/>
      <c r="DD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2"/>
      <c r="DW21" s="62"/>
      <c r="DX21" s="60"/>
      <c r="DY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2"/>
      <c r="ET21" s="62"/>
      <c r="EU21" s="60"/>
      <c r="EV21" s="60"/>
      <c r="EY21" s="60"/>
      <c r="EZ21" s="60"/>
      <c r="FA21" s="60"/>
      <c r="FB21" s="60"/>
      <c r="FC21" s="60"/>
      <c r="FD21" s="60"/>
      <c r="FE21" s="60"/>
      <c r="FF21" s="60"/>
      <c r="FG21" s="60"/>
      <c r="FH21" s="60"/>
      <c r="FI21" s="60"/>
      <c r="FJ21" s="60"/>
      <c r="FK21" s="60"/>
      <c r="FL21" s="60"/>
      <c r="FM21" s="60"/>
      <c r="FN21" s="60"/>
      <c r="FO21" s="62"/>
      <c r="FP21" s="62"/>
      <c r="FQ21" s="60"/>
      <c r="FR21" s="60"/>
      <c r="FV21" s="60"/>
      <c r="FW21" s="60"/>
      <c r="FX21" s="60"/>
      <c r="FY21" s="60"/>
      <c r="FZ21" s="60"/>
      <c r="GA21" s="60"/>
      <c r="GB21" s="60"/>
      <c r="GC21" s="60"/>
      <c r="GD21" s="60"/>
      <c r="GE21" s="60"/>
      <c r="GF21" s="60"/>
      <c r="GG21" s="60"/>
      <c r="GH21" s="60"/>
      <c r="GI21" s="60"/>
      <c r="GJ21" s="60"/>
      <c r="GK21" s="60"/>
      <c r="GL21" s="62"/>
      <c r="GM21" s="62"/>
      <c r="GN21" s="60"/>
      <c r="GO21" s="60"/>
      <c r="GR21" s="60"/>
      <c r="GS21" s="60"/>
      <c r="GT21" s="60"/>
      <c r="GU21" s="60"/>
      <c r="GV21" s="60"/>
      <c r="GW21" s="60"/>
      <c r="GX21" s="60"/>
      <c r="GY21" s="60"/>
      <c r="GZ21" s="60"/>
      <c r="HA21" s="60"/>
      <c r="HB21" s="60"/>
      <c r="HC21" s="60"/>
      <c r="HD21" s="60"/>
      <c r="HE21" s="60"/>
      <c r="HF21" s="60"/>
      <c r="HG21" s="60"/>
      <c r="HH21" s="62"/>
      <c r="HI21" s="62"/>
      <c r="HJ21" s="60"/>
      <c r="HK21" s="60"/>
      <c r="HN21" s="60"/>
      <c r="HO21" s="60"/>
      <c r="HP21" s="60"/>
      <c r="HQ21" s="60"/>
      <c r="HR21" s="60"/>
      <c r="HS21" s="60"/>
      <c r="HT21" s="60"/>
      <c r="HU21" s="60"/>
      <c r="HV21" s="60"/>
      <c r="HW21" s="60"/>
      <c r="HX21" s="60"/>
      <c r="HY21" s="60"/>
      <c r="HZ21" s="60"/>
      <c r="IA21" s="60"/>
      <c r="IB21" s="60"/>
      <c r="IC21" s="60"/>
      <c r="ID21" s="62"/>
      <c r="IE21" s="62"/>
      <c r="IF21" s="60"/>
      <c r="IG21" s="60"/>
      <c r="IK21" s="60"/>
      <c r="IL21" s="60"/>
      <c r="IM21" s="60"/>
      <c r="IN21" s="60"/>
      <c r="IO21" s="60"/>
      <c r="IP21" s="60"/>
      <c r="IQ21" s="60"/>
      <c r="IR21" s="60"/>
      <c r="IS21" s="60"/>
      <c r="IT21" s="60"/>
      <c r="IU21" s="60"/>
      <c r="IV21" s="60"/>
      <c r="IW21" s="60"/>
      <c r="IX21" s="60"/>
      <c r="IY21" s="60"/>
      <c r="IZ21" s="60"/>
      <c r="JA21" s="62"/>
      <c r="JB21" s="62"/>
      <c r="JC21" s="60"/>
      <c r="JD21" s="60"/>
      <c r="JI21" s="60"/>
      <c r="JJ21" s="60"/>
      <c r="JK21" s="60"/>
      <c r="JL21" s="60"/>
      <c r="JM21" s="60"/>
      <c r="JN21" s="60"/>
      <c r="JO21" s="60"/>
      <c r="JP21" s="60"/>
      <c r="JQ21" s="60"/>
      <c r="JR21" s="60"/>
      <c r="JS21" s="60"/>
      <c r="JT21" s="60"/>
      <c r="JU21" s="60"/>
      <c r="JV21" s="60"/>
      <c r="JW21" s="60"/>
      <c r="JX21" s="60"/>
      <c r="JY21" s="62"/>
      <c r="JZ21" s="62"/>
      <c r="KA21" s="60"/>
      <c r="KB21" s="60"/>
      <c r="KF21" s="60"/>
      <c r="KG21" s="60"/>
      <c r="KH21" s="60"/>
      <c r="KI21" s="60"/>
      <c r="KJ21" s="60"/>
      <c r="KK21" s="60"/>
      <c r="KL21" s="60"/>
      <c r="KM21" s="60"/>
      <c r="KN21" s="60"/>
      <c r="KO21" s="60"/>
      <c r="KP21" s="60"/>
      <c r="KQ21" s="60"/>
      <c r="KR21" s="60"/>
      <c r="KS21" s="60"/>
      <c r="KT21" s="60"/>
      <c r="KU21" s="60"/>
      <c r="KV21" s="62"/>
      <c r="KW21" s="62"/>
      <c r="KX21" s="60"/>
      <c r="KY21" s="60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</row>
    <row r="22" spans="3:380" ht="15" customHeight="1" x14ac:dyDescent="0.35">
      <c r="C22" s="60" t="s">
        <v>33</v>
      </c>
      <c r="D22" s="60"/>
      <c r="E22" s="60">
        <f>1/U6</f>
        <v>3</v>
      </c>
      <c r="F22" s="60"/>
      <c r="G22" s="60">
        <f>1/U8</f>
        <v>0.33333333333333331</v>
      </c>
      <c r="H22" s="60"/>
      <c r="I22" s="60">
        <f>1/U10</f>
        <v>2</v>
      </c>
      <c r="J22" s="60"/>
      <c r="K22" s="60">
        <f>1/U12</f>
        <v>3</v>
      </c>
      <c r="L22" s="60"/>
      <c r="M22" s="60">
        <f>1/U14</f>
        <v>0.33333333333333331</v>
      </c>
      <c r="N22" s="60"/>
      <c r="O22" s="60">
        <f>1/U16</f>
        <v>0.33333333333333331</v>
      </c>
      <c r="P22" s="60"/>
      <c r="Q22" s="60">
        <f>1/U18</f>
        <v>9</v>
      </c>
      <c r="R22" s="60"/>
      <c r="S22" s="60">
        <f>1/U20</f>
        <v>2</v>
      </c>
      <c r="T22" s="60"/>
      <c r="U22" s="62">
        <v>1</v>
      </c>
      <c r="V22" s="62"/>
      <c r="X22" s="60" t="s">
        <v>33</v>
      </c>
      <c r="Y22" s="60"/>
      <c r="Z22" s="60">
        <f>1/AP6</f>
        <v>3</v>
      </c>
      <c r="AA22" s="60"/>
      <c r="AB22" s="60">
        <f>1/AP8</f>
        <v>0.33333333333333331</v>
      </c>
      <c r="AC22" s="60"/>
      <c r="AD22" s="60">
        <f>1/AP10</f>
        <v>7</v>
      </c>
      <c r="AE22" s="60"/>
      <c r="AF22" s="60">
        <f>1/AP12</f>
        <v>0.5</v>
      </c>
      <c r="AG22" s="60"/>
      <c r="AH22" s="60">
        <f>1/AP14</f>
        <v>0.5</v>
      </c>
      <c r="AI22" s="60"/>
      <c r="AJ22" s="60">
        <f>1/AP16</f>
        <v>0.33333333333333331</v>
      </c>
      <c r="AK22" s="60"/>
      <c r="AL22" s="60">
        <f>1/AP18</f>
        <v>2</v>
      </c>
      <c r="AM22" s="60"/>
      <c r="AN22" s="60">
        <f>1/AP20</f>
        <v>3</v>
      </c>
      <c r="AO22" s="60"/>
      <c r="AP22" s="62">
        <v>1</v>
      </c>
      <c r="AQ22" s="62"/>
      <c r="AS22" s="60" t="s">
        <v>33</v>
      </c>
      <c r="AT22" s="60"/>
      <c r="AU22" s="60">
        <f>1/BK6</f>
        <v>2</v>
      </c>
      <c r="AV22" s="60"/>
      <c r="AW22" s="60">
        <f>1/BK8</f>
        <v>3</v>
      </c>
      <c r="AX22" s="60"/>
      <c r="AY22" s="60">
        <f>1/BK10</f>
        <v>3</v>
      </c>
      <c r="AZ22" s="60"/>
      <c r="BA22" s="60">
        <f>1/BK12</f>
        <v>3</v>
      </c>
      <c r="BB22" s="60"/>
      <c r="BC22" s="60">
        <f>1/BK14</f>
        <v>0.33333333333333331</v>
      </c>
      <c r="BD22" s="60"/>
      <c r="BE22" s="60">
        <f>1/BK16</f>
        <v>0.5</v>
      </c>
      <c r="BF22" s="60"/>
      <c r="BG22" s="60">
        <f>1/BK18</f>
        <v>0.33333333333333331</v>
      </c>
      <c r="BH22" s="60"/>
      <c r="BI22" s="60">
        <f>1/BK20</f>
        <v>0.33333333333333331</v>
      </c>
      <c r="BJ22" s="60"/>
      <c r="BK22" s="62">
        <v>1</v>
      </c>
      <c r="BL22" s="62"/>
      <c r="BN22" s="60" t="s">
        <v>33</v>
      </c>
      <c r="BO22" s="60"/>
      <c r="BP22" s="60">
        <f>1/CF6</f>
        <v>0.5</v>
      </c>
      <c r="BQ22" s="60"/>
      <c r="BR22" s="60">
        <f>1/CF8</f>
        <v>0.33333333333333331</v>
      </c>
      <c r="BS22" s="60"/>
      <c r="BT22" s="60">
        <f>1/CF10</f>
        <v>0.5</v>
      </c>
      <c r="BU22" s="60"/>
      <c r="BV22" s="60">
        <f>1/CF12</f>
        <v>3</v>
      </c>
      <c r="BW22" s="60"/>
      <c r="BX22" s="60">
        <f>1/CF14</f>
        <v>0.33333333333333331</v>
      </c>
      <c r="BY22" s="60"/>
      <c r="BZ22" s="60">
        <f>1/CF16</f>
        <v>0.33333333333333331</v>
      </c>
      <c r="CA22" s="60"/>
      <c r="CB22" s="60">
        <f>1/CF18</f>
        <v>2</v>
      </c>
      <c r="CC22" s="60"/>
      <c r="CD22" s="60">
        <f>1/CF20</f>
        <v>3</v>
      </c>
      <c r="CE22" s="60"/>
      <c r="CF22" s="62">
        <v>1</v>
      </c>
      <c r="CG22" s="62"/>
      <c r="CK22" s="60" t="s">
        <v>33</v>
      </c>
      <c r="CL22" s="60"/>
      <c r="CM22" s="60">
        <f>1/DC6</f>
        <v>2</v>
      </c>
      <c r="CN22" s="60"/>
      <c r="CO22" s="60">
        <f>1/DC8</f>
        <v>0.5</v>
      </c>
      <c r="CP22" s="60"/>
      <c r="CQ22" s="60">
        <f>1/DC10</f>
        <v>3</v>
      </c>
      <c r="CR22" s="60"/>
      <c r="CS22" s="60">
        <f>1/DC12</f>
        <v>0.33333333333333331</v>
      </c>
      <c r="CT22" s="60"/>
      <c r="CU22" s="60">
        <f>1/DC14</f>
        <v>5</v>
      </c>
      <c r="CV22" s="60"/>
      <c r="CW22" s="60">
        <f>1/DC16</f>
        <v>3</v>
      </c>
      <c r="CX22" s="60"/>
      <c r="CY22" s="60">
        <f>1/DC18</f>
        <v>3</v>
      </c>
      <c r="CZ22" s="60"/>
      <c r="DA22" s="60">
        <f>1/DC20</f>
        <v>2</v>
      </c>
      <c r="DB22" s="60"/>
      <c r="DC22" s="62">
        <v>1</v>
      </c>
      <c r="DD22" s="62"/>
      <c r="DF22" s="60" t="s">
        <v>33</v>
      </c>
      <c r="DG22" s="60"/>
      <c r="DH22" s="60">
        <f>1/DX6</f>
        <v>5</v>
      </c>
      <c r="DI22" s="60"/>
      <c r="DJ22" s="60">
        <f>1/DX8</f>
        <v>0.33333333333333331</v>
      </c>
      <c r="DK22" s="60"/>
      <c r="DL22" s="60">
        <f>1/DX10</f>
        <v>2</v>
      </c>
      <c r="DM22" s="60"/>
      <c r="DN22" s="60">
        <f>1/DX12</f>
        <v>3</v>
      </c>
      <c r="DO22" s="60"/>
      <c r="DP22" s="60">
        <f>1/DX14</f>
        <v>3</v>
      </c>
      <c r="DQ22" s="60"/>
      <c r="DR22" s="60">
        <f>1/DX16</f>
        <v>0.33333333333333331</v>
      </c>
      <c r="DS22" s="60"/>
      <c r="DT22" s="60">
        <f>1/DX18</f>
        <v>3</v>
      </c>
      <c r="DU22" s="60"/>
      <c r="DV22" s="60">
        <f>1/DX20</f>
        <v>2</v>
      </c>
      <c r="DW22" s="60"/>
      <c r="DX22" s="62">
        <v>1</v>
      </c>
      <c r="DY22" s="62"/>
      <c r="EC22" s="60" t="s">
        <v>33</v>
      </c>
      <c r="ED22" s="60"/>
      <c r="EE22" s="60">
        <f>1/EU6</f>
        <v>5</v>
      </c>
      <c r="EF22" s="60"/>
      <c r="EG22" s="60">
        <f>1/EU8</f>
        <v>0.33333333333333331</v>
      </c>
      <c r="EH22" s="60"/>
      <c r="EI22" s="60">
        <f>1/EU10</f>
        <v>3</v>
      </c>
      <c r="EJ22" s="60"/>
      <c r="EK22" s="60">
        <f>1/EU12</f>
        <v>3</v>
      </c>
      <c r="EL22" s="60"/>
      <c r="EM22" s="60">
        <f>1/EU14</f>
        <v>0.33333333333333331</v>
      </c>
      <c r="EN22" s="60"/>
      <c r="EO22" s="60">
        <f>1/EU16</f>
        <v>0.33333333333333331</v>
      </c>
      <c r="EP22" s="60"/>
      <c r="EQ22" s="60">
        <f>1/EU18</f>
        <v>3</v>
      </c>
      <c r="ER22" s="60"/>
      <c r="ES22" s="60">
        <f>1/EU20</f>
        <v>2</v>
      </c>
      <c r="ET22" s="60"/>
      <c r="EU22" s="62">
        <v>1</v>
      </c>
      <c r="EV22" s="62"/>
      <c r="EY22" s="60" t="s">
        <v>33</v>
      </c>
      <c r="EZ22" s="60"/>
      <c r="FA22" s="60">
        <f>1/FQ6</f>
        <v>0.33333333333333331</v>
      </c>
      <c r="FB22" s="60"/>
      <c r="FC22" s="60">
        <f>1/FQ8</f>
        <v>0.33333333333333331</v>
      </c>
      <c r="FD22" s="60"/>
      <c r="FE22" s="60">
        <f>1/FQ10</f>
        <v>3</v>
      </c>
      <c r="FF22" s="60"/>
      <c r="FG22" s="60">
        <f>1/FQ12</f>
        <v>0.33333333333333331</v>
      </c>
      <c r="FH22" s="60"/>
      <c r="FI22" s="60">
        <f>1/FQ14</f>
        <v>0.2</v>
      </c>
      <c r="FJ22" s="60"/>
      <c r="FK22" s="60">
        <f>1/FQ16</f>
        <v>0.2</v>
      </c>
      <c r="FL22" s="60"/>
      <c r="FM22" s="60">
        <f>1/FQ18</f>
        <v>2</v>
      </c>
      <c r="FN22" s="60"/>
      <c r="FO22" s="60">
        <f>1/FQ20</f>
        <v>2</v>
      </c>
      <c r="FP22" s="60"/>
      <c r="FQ22" s="62">
        <v>1</v>
      </c>
      <c r="FR22" s="62"/>
      <c r="FV22" s="60" t="s">
        <v>33</v>
      </c>
      <c r="FW22" s="60"/>
      <c r="FX22" s="60">
        <f>1/GN6</f>
        <v>3</v>
      </c>
      <c r="FY22" s="60"/>
      <c r="FZ22" s="60">
        <f>1/GN8</f>
        <v>0.33333333333333331</v>
      </c>
      <c r="GA22" s="60"/>
      <c r="GB22" s="60">
        <f>1/GN10</f>
        <v>3</v>
      </c>
      <c r="GC22" s="60"/>
      <c r="GD22" s="60">
        <f>1/GN12</f>
        <v>5</v>
      </c>
      <c r="GE22" s="60"/>
      <c r="GF22" s="60">
        <f>1/GN14</f>
        <v>3</v>
      </c>
      <c r="GG22" s="60"/>
      <c r="GH22" s="60">
        <f>1/GN16</f>
        <v>0.2</v>
      </c>
      <c r="GI22" s="60"/>
      <c r="GJ22" s="60">
        <f>1/GN18</f>
        <v>3</v>
      </c>
      <c r="GK22" s="60"/>
      <c r="GL22" s="60">
        <f>1/GN20</f>
        <v>0.5</v>
      </c>
      <c r="GM22" s="60"/>
      <c r="GN22" s="62">
        <v>1</v>
      </c>
      <c r="GO22" s="62"/>
      <c r="GR22" s="60" t="s">
        <v>33</v>
      </c>
      <c r="GS22" s="60"/>
      <c r="GT22" s="60">
        <f>1/HJ6</f>
        <v>0.2</v>
      </c>
      <c r="GU22" s="60"/>
      <c r="GV22" s="60">
        <f>1/HJ8</f>
        <v>3</v>
      </c>
      <c r="GW22" s="60"/>
      <c r="GX22" s="60">
        <f>1/HJ10</f>
        <v>0.33333333333333331</v>
      </c>
      <c r="GY22" s="60"/>
      <c r="GZ22" s="60">
        <f>1/HJ12</f>
        <v>0.5</v>
      </c>
      <c r="HA22" s="60"/>
      <c r="HB22" s="60">
        <f>1/HJ14</f>
        <v>3</v>
      </c>
      <c r="HC22" s="60"/>
      <c r="HD22" s="60">
        <f>1/HJ16</f>
        <v>0.2</v>
      </c>
      <c r="HE22" s="60"/>
      <c r="HF22" s="60">
        <f>1/HJ18</f>
        <v>3</v>
      </c>
      <c r="HG22" s="60"/>
      <c r="HH22" s="60">
        <f>1/HJ20</f>
        <v>2</v>
      </c>
      <c r="HI22" s="60"/>
      <c r="HJ22" s="62">
        <v>1</v>
      </c>
      <c r="HK22" s="62"/>
      <c r="HN22" s="60" t="s">
        <v>33</v>
      </c>
      <c r="HO22" s="60"/>
      <c r="HP22" s="60">
        <f>1/IF6</f>
        <v>5</v>
      </c>
      <c r="HQ22" s="60"/>
      <c r="HR22" s="60">
        <f>1/IF8</f>
        <v>0.33333333333333331</v>
      </c>
      <c r="HS22" s="60"/>
      <c r="HT22" s="60">
        <f>1/IF10</f>
        <v>2</v>
      </c>
      <c r="HU22" s="60"/>
      <c r="HV22" s="60">
        <f>1/IF12</f>
        <v>0.33333333333333331</v>
      </c>
      <c r="HW22" s="60"/>
      <c r="HX22" s="60">
        <f>1/IF14</f>
        <v>0.33333333333333331</v>
      </c>
      <c r="HY22" s="60"/>
      <c r="HZ22" s="60">
        <f>1/IF16</f>
        <v>0.33333333333333331</v>
      </c>
      <c r="IA22" s="60"/>
      <c r="IB22" s="60">
        <f>1/IF18</f>
        <v>5</v>
      </c>
      <c r="IC22" s="60"/>
      <c r="ID22" s="60">
        <f>1/IF20</f>
        <v>2</v>
      </c>
      <c r="IE22" s="60"/>
      <c r="IF22" s="62">
        <v>1</v>
      </c>
      <c r="IG22" s="62"/>
      <c r="IK22" s="60" t="s">
        <v>33</v>
      </c>
      <c r="IL22" s="60"/>
      <c r="IM22" s="60">
        <f>1/JC6</f>
        <v>5</v>
      </c>
      <c r="IN22" s="60"/>
      <c r="IO22" s="60">
        <f>1/JC8</f>
        <v>0.33333333333333331</v>
      </c>
      <c r="IP22" s="60"/>
      <c r="IQ22" s="60">
        <f>1/JC10</f>
        <v>5</v>
      </c>
      <c r="IR22" s="60"/>
      <c r="IS22" s="60">
        <f>1/JC12</f>
        <v>3</v>
      </c>
      <c r="IT22" s="60"/>
      <c r="IU22" s="60">
        <f>1/JC14</f>
        <v>0.33333333333333331</v>
      </c>
      <c r="IV22" s="60"/>
      <c r="IW22" s="60">
        <f>1/JC16</f>
        <v>0.33333333333333331</v>
      </c>
      <c r="IX22" s="60"/>
      <c r="IY22" s="60">
        <f>1/JC18</f>
        <v>3</v>
      </c>
      <c r="IZ22" s="60"/>
      <c r="JA22" s="60">
        <f>1/JC20</f>
        <v>2</v>
      </c>
      <c r="JB22" s="60"/>
      <c r="JC22" s="62">
        <v>1</v>
      </c>
      <c r="JD22" s="62"/>
      <c r="JI22" s="60" t="s">
        <v>33</v>
      </c>
      <c r="JJ22" s="60"/>
      <c r="JK22" s="60">
        <f>1/KA6</f>
        <v>2</v>
      </c>
      <c r="JL22" s="60"/>
      <c r="JM22" s="60">
        <f>1/KA8</f>
        <v>0.33333333333333331</v>
      </c>
      <c r="JN22" s="60"/>
      <c r="JO22" s="60">
        <f>1/KA10</f>
        <v>0.33333333333333331</v>
      </c>
      <c r="JP22" s="60"/>
      <c r="JQ22" s="60">
        <f>1/KA12</f>
        <v>3</v>
      </c>
      <c r="JR22" s="60"/>
      <c r="JS22" s="60">
        <f>1/KA14</f>
        <v>0.33333333333333331</v>
      </c>
      <c r="JT22" s="60"/>
      <c r="JU22" s="60">
        <f>1/KA16</f>
        <v>0.33333333333333331</v>
      </c>
      <c r="JV22" s="60"/>
      <c r="JW22" s="60">
        <f>1/KA18</f>
        <v>3</v>
      </c>
      <c r="JX22" s="60"/>
      <c r="JY22" s="60">
        <f>1/KA20</f>
        <v>2</v>
      </c>
      <c r="JZ22" s="60"/>
      <c r="KA22" s="62">
        <v>1</v>
      </c>
      <c r="KB22" s="62"/>
      <c r="KF22" s="60" t="s">
        <v>33</v>
      </c>
      <c r="KG22" s="60"/>
      <c r="KH22" s="60">
        <f>1/KX6</f>
        <v>3</v>
      </c>
      <c r="KI22" s="60"/>
      <c r="KJ22" s="60">
        <f>1/KX8</f>
        <v>0.5</v>
      </c>
      <c r="KK22" s="60"/>
      <c r="KL22" s="60">
        <f>1/KX10</f>
        <v>3</v>
      </c>
      <c r="KM22" s="60"/>
      <c r="KN22" s="60">
        <f>1/KX12</f>
        <v>0.33333333333333331</v>
      </c>
      <c r="KO22" s="60"/>
      <c r="KP22" s="60">
        <f>1/KX14</f>
        <v>3</v>
      </c>
      <c r="KQ22" s="60"/>
      <c r="KR22" s="60">
        <f>1/KX16</f>
        <v>3</v>
      </c>
      <c r="KS22" s="60"/>
      <c r="KT22" s="60">
        <f>1/KX18</f>
        <v>3</v>
      </c>
      <c r="KU22" s="60"/>
      <c r="KV22" s="60">
        <f>1/KX20</f>
        <v>2</v>
      </c>
      <c r="KW22" s="60"/>
      <c r="KX22" s="62">
        <v>1</v>
      </c>
      <c r="KY22" s="62"/>
      <c r="LA22" s="46"/>
      <c r="LB22" s="46"/>
      <c r="LC22" s="46"/>
      <c r="LD22" s="46"/>
      <c r="LE22" s="46"/>
      <c r="LF22" s="46"/>
      <c r="LG22" s="46"/>
      <c r="LH22" s="46"/>
      <c r="LI22" s="46"/>
      <c r="LJ22" s="46"/>
      <c r="LK22" s="46"/>
      <c r="LL22" s="46"/>
      <c r="LM22" s="46"/>
      <c r="LN22" s="46"/>
      <c r="LO22" s="46"/>
      <c r="LP22" s="46"/>
      <c r="LQ22" s="46"/>
      <c r="LR22" s="46"/>
      <c r="LS22" s="46"/>
      <c r="LT22" s="46"/>
      <c r="LU22" s="46"/>
      <c r="LV22" s="46"/>
      <c r="LW22" s="46"/>
      <c r="LX22" s="46"/>
      <c r="LY22" s="46"/>
      <c r="LZ22" s="46"/>
      <c r="MA22" s="46"/>
      <c r="MB22" s="46"/>
      <c r="MC22" s="46"/>
      <c r="MD22" s="46"/>
      <c r="ME22" s="46"/>
      <c r="MF22" s="46"/>
      <c r="MG22" s="46"/>
      <c r="MH22" s="46"/>
      <c r="MI22" s="46"/>
      <c r="MJ22" s="46"/>
      <c r="MK22" s="46"/>
      <c r="ML22" s="46"/>
      <c r="MM22" s="46"/>
      <c r="MN22" s="46"/>
      <c r="MO22" s="46"/>
      <c r="MP22" s="46"/>
      <c r="MQ22" s="46"/>
      <c r="MR22" s="46"/>
      <c r="MS22" s="46"/>
      <c r="MT22" s="46"/>
      <c r="MU22" s="46"/>
      <c r="MV22" s="46"/>
      <c r="MW22" s="46"/>
      <c r="MX22" s="46"/>
      <c r="MY22" s="46"/>
      <c r="MZ22" s="46"/>
      <c r="NA22" s="46"/>
      <c r="NB22" s="46"/>
      <c r="NC22" s="46"/>
      <c r="ND22" s="46"/>
      <c r="NE22" s="46"/>
      <c r="NF22" s="46"/>
      <c r="NG22" s="46"/>
    </row>
    <row r="23" spans="3:380" ht="15" customHeight="1" x14ac:dyDescent="0.35"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2"/>
      <c r="V23" s="62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2"/>
      <c r="AQ23" s="62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2"/>
      <c r="BL23" s="62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2"/>
      <c r="CG23" s="62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2"/>
      <c r="DD23" s="62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2"/>
      <c r="DY23" s="62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2"/>
      <c r="EV23" s="62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2"/>
      <c r="FR23" s="62"/>
      <c r="FV23" s="60"/>
      <c r="FW23" s="60"/>
      <c r="FX23" s="60"/>
      <c r="FY23" s="60"/>
      <c r="FZ23" s="60"/>
      <c r="GA23" s="60"/>
      <c r="GB23" s="60"/>
      <c r="GC23" s="60"/>
      <c r="GD23" s="60"/>
      <c r="GE23" s="60"/>
      <c r="GF23" s="60"/>
      <c r="GG23" s="60"/>
      <c r="GH23" s="60"/>
      <c r="GI23" s="60"/>
      <c r="GJ23" s="60"/>
      <c r="GK23" s="60"/>
      <c r="GL23" s="60"/>
      <c r="GM23" s="60"/>
      <c r="GN23" s="62"/>
      <c r="GO23" s="62"/>
      <c r="GR23" s="60"/>
      <c r="GS23" s="60"/>
      <c r="GT23" s="60"/>
      <c r="GU23" s="60"/>
      <c r="GV23" s="60"/>
      <c r="GW23" s="60"/>
      <c r="GX23" s="60"/>
      <c r="GY23" s="60"/>
      <c r="GZ23" s="60"/>
      <c r="HA23" s="60"/>
      <c r="HB23" s="60"/>
      <c r="HC23" s="60"/>
      <c r="HD23" s="60"/>
      <c r="HE23" s="60"/>
      <c r="HF23" s="60"/>
      <c r="HG23" s="60"/>
      <c r="HH23" s="60"/>
      <c r="HI23" s="60"/>
      <c r="HJ23" s="62"/>
      <c r="HK23" s="62"/>
      <c r="HN23" s="60"/>
      <c r="HO23" s="60"/>
      <c r="HP23" s="60"/>
      <c r="HQ23" s="60"/>
      <c r="HR23" s="60"/>
      <c r="HS23" s="60"/>
      <c r="HT23" s="60"/>
      <c r="HU23" s="60"/>
      <c r="HV23" s="60"/>
      <c r="HW23" s="60"/>
      <c r="HX23" s="60"/>
      <c r="HY23" s="60"/>
      <c r="HZ23" s="60"/>
      <c r="IA23" s="60"/>
      <c r="IB23" s="60"/>
      <c r="IC23" s="60"/>
      <c r="ID23" s="60"/>
      <c r="IE23" s="60"/>
      <c r="IF23" s="62"/>
      <c r="IG23" s="62"/>
      <c r="IK23" s="60"/>
      <c r="IL23" s="60"/>
      <c r="IM23" s="60"/>
      <c r="IN23" s="60"/>
      <c r="IO23" s="60"/>
      <c r="IP23" s="60"/>
      <c r="IQ23" s="60"/>
      <c r="IR23" s="60"/>
      <c r="IS23" s="60"/>
      <c r="IT23" s="60"/>
      <c r="IU23" s="60"/>
      <c r="IV23" s="60"/>
      <c r="IW23" s="60"/>
      <c r="IX23" s="60"/>
      <c r="IY23" s="60"/>
      <c r="IZ23" s="60"/>
      <c r="JA23" s="60"/>
      <c r="JB23" s="60"/>
      <c r="JC23" s="62"/>
      <c r="JD23" s="62"/>
      <c r="JI23" s="60"/>
      <c r="JJ23" s="60"/>
      <c r="JK23" s="60"/>
      <c r="JL23" s="60"/>
      <c r="JM23" s="60"/>
      <c r="JN23" s="60"/>
      <c r="JO23" s="60"/>
      <c r="JP23" s="60"/>
      <c r="JQ23" s="60"/>
      <c r="JR23" s="60"/>
      <c r="JS23" s="60"/>
      <c r="JT23" s="60"/>
      <c r="JU23" s="60"/>
      <c r="JV23" s="60"/>
      <c r="JW23" s="60"/>
      <c r="JX23" s="60"/>
      <c r="JY23" s="60"/>
      <c r="JZ23" s="60"/>
      <c r="KA23" s="62"/>
      <c r="KB23" s="62"/>
      <c r="KF23" s="60"/>
      <c r="KG23" s="60"/>
      <c r="KH23" s="60"/>
      <c r="KI23" s="60"/>
      <c r="KJ23" s="60"/>
      <c r="KK23" s="60"/>
      <c r="KL23" s="60"/>
      <c r="KM23" s="60"/>
      <c r="KN23" s="60"/>
      <c r="KO23" s="60"/>
      <c r="KP23" s="60"/>
      <c r="KQ23" s="60"/>
      <c r="KR23" s="60"/>
      <c r="KS23" s="60"/>
      <c r="KT23" s="60"/>
      <c r="KU23" s="60"/>
      <c r="KV23" s="60"/>
      <c r="KW23" s="60"/>
      <c r="KX23" s="62"/>
      <c r="KY23" s="62"/>
      <c r="LA23" s="46"/>
      <c r="LB23" s="46"/>
      <c r="LC23" s="46"/>
      <c r="LD23" s="46"/>
      <c r="LE23" s="46"/>
      <c r="LF23" s="46"/>
      <c r="LG23" s="46"/>
      <c r="LH23" s="46"/>
      <c r="LI23" s="46"/>
      <c r="LJ23" s="46"/>
      <c r="LK23" s="46"/>
      <c r="LL23" s="46"/>
      <c r="LM23" s="46"/>
      <c r="LN23" s="46"/>
      <c r="LO23" s="46"/>
      <c r="LP23" s="46"/>
      <c r="LQ23" s="46"/>
      <c r="LR23" s="46"/>
      <c r="LS23" s="46"/>
      <c r="LT23" s="46"/>
      <c r="LU23" s="46"/>
      <c r="LV23" s="46"/>
      <c r="LW23" s="46"/>
      <c r="LX23" s="46"/>
      <c r="LY23" s="46"/>
      <c r="LZ23" s="46"/>
      <c r="MA23" s="46"/>
      <c r="MB23" s="46"/>
      <c r="MC23" s="46"/>
      <c r="MD23" s="46"/>
      <c r="ME23" s="46"/>
      <c r="MF23" s="46"/>
      <c r="MG23" s="46"/>
      <c r="MH23" s="46"/>
      <c r="MI23" s="46"/>
      <c r="MJ23" s="46"/>
      <c r="MK23" s="46"/>
      <c r="ML23" s="46"/>
      <c r="MM23" s="46"/>
      <c r="MN23" s="46"/>
      <c r="MO23" s="46"/>
      <c r="MP23" s="46"/>
      <c r="MQ23" s="46"/>
      <c r="MR23" s="46"/>
      <c r="MS23" s="46"/>
      <c r="MT23" s="46"/>
      <c r="MU23" s="46"/>
      <c r="MV23" s="46"/>
      <c r="MW23" s="46"/>
      <c r="MX23" s="46"/>
      <c r="MY23" s="46"/>
      <c r="MZ23" s="46"/>
      <c r="NA23" s="46"/>
      <c r="NB23" s="46"/>
      <c r="NC23" s="46"/>
      <c r="ND23" s="46"/>
      <c r="NE23" s="46"/>
      <c r="NF23" s="46"/>
      <c r="NG23" s="46"/>
    </row>
    <row r="24" spans="3:380" ht="15" customHeight="1" x14ac:dyDescent="0.35">
      <c r="LS24" s="46"/>
      <c r="LT24" s="46"/>
      <c r="LU24" s="46"/>
      <c r="LV24" s="46"/>
      <c r="LW24" s="46"/>
      <c r="LX24" s="46"/>
      <c r="LY24" s="46"/>
      <c r="LZ24" s="46"/>
      <c r="MA24" s="46"/>
      <c r="MB24" s="46"/>
      <c r="MC24" s="46"/>
      <c r="MD24" s="46"/>
      <c r="ME24" s="46"/>
      <c r="MF24" s="46"/>
      <c r="MG24" s="46"/>
      <c r="MH24" s="46"/>
      <c r="MI24" s="46"/>
      <c r="MJ24" s="46"/>
      <c r="MK24" s="46"/>
      <c r="ML24" s="46"/>
      <c r="MM24" s="46"/>
      <c r="MN24" s="46"/>
      <c r="MO24" s="46"/>
      <c r="MP24" s="46"/>
      <c r="MQ24" s="46"/>
      <c r="MR24" s="46"/>
      <c r="MS24" s="46"/>
      <c r="MT24" s="46"/>
      <c r="MU24" s="46"/>
      <c r="MV24" s="46"/>
      <c r="MW24" s="46"/>
      <c r="MX24" s="46"/>
      <c r="MY24" s="46"/>
      <c r="MZ24" s="46"/>
      <c r="NA24" s="46"/>
      <c r="NB24" s="46"/>
      <c r="NC24" s="46"/>
      <c r="ND24" s="46"/>
      <c r="NE24" s="46"/>
      <c r="NF24" s="46"/>
      <c r="NG24" s="46"/>
    </row>
    <row r="25" spans="3:380" ht="15" customHeight="1" x14ac:dyDescent="0.35"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CK25" s="69"/>
      <c r="CL25" s="69"/>
      <c r="CM25" s="69"/>
      <c r="CN25" s="69"/>
      <c r="CO25" s="69"/>
      <c r="CP25" s="69"/>
      <c r="CQ25" s="69"/>
      <c r="CR25" s="69"/>
      <c r="CS25" s="69"/>
      <c r="CT25" s="69"/>
      <c r="CU25" s="69"/>
      <c r="CV25" s="69"/>
      <c r="CW25" s="69"/>
      <c r="CX25" s="69"/>
      <c r="CY25" s="69"/>
      <c r="CZ25" s="69"/>
      <c r="DA25" s="69"/>
      <c r="DB25" s="69"/>
      <c r="DC25" s="69"/>
      <c r="DD25" s="69"/>
      <c r="EC25" s="69"/>
      <c r="ED25" s="69"/>
      <c r="EE25" s="69"/>
      <c r="EF25" s="69"/>
      <c r="EG25" s="69"/>
      <c r="EH25" s="69"/>
      <c r="EI25" s="69"/>
      <c r="EJ25" s="69"/>
      <c r="EK25" s="69"/>
      <c r="EL25" s="69"/>
      <c r="EM25" s="69"/>
      <c r="EN25" s="69"/>
      <c r="EO25" s="69"/>
      <c r="EP25" s="69"/>
      <c r="EQ25" s="69"/>
      <c r="ER25" s="69"/>
      <c r="ES25" s="69"/>
      <c r="ET25" s="69"/>
      <c r="EU25" s="69"/>
      <c r="EV25" s="69"/>
      <c r="FV25" s="69"/>
      <c r="FW25" s="69"/>
      <c r="FX25" s="69"/>
      <c r="FY25" s="69"/>
      <c r="FZ25" s="69"/>
      <c r="GA25" s="69"/>
      <c r="GB25" s="69"/>
      <c r="GC25" s="69"/>
      <c r="GD25" s="69"/>
      <c r="GE25" s="69"/>
      <c r="GF25" s="69"/>
      <c r="GG25" s="69"/>
      <c r="GH25" s="69"/>
      <c r="GI25" s="69"/>
      <c r="GJ25" s="69"/>
      <c r="GK25" s="69"/>
      <c r="GL25" s="69"/>
      <c r="GM25" s="69"/>
      <c r="GN25" s="69"/>
      <c r="GO25" s="69"/>
      <c r="GR25" s="69"/>
      <c r="GS25" s="69"/>
      <c r="GT25" s="69"/>
      <c r="GU25" s="69"/>
      <c r="GV25" s="69"/>
      <c r="GW25" s="69"/>
      <c r="GX25" s="69"/>
      <c r="GY25" s="69"/>
      <c r="GZ25" s="69"/>
      <c r="HA25" s="69"/>
      <c r="HB25" s="69"/>
      <c r="HC25" s="69"/>
      <c r="HD25" s="69"/>
      <c r="HE25" s="69"/>
      <c r="HF25" s="69"/>
      <c r="HG25" s="69"/>
      <c r="HH25" s="69"/>
      <c r="HI25" s="69"/>
      <c r="HJ25" s="69"/>
      <c r="HK25" s="69"/>
      <c r="HN25" s="69"/>
      <c r="HO25" s="69"/>
      <c r="HP25" s="69"/>
      <c r="HQ25" s="69"/>
      <c r="HR25" s="69"/>
      <c r="HS25" s="69"/>
      <c r="HT25" s="69"/>
      <c r="HU25" s="69"/>
      <c r="HV25" s="69"/>
      <c r="HW25" s="69"/>
      <c r="HX25" s="69"/>
      <c r="HY25" s="69"/>
      <c r="HZ25" s="69"/>
      <c r="IA25" s="69"/>
      <c r="IB25" s="69"/>
      <c r="IC25" s="69"/>
      <c r="ID25" s="69"/>
      <c r="IE25" s="69"/>
      <c r="IF25" s="69"/>
      <c r="IG25" s="69"/>
      <c r="IK25" s="69"/>
      <c r="IL25" s="69"/>
      <c r="IM25" s="69"/>
      <c r="IN25" s="69"/>
      <c r="IO25" s="69"/>
      <c r="IP25" s="69"/>
      <c r="IQ25" s="69"/>
      <c r="IR25" s="69"/>
      <c r="IS25" s="69"/>
      <c r="IT25" s="69"/>
      <c r="IU25" s="69"/>
      <c r="IV25" s="69"/>
      <c r="IW25" s="69"/>
      <c r="IX25" s="69"/>
      <c r="IY25" s="69"/>
      <c r="IZ25" s="69"/>
      <c r="JA25" s="69"/>
      <c r="JB25" s="69"/>
      <c r="JC25" s="69"/>
      <c r="JD25" s="69"/>
      <c r="JI25" s="69"/>
      <c r="JJ25" s="69"/>
      <c r="JK25" s="69"/>
      <c r="JL25" s="69"/>
      <c r="JM25" s="69"/>
      <c r="JN25" s="69"/>
      <c r="JO25" s="69"/>
      <c r="JP25" s="69"/>
      <c r="JQ25" s="69"/>
      <c r="JR25" s="69"/>
      <c r="JS25" s="69"/>
      <c r="JT25" s="69"/>
      <c r="JU25" s="69"/>
      <c r="JV25" s="69"/>
      <c r="JW25" s="69"/>
      <c r="JX25" s="69"/>
      <c r="JY25" s="69"/>
      <c r="JZ25" s="69"/>
      <c r="KA25" s="69"/>
      <c r="KB25" s="69"/>
      <c r="KF25" s="69"/>
      <c r="KG25" s="69"/>
      <c r="KH25" s="69"/>
      <c r="KI25" s="69"/>
      <c r="KJ25" s="69"/>
      <c r="KK25" s="69"/>
      <c r="KL25" s="69"/>
      <c r="KM25" s="69"/>
      <c r="KN25" s="69"/>
      <c r="KO25" s="69"/>
      <c r="KP25" s="69"/>
      <c r="KQ25" s="69"/>
      <c r="KR25" s="69"/>
      <c r="KS25" s="69"/>
      <c r="KT25" s="69"/>
      <c r="KU25" s="69"/>
      <c r="KV25" s="69"/>
      <c r="KW25" s="69"/>
      <c r="KX25" s="69"/>
      <c r="KY25" s="69"/>
      <c r="LS25" s="46"/>
      <c r="LT25" s="46"/>
      <c r="LU25" s="46"/>
      <c r="LV25" s="46"/>
      <c r="LW25" s="46"/>
      <c r="LX25" s="46"/>
      <c r="LY25" s="46"/>
      <c r="LZ25" s="46"/>
      <c r="MA25" s="46"/>
      <c r="MB25" s="46"/>
      <c r="MC25" s="46"/>
      <c r="MD25" s="46"/>
      <c r="ME25" s="46"/>
      <c r="MF25" s="46"/>
      <c r="MG25" s="46"/>
      <c r="MH25" s="46"/>
      <c r="MI25" s="46"/>
      <c r="MJ25" s="46"/>
      <c r="MK25" s="46"/>
      <c r="ML25" s="46"/>
      <c r="MM25" s="46"/>
      <c r="MN25" s="46"/>
      <c r="MO25" s="46"/>
      <c r="MP25" s="46"/>
      <c r="MQ25" s="46"/>
      <c r="MR25" s="46"/>
      <c r="MS25" s="46"/>
      <c r="MT25" s="46"/>
      <c r="MU25" s="46"/>
      <c r="MV25" s="46"/>
      <c r="MW25" s="46"/>
      <c r="MX25" s="46"/>
      <c r="MY25" s="46"/>
      <c r="MZ25" s="46"/>
      <c r="NA25" s="46"/>
      <c r="NB25" s="46"/>
      <c r="NC25" s="46"/>
      <c r="ND25" s="46"/>
      <c r="NE25" s="46"/>
      <c r="NF25" s="46"/>
      <c r="NG25" s="46"/>
      <c r="NH25" s="50"/>
      <c r="NI25" s="50"/>
      <c r="NJ25" s="50"/>
      <c r="NK25" s="50"/>
      <c r="NL25" s="50"/>
      <c r="NM25" s="50"/>
      <c r="NN25" s="50"/>
      <c r="NO25" s="57"/>
      <c r="NP25" s="57"/>
    </row>
    <row r="26" spans="3:380" ht="15" customHeight="1" x14ac:dyDescent="0.35">
      <c r="C26" s="45"/>
      <c r="D26" s="45"/>
      <c r="E26" s="45"/>
      <c r="F26" s="45"/>
      <c r="G26" s="96" t="s">
        <v>97</v>
      </c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45"/>
      <c r="T26" s="45"/>
      <c r="U26" s="45"/>
      <c r="V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5"/>
      <c r="HZ26" s="45"/>
      <c r="IA26" s="45"/>
      <c r="IB26" s="45"/>
      <c r="IC26" s="45"/>
      <c r="ID26" s="45"/>
      <c r="IE26" s="45"/>
      <c r="IF26" s="45"/>
      <c r="IG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5"/>
      <c r="JU26" s="45"/>
      <c r="JV26" s="45"/>
      <c r="JW26" s="45"/>
      <c r="JX26" s="45"/>
      <c r="JY26" s="45"/>
      <c r="JZ26" s="45"/>
      <c r="KA26" s="45"/>
      <c r="KB26" s="45"/>
      <c r="KF26" s="45"/>
      <c r="KG26" s="45"/>
      <c r="KH26" s="45"/>
      <c r="KI26" s="45"/>
      <c r="KJ26" s="45"/>
      <c r="KK26" s="45"/>
      <c r="KL26" s="45"/>
      <c r="KM26" s="45"/>
      <c r="KN26" s="45"/>
      <c r="KO26" s="45"/>
      <c r="KP26" s="45"/>
      <c r="KQ26" s="45"/>
      <c r="KR26" s="45"/>
      <c r="KS26" s="45"/>
      <c r="KT26" s="45"/>
      <c r="KU26" s="45"/>
      <c r="KV26" s="45"/>
      <c r="KW26" s="45"/>
      <c r="KX26" s="45"/>
      <c r="KY26" s="45"/>
      <c r="LS26" s="46"/>
      <c r="LT26" s="46"/>
      <c r="LU26" s="46"/>
      <c r="LV26" s="46"/>
      <c r="LW26" s="46"/>
      <c r="LX26" s="46"/>
      <c r="LY26" s="46"/>
      <c r="LZ26" s="46"/>
      <c r="MA26" s="46"/>
      <c r="MB26" s="46"/>
      <c r="MC26" s="46"/>
      <c r="MD26" s="46"/>
      <c r="ME26" s="46"/>
      <c r="MF26" s="46"/>
      <c r="MG26" s="46"/>
      <c r="MH26" s="46"/>
      <c r="MI26" s="46"/>
      <c r="MJ26" s="46"/>
      <c r="MK26" s="46"/>
      <c r="ML26" s="46"/>
      <c r="MM26" s="46"/>
      <c r="MN26" s="46"/>
      <c r="MO26" s="46"/>
      <c r="MP26" s="46"/>
      <c r="MQ26" s="46"/>
      <c r="MR26" s="46"/>
      <c r="MS26" s="46"/>
      <c r="MT26" s="46"/>
      <c r="MU26" s="46"/>
      <c r="MV26" s="46"/>
      <c r="MW26" s="46"/>
      <c r="MX26" s="46"/>
      <c r="MY26" s="46"/>
      <c r="MZ26" s="46"/>
      <c r="NA26" s="46"/>
      <c r="NB26" s="46"/>
      <c r="NC26" s="46"/>
      <c r="ND26" s="46"/>
      <c r="NE26" s="46"/>
      <c r="NF26" s="46"/>
      <c r="NG26" s="46"/>
      <c r="NH26" s="48"/>
      <c r="NI26" s="48"/>
      <c r="NJ26" s="48"/>
      <c r="NK26" s="48"/>
      <c r="NL26" s="48"/>
      <c r="NM26" s="48"/>
      <c r="NN26" s="48"/>
      <c r="NO26" s="49"/>
      <c r="NP26" s="49"/>
    </row>
    <row r="27" spans="3:380" ht="15" customHeight="1" x14ac:dyDescent="0.35"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/>
      <c r="IV27" s="45"/>
      <c r="IW27" s="45"/>
      <c r="IX27" s="45"/>
      <c r="IY27" s="45"/>
      <c r="IZ27" s="45"/>
      <c r="JA27" s="45"/>
      <c r="JB27" s="45"/>
      <c r="JC27" s="45"/>
      <c r="JD27" s="45"/>
      <c r="JI27" s="45"/>
      <c r="JJ27" s="45"/>
      <c r="JK27" s="45"/>
      <c r="JL27" s="45"/>
      <c r="JM27" s="45"/>
      <c r="JN27" s="45"/>
      <c r="JO27" s="45"/>
      <c r="JP27" s="45"/>
      <c r="JQ27" s="45"/>
      <c r="JR27" s="45"/>
      <c r="JS27" s="45"/>
      <c r="JT27" s="45"/>
      <c r="JU27" s="45"/>
      <c r="JV27" s="45"/>
      <c r="JW27" s="45"/>
      <c r="JX27" s="45"/>
      <c r="JY27" s="45"/>
      <c r="JZ27" s="45"/>
      <c r="KA27" s="45"/>
      <c r="KB27" s="45"/>
      <c r="KF27" s="45"/>
      <c r="KG27" s="45"/>
      <c r="KH27" s="45"/>
      <c r="KI27" s="45"/>
      <c r="KJ27" s="45"/>
      <c r="KK27" s="45"/>
      <c r="KL27" s="45"/>
      <c r="KM27" s="45"/>
      <c r="KN27" s="45"/>
      <c r="KO27" s="45"/>
      <c r="KP27" s="45"/>
      <c r="KQ27" s="45"/>
      <c r="KR27" s="45"/>
      <c r="KS27" s="45"/>
      <c r="KT27" s="45"/>
      <c r="KU27" s="45"/>
      <c r="KV27" s="45"/>
      <c r="KW27" s="45"/>
      <c r="KX27" s="45"/>
      <c r="KY27" s="45"/>
      <c r="LS27" s="46"/>
      <c r="LT27" s="46"/>
      <c r="LU27" s="46"/>
      <c r="LV27" s="46"/>
      <c r="LW27" s="46"/>
      <c r="LX27" s="46"/>
      <c r="LY27" s="46"/>
      <c r="LZ27" s="46"/>
      <c r="MA27" s="46"/>
      <c r="MB27" s="46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8"/>
      <c r="NI27" s="48"/>
      <c r="NJ27" s="48"/>
      <c r="NK27" s="48"/>
      <c r="NL27" s="48"/>
      <c r="NM27" s="48"/>
      <c r="NN27" s="48"/>
      <c r="NO27" s="49"/>
      <c r="NP27" s="49"/>
    </row>
    <row r="28" spans="3:380" x14ac:dyDescent="0.35">
      <c r="C28" s="60"/>
      <c r="D28" s="60"/>
      <c r="E28" s="60" t="s">
        <v>78</v>
      </c>
      <c r="F28" s="60"/>
      <c r="G28" s="60" t="s">
        <v>79</v>
      </c>
      <c r="H28" s="60"/>
      <c r="I28" s="60" t="s">
        <v>4</v>
      </c>
      <c r="J28" s="60"/>
      <c r="K28" s="60" t="s">
        <v>5</v>
      </c>
      <c r="L28" s="60"/>
      <c r="M28" s="60" t="s">
        <v>32</v>
      </c>
      <c r="N28" s="60"/>
      <c r="O28" s="60" t="s">
        <v>7</v>
      </c>
      <c r="P28" s="60"/>
      <c r="Q28" s="60" t="s">
        <v>8</v>
      </c>
      <c r="R28" s="60"/>
      <c r="S28" s="60" t="s">
        <v>80</v>
      </c>
      <c r="T28" s="60"/>
      <c r="U28" s="60" t="s">
        <v>33</v>
      </c>
      <c r="V28" s="60"/>
      <c r="X28" s="60"/>
      <c r="Y28" s="60"/>
      <c r="Z28" s="60" t="s">
        <v>78</v>
      </c>
      <c r="AA28" s="60"/>
      <c r="AB28" s="60" t="s">
        <v>79</v>
      </c>
      <c r="AC28" s="60"/>
      <c r="AD28" s="60" t="s">
        <v>4</v>
      </c>
      <c r="AE28" s="60"/>
      <c r="AF28" s="60" t="s">
        <v>5</v>
      </c>
      <c r="AG28" s="60"/>
      <c r="AH28" s="60" t="s">
        <v>32</v>
      </c>
      <c r="AI28" s="60"/>
      <c r="AJ28" s="60" t="s">
        <v>7</v>
      </c>
      <c r="AK28" s="60"/>
      <c r="AL28" s="60" t="s">
        <v>8</v>
      </c>
      <c r="AM28" s="60"/>
      <c r="AN28" s="60" t="s">
        <v>80</v>
      </c>
      <c r="AO28" s="60"/>
      <c r="AP28" s="60" t="s">
        <v>33</v>
      </c>
      <c r="AQ28" s="60"/>
      <c r="AR28" s="62" t="s">
        <v>99</v>
      </c>
      <c r="AS28" s="62"/>
      <c r="AT28" s="62" t="s">
        <v>100</v>
      </c>
      <c r="AU28" s="62"/>
      <c r="AV28" s="62" t="s">
        <v>105</v>
      </c>
      <c r="AW28" s="62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  <c r="GL28" s="45"/>
      <c r="GM28" s="45"/>
      <c r="GN28" s="45"/>
      <c r="GO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  <c r="HH28" s="45"/>
      <c r="HI28" s="45"/>
      <c r="HJ28" s="45"/>
      <c r="HK28" s="45"/>
      <c r="HN28" s="45"/>
      <c r="HO28" s="45"/>
      <c r="HP28" s="45"/>
      <c r="HQ28" s="45"/>
      <c r="HR28" s="45"/>
      <c r="HS28" s="45"/>
      <c r="HT28" s="45"/>
      <c r="HU28" s="45"/>
      <c r="HV28" s="45"/>
      <c r="HW28" s="45"/>
      <c r="HX28" s="45"/>
      <c r="HY28" s="45"/>
      <c r="HZ28" s="45"/>
      <c r="IA28" s="45"/>
      <c r="IB28" s="45"/>
      <c r="IC28" s="45"/>
      <c r="ID28" s="45"/>
      <c r="IE28" s="45"/>
      <c r="IF28" s="45"/>
      <c r="IG28" s="45"/>
      <c r="IK28" s="45"/>
      <c r="IL28" s="45"/>
      <c r="IM28" s="45"/>
      <c r="IN28" s="45"/>
      <c r="IO28" s="45"/>
      <c r="IP28" s="45"/>
      <c r="IQ28" s="45"/>
      <c r="IR28" s="45"/>
      <c r="IS28" s="45"/>
      <c r="IT28" s="45"/>
      <c r="IU28" s="45"/>
      <c r="IV28" s="45"/>
      <c r="IW28" s="45"/>
      <c r="IX28" s="45"/>
      <c r="IY28" s="45"/>
      <c r="IZ28" s="45"/>
      <c r="JA28" s="45"/>
      <c r="JB28" s="45"/>
      <c r="JC28" s="45"/>
      <c r="JD28" s="45"/>
      <c r="JI28" s="45"/>
      <c r="JJ28" s="45"/>
      <c r="JK28" s="45"/>
      <c r="JL28" s="45"/>
      <c r="JM28" s="45"/>
      <c r="JN28" s="45"/>
      <c r="JO28" s="45"/>
      <c r="JP28" s="45"/>
      <c r="JQ28" s="45"/>
      <c r="JR28" s="45"/>
      <c r="JS28" s="45"/>
      <c r="JT28" s="45"/>
      <c r="JU28" s="45"/>
      <c r="JV28" s="45"/>
      <c r="JW28" s="45"/>
      <c r="JX28" s="45"/>
      <c r="JY28" s="45"/>
      <c r="JZ28" s="45"/>
      <c r="KA28" s="45"/>
      <c r="KB28" s="45"/>
      <c r="KF28" s="45"/>
      <c r="KG28" s="45"/>
      <c r="KH28" s="45"/>
      <c r="KI28" s="45"/>
      <c r="KJ28" s="45"/>
      <c r="KK28" s="45"/>
      <c r="KL28" s="45"/>
      <c r="KM28" s="45"/>
      <c r="KN28" s="45"/>
      <c r="KO28" s="45"/>
      <c r="KP28" s="45"/>
      <c r="KQ28" s="45"/>
      <c r="KR28" s="45"/>
      <c r="KS28" s="45"/>
      <c r="KT28" s="45"/>
      <c r="KU28" s="45"/>
      <c r="KV28" s="45"/>
      <c r="KW28" s="45"/>
      <c r="KX28" s="45"/>
      <c r="KY28" s="45"/>
      <c r="LS28" s="46"/>
      <c r="LT28" s="46"/>
      <c r="LU28" s="46"/>
      <c r="LV28" s="46"/>
      <c r="LW28" s="46"/>
      <c r="LX28" s="46"/>
      <c r="LY28" s="46"/>
      <c r="LZ28" s="46"/>
      <c r="MA28" s="46"/>
      <c r="MB28" s="46"/>
      <c r="MC28" s="46"/>
      <c r="MD28" s="46"/>
      <c r="ME28" s="46"/>
      <c r="MF28" s="46"/>
      <c r="MG28" s="46"/>
      <c r="MH28" s="46"/>
      <c r="MI28" s="46"/>
      <c r="MJ28" s="46"/>
      <c r="MK28" s="46"/>
      <c r="ML28" s="46"/>
      <c r="MM28" s="46"/>
      <c r="MN28" s="46"/>
      <c r="MO28" s="46"/>
      <c r="MP28" s="46"/>
      <c r="MQ28" s="46"/>
      <c r="MR28" s="46"/>
      <c r="MS28" s="46"/>
      <c r="MT28" s="46"/>
      <c r="MU28" s="46"/>
      <c r="MV28" s="46"/>
      <c r="MW28" s="46"/>
      <c r="MX28" s="46"/>
      <c r="MY28" s="46"/>
      <c r="MZ28" s="46"/>
      <c r="NA28" s="46"/>
      <c r="NB28" s="46"/>
      <c r="NC28" s="46"/>
      <c r="ND28" s="46"/>
      <c r="NE28" s="46"/>
      <c r="NF28" s="46"/>
      <c r="NG28" s="46"/>
      <c r="NH28" s="48"/>
      <c r="NI28" s="48"/>
      <c r="NJ28" s="48"/>
      <c r="NK28" s="48"/>
      <c r="NL28" s="48"/>
      <c r="NM28" s="48"/>
      <c r="NN28" s="48"/>
      <c r="NO28" s="49"/>
      <c r="NP28" s="49"/>
    </row>
    <row r="29" spans="3:380" ht="15" customHeight="1" x14ac:dyDescent="0.35"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2"/>
      <c r="AS29" s="62"/>
      <c r="AT29" s="62"/>
      <c r="AU29" s="62"/>
      <c r="AV29" s="62"/>
      <c r="AW29" s="62"/>
      <c r="AZ29" t="s">
        <v>101</v>
      </c>
      <c r="BA29" s="56">
        <f>(AV48-9)/(9-1)</f>
        <v>7.519263576058588E-2</v>
      </c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  <c r="GL29" s="45"/>
      <c r="GM29" s="45"/>
      <c r="GN29" s="45"/>
      <c r="GO29" s="45"/>
      <c r="GR29" s="45"/>
      <c r="GS29" s="45"/>
      <c r="GT29" s="45"/>
      <c r="GU29" s="45"/>
      <c r="GV29" s="45"/>
      <c r="GW29" s="45"/>
      <c r="GX29" s="45"/>
      <c r="GY29" s="45"/>
      <c r="GZ29" s="45"/>
      <c r="HA29" s="45"/>
      <c r="HB29" s="45"/>
      <c r="HC29" s="45"/>
      <c r="HD29" s="45"/>
      <c r="HE29" s="45"/>
      <c r="HF29" s="45"/>
      <c r="HG29" s="45"/>
      <c r="HH29" s="45"/>
      <c r="HI29" s="45"/>
      <c r="HJ29" s="45"/>
      <c r="HK29" s="45"/>
      <c r="HN29" s="45"/>
      <c r="HO29" s="45"/>
      <c r="HP29" s="45"/>
      <c r="HQ29" s="45"/>
      <c r="HR29" s="45"/>
      <c r="HS29" s="45"/>
      <c r="HT29" s="45"/>
      <c r="HU29" s="45"/>
      <c r="HV29" s="45"/>
      <c r="HW29" s="45"/>
      <c r="HX29" s="45"/>
      <c r="HY29" s="45"/>
      <c r="HZ29" s="45"/>
      <c r="IA29" s="45"/>
      <c r="IB29" s="45"/>
      <c r="IC29" s="45"/>
      <c r="ID29" s="45"/>
      <c r="IE29" s="45"/>
      <c r="IF29" s="45"/>
      <c r="IG29" s="45"/>
      <c r="IK29" s="45"/>
      <c r="IL29" s="45"/>
      <c r="IM29" s="45"/>
      <c r="IN29" s="45"/>
      <c r="IO29" s="45"/>
      <c r="IP29" s="45"/>
      <c r="IQ29" s="45"/>
      <c r="IR29" s="45"/>
      <c r="IS29" s="45"/>
      <c r="IT29" s="45"/>
      <c r="IU29" s="45"/>
      <c r="IV29" s="45"/>
      <c r="IW29" s="45"/>
      <c r="IX29" s="45"/>
      <c r="IY29" s="45"/>
      <c r="IZ29" s="45"/>
      <c r="JA29" s="45"/>
      <c r="JB29" s="45"/>
      <c r="JC29" s="45"/>
      <c r="JD29" s="45"/>
      <c r="JI29" s="45"/>
      <c r="JJ29" s="45"/>
      <c r="JK29" s="45"/>
      <c r="JL29" s="45"/>
      <c r="JM29" s="45"/>
      <c r="JN29" s="45"/>
      <c r="JO29" s="45"/>
      <c r="JP29" s="45"/>
      <c r="JQ29" s="45"/>
      <c r="JR29" s="45"/>
      <c r="JS29" s="45"/>
      <c r="JT29" s="45"/>
      <c r="JU29" s="45"/>
      <c r="JV29" s="45"/>
      <c r="JW29" s="45"/>
      <c r="JX29" s="45"/>
      <c r="JY29" s="45"/>
      <c r="JZ29" s="45"/>
      <c r="KA29" s="45"/>
      <c r="KB29" s="45"/>
      <c r="KF29" s="45"/>
      <c r="KG29" s="45"/>
      <c r="KH29" s="45"/>
      <c r="KI29" s="45"/>
      <c r="KJ29" s="45"/>
      <c r="KK29" s="45"/>
      <c r="KL29" s="45"/>
      <c r="KM29" s="45"/>
      <c r="KN29" s="45"/>
      <c r="KO29" s="45"/>
      <c r="KP29" s="45"/>
      <c r="KQ29" s="45"/>
      <c r="KR29" s="45"/>
      <c r="KS29" s="45"/>
      <c r="KT29" s="45"/>
      <c r="KU29" s="45"/>
      <c r="KV29" s="45"/>
      <c r="KW29" s="45"/>
      <c r="KX29" s="45"/>
      <c r="KY29" s="45"/>
      <c r="LS29" s="46"/>
      <c r="LT29" s="46"/>
      <c r="LU29" s="46"/>
      <c r="LV29" s="46"/>
      <c r="LW29" s="46"/>
      <c r="LX29" s="46"/>
      <c r="LY29" s="46"/>
      <c r="LZ29" s="46"/>
      <c r="MA29" s="46"/>
      <c r="MB29" s="46"/>
      <c r="MC29" s="46"/>
      <c r="MD29" s="46"/>
      <c r="ME29" s="46"/>
      <c r="MF29" s="46"/>
      <c r="MG29" s="46"/>
      <c r="MH29" s="46"/>
      <c r="MI29" s="46"/>
      <c r="MJ29" s="46"/>
      <c r="MK29" s="46"/>
      <c r="ML29" s="46"/>
      <c r="MM29" s="46"/>
      <c r="MN29" s="46"/>
      <c r="MO29" s="46"/>
      <c r="MP29" s="46"/>
      <c r="MQ29" s="46"/>
      <c r="MR29" s="46"/>
      <c r="MS29" s="46"/>
      <c r="MT29" s="46"/>
      <c r="MU29" s="46"/>
      <c r="MV29" s="46"/>
      <c r="MW29" s="46"/>
      <c r="MX29" s="46"/>
      <c r="MY29" s="46"/>
      <c r="MZ29" s="46"/>
      <c r="NA29" s="46"/>
      <c r="NB29" s="46"/>
      <c r="NC29" s="46"/>
      <c r="ND29" s="46"/>
      <c r="NE29" s="46"/>
      <c r="NF29" s="46"/>
      <c r="NG29" s="46"/>
      <c r="NH29" s="48"/>
      <c r="NI29" s="48"/>
      <c r="NJ29" s="48"/>
      <c r="NK29" s="48"/>
      <c r="NL29" s="48"/>
      <c r="NM29" s="48"/>
      <c r="NN29" s="48"/>
      <c r="NO29" s="49"/>
      <c r="NP29" s="49"/>
    </row>
    <row r="30" spans="3:380" x14ac:dyDescent="0.35">
      <c r="C30" s="60" t="s">
        <v>78</v>
      </c>
      <c r="D30" s="60"/>
      <c r="E30" s="87">
        <f>AVERAGE(E6,Z6,AU6,BP6,CM6,DH6,EE6,FA6,FX6,GT6,HP6,IM6,JK6,KH6,LC6,LU6)</f>
        <v>1</v>
      </c>
      <c r="F30" s="87"/>
      <c r="G30" s="87">
        <f>ROUND(AVERAGE(G6,AB6,AW6,BR6,CO6,DJ6,EG6,FC6,FZ6,GV6,HR6,IO6,JM6,KJ6,LE6,LW6),0)</f>
        <v>1</v>
      </c>
      <c r="H30" s="87"/>
      <c r="I30" s="87">
        <f>ROUND(AVERAGE(I6,AD6,AY6,BT6,CQ6,DL6,EI6,FE6,GB6,GX6,HT6,IQ6,JO6,KL6,LG6,LY6),0)</f>
        <v>2</v>
      </c>
      <c r="J30" s="87"/>
      <c r="K30" s="87">
        <f>ROUND(AVERAGE(K6,AF6,BA6,BV6,CS6,DN6,EK6,FG6,GD6,GZ6,HV6,IS6,JQ6,KN6,LI6,MA6),0)</f>
        <v>2</v>
      </c>
      <c r="L30" s="87"/>
      <c r="M30" s="87">
        <f>ROUND(AVERAGE(M6,AH6,BC6,BX6,CU6,DP6,EM6,FI6,GF6,HB6,HX6,IU6,JS6,KP6,LK6,MC6),0)</f>
        <v>1</v>
      </c>
      <c r="N30" s="87"/>
      <c r="O30" s="87">
        <f>ROUND(AVERAGE(O6,AJ6,BE6,BZ6,CW6,DR6,EO6,FK6,GH6,HD6,HZ6,IW6,JU6,KR6,LM6,ME6),0)</f>
        <v>2</v>
      </c>
      <c r="P30" s="87"/>
      <c r="Q30" s="87">
        <f>ROUND(AVERAGE(Q6,AL6,BG6,CB6,CY6,DT6,EQ6,FM6,GJ6,HF6,IB6,IY6,JW6,KT6,LO6,MG6),0)</f>
        <v>2</v>
      </c>
      <c r="R30" s="87"/>
      <c r="S30" s="87">
        <f>ROUND(AVERAGE(S6,AN6,BI6,CD6,DA6,DV6,ES6,FO6,GL6,HH6,ID6,JA6,JY6,KV6,LQ6,MI6),0)</f>
        <v>2</v>
      </c>
      <c r="T30" s="87"/>
      <c r="U30" s="87">
        <f>ROUND(AVERAGE(U6,AP6,BK6,CF6,DC6,DX6,EU6,FQ6,GN6,HJ6,IF6,JC6,KA6,KX6,LS6,MK6),0)</f>
        <v>1</v>
      </c>
      <c r="V30" s="87"/>
      <c r="X30" s="60" t="s">
        <v>78</v>
      </c>
      <c r="Y30" s="60"/>
      <c r="Z30" s="101">
        <f>E30/$E$48</f>
        <v>0.15384615384615385</v>
      </c>
      <c r="AA30" s="101"/>
      <c r="AB30" s="101">
        <f>G30/$G$48</f>
        <v>0.15789473684210528</v>
      </c>
      <c r="AC30" s="101"/>
      <c r="AD30" s="101">
        <f>I30/$I$48</f>
        <v>0.2608695652173913</v>
      </c>
      <c r="AE30" s="101"/>
      <c r="AF30" s="101">
        <f>K30/$K$48</f>
        <v>0.19354838709677419</v>
      </c>
      <c r="AG30" s="101"/>
      <c r="AH30" s="101">
        <f>M30/$M$48</f>
        <v>0.14285714285714285</v>
      </c>
      <c r="AI30" s="101"/>
      <c r="AJ30" s="101">
        <f>O30/$O$48</f>
        <v>0.14457831325301204</v>
      </c>
      <c r="AK30" s="101"/>
      <c r="AL30" s="101">
        <f>Q30/$Q$48</f>
        <v>0.12903225806451613</v>
      </c>
      <c r="AM30" s="101"/>
      <c r="AN30" s="101">
        <f>S30/$S$48</f>
        <v>0.11764705882352941</v>
      </c>
      <c r="AO30" s="101"/>
      <c r="AP30" s="101">
        <f>U30/$U$48</f>
        <v>7.6923076923076927E-2</v>
      </c>
      <c r="AQ30" s="101"/>
      <c r="AR30" s="94">
        <f>SUM(Z30:AQ31)</f>
        <v>1.3771966929237018</v>
      </c>
      <c r="AS30" s="94"/>
      <c r="AT30" s="94">
        <f>AR30/$AR$48</f>
        <v>0.15302185476930019</v>
      </c>
      <c r="AU30" s="94"/>
      <c r="AV30" s="94">
        <f>AT30*E48</f>
        <v>0.99464205600045119</v>
      </c>
      <c r="AW30" s="94"/>
      <c r="AZ30" t="s">
        <v>102</v>
      </c>
      <c r="BA30">
        <v>1.45</v>
      </c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  <c r="GL30" s="45"/>
      <c r="GM30" s="45"/>
      <c r="GN30" s="45"/>
      <c r="GO30" s="45"/>
      <c r="GR30" s="45"/>
      <c r="GS30" s="45"/>
      <c r="GT30" s="45"/>
      <c r="GU30" s="45"/>
      <c r="GV30" s="45"/>
      <c r="GW30" s="45"/>
      <c r="GX30" s="45"/>
      <c r="GY30" s="45"/>
      <c r="GZ30" s="45"/>
      <c r="HA30" s="45"/>
      <c r="HB30" s="45"/>
      <c r="HC30" s="45"/>
      <c r="HD30" s="45"/>
      <c r="HE30" s="45"/>
      <c r="HF30" s="45"/>
      <c r="HG30" s="45"/>
      <c r="HH30" s="45"/>
      <c r="HI30" s="45"/>
      <c r="HJ30" s="45"/>
      <c r="HK30" s="45"/>
      <c r="HN30" s="45"/>
      <c r="HO30" s="45"/>
      <c r="HP30" s="45"/>
      <c r="HQ30" s="45"/>
      <c r="HR30" s="45"/>
      <c r="HS30" s="45"/>
      <c r="HT30" s="45"/>
      <c r="HU30" s="45"/>
      <c r="HV30" s="45"/>
      <c r="HW30" s="45"/>
      <c r="HX30" s="45"/>
      <c r="HY30" s="45"/>
      <c r="HZ30" s="45"/>
      <c r="IA30" s="45"/>
      <c r="IB30" s="45"/>
      <c r="IC30" s="45"/>
      <c r="ID30" s="45"/>
      <c r="IE30" s="45"/>
      <c r="IF30" s="45"/>
      <c r="IG30" s="45"/>
      <c r="IK30" s="45"/>
      <c r="IL30" s="45"/>
      <c r="IM30" s="45"/>
      <c r="IN30" s="45"/>
      <c r="IO30" s="45"/>
      <c r="IP30" s="45"/>
      <c r="IQ30" s="45"/>
      <c r="IR30" s="45"/>
      <c r="IS30" s="45"/>
      <c r="IT30" s="45"/>
      <c r="IU30" s="45"/>
      <c r="IV30" s="45"/>
      <c r="IW30" s="45"/>
      <c r="IX30" s="45"/>
      <c r="IY30" s="45"/>
      <c r="IZ30" s="45"/>
      <c r="JA30" s="45"/>
      <c r="JB30" s="45"/>
      <c r="JC30" s="45"/>
      <c r="JD30" s="45"/>
      <c r="JI30" s="45"/>
      <c r="JJ30" s="45"/>
      <c r="JK30" s="45"/>
      <c r="JL30" s="45"/>
      <c r="JM30" s="45"/>
      <c r="JN30" s="45"/>
      <c r="JO30" s="45"/>
      <c r="JP30" s="45"/>
      <c r="JQ30" s="45"/>
      <c r="JR30" s="45"/>
      <c r="JS30" s="45"/>
      <c r="JT30" s="45"/>
      <c r="JU30" s="45"/>
      <c r="JV30" s="45"/>
      <c r="JW30" s="45"/>
      <c r="JX30" s="45"/>
      <c r="JY30" s="45"/>
      <c r="JZ30" s="45"/>
      <c r="KA30" s="45"/>
      <c r="KB30" s="45"/>
      <c r="KF30" s="45"/>
      <c r="KG30" s="45"/>
      <c r="KH30" s="45"/>
      <c r="KI30" s="45"/>
      <c r="KJ30" s="45"/>
      <c r="KK30" s="45"/>
      <c r="KL30" s="45"/>
      <c r="KM30" s="45"/>
      <c r="KN30" s="45"/>
      <c r="KO30" s="45"/>
      <c r="KP30" s="45"/>
      <c r="KQ30" s="45"/>
      <c r="KR30" s="45"/>
      <c r="KS30" s="45"/>
      <c r="KT30" s="45"/>
      <c r="KU30" s="45"/>
      <c r="KV30" s="45"/>
      <c r="KW30" s="45"/>
      <c r="KX30" s="45"/>
      <c r="KY30" s="45"/>
      <c r="LS30" s="46"/>
      <c r="LT30" s="46"/>
      <c r="LU30" s="46"/>
      <c r="LV30" s="46"/>
      <c r="LW30" s="46"/>
      <c r="LX30" s="46"/>
      <c r="LY30" s="46"/>
      <c r="LZ30" s="46"/>
      <c r="MA30" s="46"/>
      <c r="MB30" s="46"/>
      <c r="MC30" s="46"/>
      <c r="MD30" s="46"/>
      <c r="ME30" s="46"/>
      <c r="MF30" s="46"/>
      <c r="MG30" s="46"/>
      <c r="MH30" s="46"/>
      <c r="MI30" s="46"/>
      <c r="MJ30" s="46"/>
      <c r="MK30" s="46"/>
      <c r="ML30" s="46"/>
      <c r="MM30" s="46"/>
      <c r="MN30" s="46"/>
      <c r="MO30" s="46"/>
      <c r="MP30" s="46"/>
      <c r="MQ30" s="46"/>
      <c r="MR30" s="46"/>
      <c r="MS30" s="46"/>
      <c r="MT30" s="46"/>
      <c r="MU30" s="46"/>
      <c r="MV30" s="46"/>
      <c r="MW30" s="46"/>
      <c r="MX30" s="46"/>
      <c r="MY30" s="46"/>
      <c r="MZ30" s="46"/>
      <c r="NA30" s="46"/>
      <c r="NB30" s="46"/>
      <c r="NC30" s="46"/>
      <c r="ND30" s="46"/>
      <c r="NE30" s="46"/>
      <c r="NF30" s="46"/>
      <c r="NG30" s="46"/>
      <c r="NH30" s="48"/>
      <c r="NI30" s="48"/>
      <c r="NJ30" s="48"/>
      <c r="NK30" s="48"/>
      <c r="NL30" s="48"/>
      <c r="NM30" s="48"/>
      <c r="NN30" s="48"/>
      <c r="NO30" s="49"/>
      <c r="NP30" s="49"/>
    </row>
    <row r="31" spans="3:380" ht="15" customHeight="1" x14ac:dyDescent="0.35">
      <c r="C31" s="60"/>
      <c r="D31" s="60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X31" s="60"/>
      <c r="Y31" s="60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94"/>
      <c r="AS31" s="94"/>
      <c r="AT31" s="94"/>
      <c r="AU31" s="94"/>
      <c r="AV31" s="94"/>
      <c r="AW31" s="94"/>
      <c r="AZ31" t="s">
        <v>103</v>
      </c>
      <c r="BA31">
        <f>BA29/BA30</f>
        <v>5.1856990179714402E-2</v>
      </c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LS31" s="46"/>
      <c r="LT31" s="46"/>
      <c r="LU31" s="46"/>
      <c r="LV31" s="46"/>
      <c r="LW31" s="46"/>
      <c r="LX31" s="46"/>
      <c r="LY31" s="46"/>
      <c r="LZ31" s="46"/>
      <c r="MA31" s="46"/>
      <c r="MB31" s="46"/>
      <c r="MC31" s="46"/>
      <c r="MD31" s="46"/>
      <c r="ME31" s="46"/>
      <c r="MF31" s="46"/>
      <c r="MG31" s="46"/>
      <c r="MH31" s="46"/>
      <c r="MI31" s="46"/>
      <c r="MJ31" s="46"/>
      <c r="MK31" s="46"/>
      <c r="ML31" s="46"/>
      <c r="MM31" s="46"/>
      <c r="MN31" s="46"/>
      <c r="MO31" s="46"/>
      <c r="MP31" s="46"/>
      <c r="MQ31" s="46"/>
      <c r="MR31" s="46"/>
      <c r="MS31" s="46"/>
      <c r="MT31" s="46"/>
      <c r="MU31" s="46"/>
      <c r="MV31" s="46"/>
      <c r="MW31" s="46"/>
      <c r="MX31" s="46"/>
      <c r="MY31" s="46"/>
      <c r="MZ31" s="46"/>
      <c r="NA31" s="46"/>
      <c r="NB31" s="46"/>
      <c r="NC31" s="46"/>
      <c r="ND31" s="46"/>
      <c r="NE31" s="46"/>
      <c r="NF31" s="46"/>
      <c r="NG31" s="46"/>
      <c r="NH31" s="48"/>
      <c r="NI31" s="48"/>
      <c r="NJ31" s="48"/>
      <c r="NK31" s="48"/>
      <c r="NL31" s="48"/>
      <c r="NM31" s="48"/>
      <c r="NN31" s="48"/>
      <c r="NO31" s="49"/>
      <c r="NP31" s="49"/>
    </row>
    <row r="32" spans="3:380" x14ac:dyDescent="0.35">
      <c r="C32" s="60" t="s">
        <v>79</v>
      </c>
      <c r="D32" s="60"/>
      <c r="E32" s="60">
        <f>1/G30</f>
        <v>1</v>
      </c>
      <c r="F32" s="60"/>
      <c r="G32" s="87">
        <f t="shared" ref="G32" si="0">AVERAGE(G8,AB8,AW8,BR8,CO8,DJ8,EG8,FC8,FZ8,GV8,HR8,IO8,JM8,KJ8,LE8,LW8)</f>
        <v>1</v>
      </c>
      <c r="H32" s="87"/>
      <c r="I32" s="87">
        <f>ROUND(AVERAGE(I8,AD8,AY8,BT8,CQ8,DL8,EI8,FE8,GB8,GX8,HT8,IQ8,JO8,KL8,LG8,LY8),0)</f>
        <v>1</v>
      </c>
      <c r="J32" s="87"/>
      <c r="K32" s="87">
        <f>ROUND(AVERAGE(K8,AF8,BA8,BV8,CS8,DN8,EK8,FG8,GD8,GZ8,HV8,IS8,JQ8,KN8,LI8,MA8),0)</f>
        <v>2</v>
      </c>
      <c r="L32" s="87"/>
      <c r="M32" s="87">
        <f>ROUND(AVERAGE(M8,AH8,BC8,BX8,CU8,DP8,EM8,FI8,GF8,HB8,HX8,IU8,JS8,KP8,LK8,MC8),0)</f>
        <v>1</v>
      </c>
      <c r="N32" s="87"/>
      <c r="O32" s="87">
        <f>ROUND(AVERAGE(O8,AJ8,BE8,BZ8,CW8,DR8,EO8,FK8,GH8,HD8,HZ8,IW8,JU8,KR8,LM8,ME8),0)</f>
        <v>2</v>
      </c>
      <c r="P32" s="87"/>
      <c r="Q32" s="87">
        <f>ROUND(AVERAGE(Q8,AL8,BG8,CB8,CY8,DT8,EQ8,FM8,GJ8,HF8,IB8,IY8,JW8,KT8,LO8,MG8),0)</f>
        <v>2</v>
      </c>
      <c r="R32" s="87"/>
      <c r="S32" s="87">
        <f>ROUND(AVERAGE(S8,AN8,BI8,CD8,DA8,DV8,ES8,FO8,GL8,HH8,ID8,JA8,JY8,KV8,LQ8,MI8),0)</f>
        <v>3</v>
      </c>
      <c r="T32" s="87"/>
      <c r="U32" s="87">
        <f>ROUND(AVERAGE(U8,AP8,BK8,CF8,DC8,DX8,EU8,FQ8,GN8,HJ8,IF8,JC8,KA8,KX8,LS8,MK8),0)</f>
        <v>2</v>
      </c>
      <c r="V32" s="87"/>
      <c r="X32" s="60" t="s">
        <v>79</v>
      </c>
      <c r="Y32" s="60"/>
      <c r="Z32" s="101">
        <f t="shared" ref="Z32" si="1">E32/$E$48</f>
        <v>0.15384615384615385</v>
      </c>
      <c r="AA32" s="101"/>
      <c r="AB32" s="101">
        <f t="shared" ref="AB32" si="2">G32/$G$48</f>
        <v>0.15789473684210528</v>
      </c>
      <c r="AC32" s="101"/>
      <c r="AD32" s="101">
        <f t="shared" ref="AD32" si="3">I32/$I$48</f>
        <v>0.13043478260869565</v>
      </c>
      <c r="AE32" s="101"/>
      <c r="AF32" s="101">
        <f t="shared" ref="AF32" si="4">K32/$K$48</f>
        <v>0.19354838709677419</v>
      </c>
      <c r="AG32" s="101"/>
      <c r="AH32" s="101">
        <f t="shared" ref="AH32" si="5">M32/$M$48</f>
        <v>0.14285714285714285</v>
      </c>
      <c r="AI32" s="101"/>
      <c r="AJ32" s="101">
        <f t="shared" ref="AJ32" si="6">O32/$O$48</f>
        <v>0.14457831325301204</v>
      </c>
      <c r="AK32" s="101"/>
      <c r="AL32" s="101">
        <f t="shared" ref="AL32" si="7">Q32/$Q$48</f>
        <v>0.12903225806451613</v>
      </c>
      <c r="AM32" s="101"/>
      <c r="AN32" s="101">
        <f t="shared" ref="AN32" si="8">S32/$S$48</f>
        <v>0.17647058823529413</v>
      </c>
      <c r="AO32" s="101"/>
      <c r="AP32" s="101">
        <f t="shared" ref="AP32" si="9">U32/$U$48</f>
        <v>0.15384615384615385</v>
      </c>
      <c r="AQ32" s="101"/>
      <c r="AR32" s="94">
        <f>SUM(Z32:AQ33)</f>
        <v>1.3825085166498483</v>
      </c>
      <c r="AS32" s="94"/>
      <c r="AT32" s="94">
        <f t="shared" ref="AT32" si="10">AR32/$AR$48</f>
        <v>0.15361205740553871</v>
      </c>
      <c r="AU32" s="94"/>
      <c r="AV32" s="94">
        <f>AT32*E48</f>
        <v>0.99847837313600163</v>
      </c>
      <c r="AW32" s="94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N32" s="45"/>
      <c r="HO32" s="45"/>
      <c r="HP32" s="45"/>
      <c r="HQ32" s="45"/>
      <c r="HR32" s="45"/>
      <c r="HS32" s="45"/>
      <c r="HT32" s="45"/>
      <c r="HU32" s="45"/>
      <c r="HV32" s="45"/>
      <c r="HW32" s="45"/>
      <c r="HX32" s="45"/>
      <c r="HY32" s="45"/>
      <c r="HZ32" s="45"/>
      <c r="IA32" s="45"/>
      <c r="IB32" s="45"/>
      <c r="IC32" s="45"/>
      <c r="ID32" s="45"/>
      <c r="IE32" s="45"/>
      <c r="IF32" s="45"/>
      <c r="IG32" s="45"/>
      <c r="IK32" s="45"/>
      <c r="IL32" s="45"/>
      <c r="IM32" s="45"/>
      <c r="IN32" s="45"/>
      <c r="IO32" s="45"/>
      <c r="IP32" s="45"/>
      <c r="IQ32" s="45"/>
      <c r="IR32" s="45"/>
      <c r="IS32" s="45"/>
      <c r="IT32" s="45"/>
      <c r="IU32" s="45"/>
      <c r="IV32" s="45"/>
      <c r="IW32" s="45"/>
      <c r="IX32" s="45"/>
      <c r="IY32" s="45"/>
      <c r="IZ32" s="45"/>
      <c r="JA32" s="45"/>
      <c r="JB32" s="45"/>
      <c r="JC32" s="45"/>
      <c r="JD32" s="45"/>
      <c r="JI32" s="45"/>
      <c r="JJ32" s="45"/>
      <c r="JK32" s="45"/>
      <c r="JL32" s="45"/>
      <c r="JM32" s="45"/>
      <c r="JN32" s="45"/>
      <c r="JO32" s="45"/>
      <c r="JP32" s="45"/>
      <c r="JQ32" s="45"/>
      <c r="JR32" s="45"/>
      <c r="JS32" s="45"/>
      <c r="JT32" s="45"/>
      <c r="JU32" s="45"/>
      <c r="JV32" s="45"/>
      <c r="JW32" s="45"/>
      <c r="JX32" s="45"/>
      <c r="JY32" s="45"/>
      <c r="JZ32" s="45"/>
      <c r="KA32" s="45"/>
      <c r="KB32" s="45"/>
      <c r="KF32" s="45"/>
      <c r="KG32" s="45"/>
      <c r="KH32" s="45"/>
      <c r="KI32" s="45"/>
      <c r="KJ32" s="45"/>
      <c r="KK32" s="45"/>
      <c r="KL32" s="45"/>
      <c r="KM32" s="45"/>
      <c r="KN32" s="45"/>
      <c r="KO32" s="45"/>
      <c r="KP32" s="45"/>
      <c r="KQ32" s="45"/>
      <c r="KR32" s="45"/>
      <c r="KS32" s="45"/>
      <c r="KT32" s="45"/>
      <c r="KU32" s="45"/>
      <c r="KV32" s="45"/>
      <c r="KW32" s="45"/>
      <c r="KX32" s="45"/>
      <c r="KY32" s="45"/>
      <c r="LS32" s="46"/>
      <c r="LT32" s="46"/>
      <c r="LU32" s="46"/>
      <c r="LV32" s="46"/>
      <c r="LW32" s="46"/>
      <c r="LX32" s="46"/>
      <c r="LY32" s="46"/>
      <c r="LZ32" s="46"/>
      <c r="MA32" s="46"/>
      <c r="MB32" s="46"/>
      <c r="MC32" s="46"/>
      <c r="MD32" s="46"/>
      <c r="ME32" s="46"/>
      <c r="MF32" s="46"/>
      <c r="MG32" s="46"/>
      <c r="MH32" s="46"/>
      <c r="MI32" s="46"/>
      <c r="MJ32" s="46"/>
      <c r="MK32" s="46"/>
      <c r="ML32" s="46"/>
      <c r="MM32" s="46"/>
      <c r="MN32" s="46"/>
      <c r="MO32" s="46"/>
      <c r="MP32" s="46"/>
      <c r="MQ32" s="46"/>
      <c r="MR32" s="46"/>
      <c r="MS32" s="46"/>
      <c r="MT32" s="46"/>
      <c r="MU32" s="46"/>
      <c r="MV32" s="46"/>
      <c r="MW32" s="46"/>
      <c r="MX32" s="46"/>
      <c r="MY32" s="46"/>
      <c r="MZ32" s="46"/>
      <c r="NA32" s="46"/>
      <c r="NB32" s="46"/>
      <c r="NC32" s="46"/>
      <c r="ND32" s="46"/>
      <c r="NE32" s="46"/>
      <c r="NF32" s="46"/>
      <c r="NG32" s="46"/>
      <c r="NH32" s="48"/>
      <c r="NI32" s="48"/>
      <c r="NJ32" s="48"/>
      <c r="NK32" s="48"/>
      <c r="NL32" s="48"/>
      <c r="NM32" s="48"/>
      <c r="NN32" s="48"/>
      <c r="NO32" s="49"/>
      <c r="NP32" s="49"/>
    </row>
    <row r="33" spans="3:380" ht="15" customHeight="1" x14ac:dyDescent="0.35">
      <c r="C33" s="60"/>
      <c r="D33" s="60"/>
      <c r="E33" s="60"/>
      <c r="F33" s="60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X33" s="60"/>
      <c r="Y33" s="60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94"/>
      <c r="AS33" s="94"/>
      <c r="AT33" s="94"/>
      <c r="AU33" s="94"/>
      <c r="AV33" s="94"/>
      <c r="AW33" s="94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  <c r="GL33" s="45"/>
      <c r="GM33" s="45"/>
      <c r="GN33" s="45"/>
      <c r="GO33" s="45"/>
      <c r="GR33" s="45"/>
      <c r="GS33" s="45"/>
      <c r="GT33" s="45"/>
      <c r="GU33" s="45"/>
      <c r="GV33" s="45"/>
      <c r="GW33" s="45"/>
      <c r="GX33" s="45"/>
      <c r="GY33" s="45"/>
      <c r="GZ33" s="45"/>
      <c r="HA33" s="45"/>
      <c r="HB33" s="45"/>
      <c r="HC33" s="45"/>
      <c r="HD33" s="45"/>
      <c r="HE33" s="45"/>
      <c r="HF33" s="45"/>
      <c r="HG33" s="45"/>
      <c r="HH33" s="45"/>
      <c r="HI33" s="45"/>
      <c r="HJ33" s="45"/>
      <c r="HK33" s="45"/>
      <c r="HN33" s="45"/>
      <c r="HO33" s="45"/>
      <c r="HP33" s="45"/>
      <c r="HQ33" s="45"/>
      <c r="HR33" s="45"/>
      <c r="HS33" s="45"/>
      <c r="HT33" s="45"/>
      <c r="HU33" s="45"/>
      <c r="HV33" s="45"/>
      <c r="HW33" s="45"/>
      <c r="HX33" s="45"/>
      <c r="HY33" s="45"/>
      <c r="HZ33" s="45"/>
      <c r="IA33" s="45"/>
      <c r="IB33" s="45"/>
      <c r="IC33" s="45"/>
      <c r="ID33" s="45"/>
      <c r="IE33" s="45"/>
      <c r="IF33" s="45"/>
      <c r="IG33" s="45"/>
      <c r="IK33" s="45"/>
      <c r="IL33" s="45"/>
      <c r="IM33" s="45"/>
      <c r="IN33" s="45"/>
      <c r="IO33" s="45"/>
      <c r="IP33" s="45"/>
      <c r="IQ33" s="45"/>
      <c r="IR33" s="45"/>
      <c r="IS33" s="45"/>
      <c r="IT33" s="45"/>
      <c r="IU33" s="45"/>
      <c r="IV33" s="45"/>
      <c r="IW33" s="45"/>
      <c r="IX33" s="45"/>
      <c r="IY33" s="45"/>
      <c r="IZ33" s="45"/>
      <c r="JA33" s="45"/>
      <c r="JB33" s="45"/>
      <c r="JC33" s="45"/>
      <c r="JD33" s="45"/>
      <c r="JI33" s="45"/>
      <c r="JJ33" s="45"/>
      <c r="JK33" s="45"/>
      <c r="JL33" s="45"/>
      <c r="JM33" s="45"/>
      <c r="JN33" s="45"/>
      <c r="JO33" s="45"/>
      <c r="JP33" s="45"/>
      <c r="JQ33" s="45"/>
      <c r="JR33" s="45"/>
      <c r="JS33" s="45"/>
      <c r="JT33" s="45"/>
      <c r="JU33" s="45"/>
      <c r="JV33" s="45"/>
      <c r="JW33" s="45"/>
      <c r="JX33" s="45"/>
      <c r="JY33" s="45"/>
      <c r="JZ33" s="45"/>
      <c r="KA33" s="45"/>
      <c r="KB33" s="45"/>
      <c r="KF33" s="45"/>
      <c r="KG33" s="45"/>
      <c r="KH33" s="45"/>
      <c r="KI33" s="45"/>
      <c r="KJ33" s="45"/>
      <c r="KK33" s="45"/>
      <c r="KL33" s="45"/>
      <c r="KM33" s="45"/>
      <c r="KN33" s="45"/>
      <c r="KO33" s="45"/>
      <c r="KP33" s="45"/>
      <c r="KQ33" s="45"/>
      <c r="KR33" s="45"/>
      <c r="KS33" s="45"/>
      <c r="KT33" s="45"/>
      <c r="KU33" s="45"/>
      <c r="KV33" s="45"/>
      <c r="KW33" s="45"/>
      <c r="KX33" s="45"/>
      <c r="KY33" s="45"/>
      <c r="LS33" s="46"/>
      <c r="LT33" s="46"/>
      <c r="LU33" s="46"/>
      <c r="LV33" s="46"/>
      <c r="LW33" s="46"/>
      <c r="LX33" s="46"/>
      <c r="LY33" s="46"/>
      <c r="LZ33" s="46"/>
      <c r="MA33" s="46"/>
      <c r="MB33" s="46"/>
      <c r="MC33" s="46"/>
      <c r="MD33" s="46"/>
      <c r="ME33" s="46"/>
      <c r="MF33" s="46"/>
      <c r="MG33" s="46"/>
      <c r="MH33" s="46"/>
      <c r="MI33" s="46"/>
      <c r="MJ33" s="46"/>
      <c r="MK33" s="46"/>
      <c r="ML33" s="46"/>
      <c r="MM33" s="46"/>
      <c r="MN33" s="46"/>
      <c r="MO33" s="46"/>
      <c r="MP33" s="46"/>
      <c r="MQ33" s="46"/>
      <c r="MR33" s="46"/>
      <c r="MS33" s="46"/>
      <c r="MT33" s="46"/>
      <c r="MU33" s="46"/>
      <c r="MV33" s="46"/>
      <c r="MW33" s="46"/>
      <c r="MX33" s="46"/>
      <c r="MY33" s="46"/>
      <c r="MZ33" s="46"/>
      <c r="NA33" s="46"/>
      <c r="NB33" s="46"/>
      <c r="NC33" s="46"/>
      <c r="ND33" s="46"/>
      <c r="NE33" s="46"/>
      <c r="NF33" s="46"/>
      <c r="NG33" s="46"/>
      <c r="NH33" s="48"/>
      <c r="NI33" s="48"/>
      <c r="NJ33" s="48"/>
      <c r="NK33" s="48"/>
      <c r="NL33" s="48"/>
      <c r="NM33" s="48"/>
      <c r="NN33" s="48"/>
      <c r="NO33" s="49"/>
      <c r="NP33" s="49"/>
    </row>
    <row r="34" spans="3:380" x14ac:dyDescent="0.35">
      <c r="C34" s="60" t="s">
        <v>4</v>
      </c>
      <c r="D34" s="60"/>
      <c r="E34" s="60">
        <f>1/I30</f>
        <v>0.5</v>
      </c>
      <c r="F34" s="60"/>
      <c r="G34" s="60">
        <f>1/I32</f>
        <v>1</v>
      </c>
      <c r="H34" s="60"/>
      <c r="I34" s="87">
        <f t="shared" ref="I34" si="11">AVERAGE(I10,AD10,AY10,BT10,CQ10,DL10,EI10,FE10,GB10,GX10,HT10,IQ10,JO10,KL10,LG10,LY10)</f>
        <v>1</v>
      </c>
      <c r="J34" s="87"/>
      <c r="K34" s="87">
        <f>ROUND(AVERAGE(K10,AF10,BA10,BV10,CS10,DN10,EK10,FG10,GD10,GZ10,HV10,IS10,JQ10,KN10,LI10,MA10),0)</f>
        <v>2</v>
      </c>
      <c r="L34" s="87"/>
      <c r="M34" s="87">
        <f>ROUND(AVERAGE(M10,AH10,BC10,BX10,CU10,DP10,EM10,FI10,GF10,HB10,HX10,IU10,JS10,KP10,LK10,MC10),0)</f>
        <v>1</v>
      </c>
      <c r="N34" s="87"/>
      <c r="O34" s="87">
        <f>ROUND(AVERAGE(O10,AJ10,BE10,BZ10,CW10,DR10,EO10,FK10,GH10,HD10,HZ10,IW10,JU10,KR10,LM10,ME10),0)</f>
        <v>3</v>
      </c>
      <c r="P34" s="87"/>
      <c r="Q34" s="87">
        <f>ROUND(AVERAGE(Q10,AL10,BG10,CB10,CY10,DT10,EQ10,FM10,GJ10,HF10,IB10,IY10,JW10,KT10,LO10,MG10),0)</f>
        <v>3</v>
      </c>
      <c r="R34" s="87"/>
      <c r="S34" s="87">
        <f>ROUND(AVERAGE(S10,AN10,BI10,CD10,DA10,DV10,ES10,FO10,GL10,HH10,ID10,JA10,JY10,KV10,LQ10,MI10),0)</f>
        <v>2</v>
      </c>
      <c r="T34" s="87"/>
      <c r="U34" s="87">
        <f>ROUND(AVERAGE(U10,AP10,BK10,CF10,DC10,DX10,EU10,FQ10,GN10,HJ10,IF10,JC10,KA10,KX10,LS10,MK10),0)</f>
        <v>1</v>
      </c>
      <c r="V34" s="87"/>
      <c r="X34" s="60" t="s">
        <v>4</v>
      </c>
      <c r="Y34" s="60"/>
      <c r="Z34" s="101">
        <f t="shared" ref="Z34" si="12">E34/$E$48</f>
        <v>7.6923076923076927E-2</v>
      </c>
      <c r="AA34" s="101"/>
      <c r="AB34" s="101">
        <f t="shared" ref="AB34" si="13">G34/$G$48</f>
        <v>0.15789473684210528</v>
      </c>
      <c r="AC34" s="101"/>
      <c r="AD34" s="101">
        <f t="shared" ref="AD34" si="14">I34/$I$48</f>
        <v>0.13043478260869565</v>
      </c>
      <c r="AE34" s="101"/>
      <c r="AF34" s="101">
        <f>K34/$K$48</f>
        <v>0.19354838709677419</v>
      </c>
      <c r="AG34" s="101"/>
      <c r="AH34" s="101">
        <f t="shared" ref="AH34" si="15">M34/$M$48</f>
        <v>0.14285714285714285</v>
      </c>
      <c r="AI34" s="101"/>
      <c r="AJ34" s="101">
        <f t="shared" ref="AJ34" si="16">O34/$O$48</f>
        <v>0.21686746987951808</v>
      </c>
      <c r="AK34" s="101"/>
      <c r="AL34" s="101">
        <f t="shared" ref="AL34" si="17">Q34/$Q$48</f>
        <v>0.19354838709677419</v>
      </c>
      <c r="AM34" s="101"/>
      <c r="AN34" s="101">
        <f>S34/$S$48</f>
        <v>0.11764705882352941</v>
      </c>
      <c r="AO34" s="101"/>
      <c r="AP34" s="101">
        <f t="shared" ref="AP34" si="18">U34/$U$48</f>
        <v>7.6923076923076927E-2</v>
      </c>
      <c r="AQ34" s="101"/>
      <c r="AR34" s="94">
        <f t="shared" ref="AR34" si="19">SUM(Z34:AQ35)</f>
        <v>1.3066441190506934</v>
      </c>
      <c r="AS34" s="94"/>
      <c r="AT34" s="94">
        <f t="shared" ref="AT34" si="20">AR34/$AR$48</f>
        <v>0.14518267989452149</v>
      </c>
      <c r="AU34" s="94"/>
      <c r="AV34" s="94">
        <f>AT34*I48</f>
        <v>1.1130672125246648</v>
      </c>
      <c r="AW34" s="94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  <c r="HZ34" s="45"/>
      <c r="IA34" s="45"/>
      <c r="IB34" s="45"/>
      <c r="IC34" s="45"/>
      <c r="ID34" s="45"/>
      <c r="IE34" s="45"/>
      <c r="IF34" s="45"/>
      <c r="IG34" s="45"/>
      <c r="IK34" s="45"/>
      <c r="IL34" s="45"/>
      <c r="IM34" s="45"/>
      <c r="IN34" s="45"/>
      <c r="IO34" s="45"/>
      <c r="IP34" s="45"/>
      <c r="IQ34" s="45"/>
      <c r="IR34" s="45"/>
      <c r="IS34" s="45"/>
      <c r="IT34" s="45"/>
      <c r="IU34" s="45"/>
      <c r="IV34" s="45"/>
      <c r="IW34" s="45"/>
      <c r="IX34" s="45"/>
      <c r="IY34" s="45"/>
      <c r="IZ34" s="45"/>
      <c r="JA34" s="45"/>
      <c r="JB34" s="45"/>
      <c r="JC34" s="45"/>
      <c r="JD34" s="45"/>
      <c r="JI34" s="45"/>
      <c r="JJ34" s="45"/>
      <c r="JK34" s="45"/>
      <c r="JL34" s="45"/>
      <c r="JM34" s="45"/>
      <c r="JN34" s="45"/>
      <c r="JO34" s="45"/>
      <c r="JP34" s="45"/>
      <c r="JQ34" s="45"/>
      <c r="JR34" s="45"/>
      <c r="JS34" s="45"/>
      <c r="JT34" s="45"/>
      <c r="JU34" s="45"/>
      <c r="JV34" s="45"/>
      <c r="JW34" s="45"/>
      <c r="JX34" s="45"/>
      <c r="JY34" s="45"/>
      <c r="JZ34" s="45"/>
      <c r="KA34" s="45"/>
      <c r="KB34" s="45"/>
      <c r="KF34" s="45"/>
      <c r="KG34" s="45"/>
      <c r="KH34" s="45"/>
      <c r="KI34" s="45"/>
      <c r="KJ34" s="45"/>
      <c r="KK34" s="45"/>
      <c r="KL34" s="45"/>
      <c r="KM34" s="45"/>
      <c r="KN34" s="45"/>
      <c r="KO34" s="45"/>
      <c r="KP34" s="45"/>
      <c r="KQ34" s="45"/>
      <c r="KR34" s="45"/>
      <c r="KS34" s="45"/>
      <c r="KT34" s="45"/>
      <c r="KU34" s="45"/>
      <c r="KV34" s="45"/>
      <c r="KW34" s="45"/>
      <c r="KX34" s="45"/>
      <c r="KY34" s="45"/>
      <c r="LS34" s="46"/>
      <c r="LT34" s="46"/>
      <c r="LU34" s="46"/>
      <c r="LV34" s="46"/>
      <c r="LW34" s="46"/>
      <c r="LX34" s="46"/>
      <c r="LY34" s="46"/>
      <c r="LZ34" s="46"/>
      <c r="MA34" s="46"/>
      <c r="MB34" s="46"/>
      <c r="MC34" s="46"/>
      <c r="MD34" s="46"/>
      <c r="ME34" s="46"/>
      <c r="MF34" s="46"/>
      <c r="MG34" s="46"/>
      <c r="MH34" s="46"/>
      <c r="MI34" s="46"/>
      <c r="MJ34" s="46"/>
      <c r="MK34" s="46"/>
      <c r="ML34" s="46"/>
      <c r="MM34" s="46"/>
      <c r="MN34" s="46"/>
      <c r="MO34" s="46"/>
      <c r="MP34" s="46"/>
      <c r="MQ34" s="46"/>
      <c r="MR34" s="46"/>
      <c r="MS34" s="46"/>
      <c r="MT34" s="46"/>
      <c r="MU34" s="46"/>
      <c r="MV34" s="46"/>
      <c r="MW34" s="46"/>
      <c r="MX34" s="46"/>
      <c r="MY34" s="46"/>
      <c r="MZ34" s="46"/>
      <c r="NA34" s="46"/>
      <c r="NB34" s="46"/>
      <c r="NC34" s="46"/>
      <c r="ND34" s="46"/>
      <c r="NE34" s="46"/>
      <c r="NF34" s="46"/>
      <c r="NG34" s="46"/>
      <c r="NH34" s="48"/>
      <c r="NI34" s="48"/>
      <c r="NJ34" s="48"/>
      <c r="NK34" s="48"/>
      <c r="NL34" s="48"/>
      <c r="NM34" s="48"/>
      <c r="NN34" s="48"/>
      <c r="NO34" s="49"/>
      <c r="NP34" s="49"/>
    </row>
    <row r="35" spans="3:380" ht="15" customHeight="1" x14ac:dyDescent="0.35">
      <c r="C35" s="60"/>
      <c r="D35" s="60"/>
      <c r="E35" s="60"/>
      <c r="F35" s="60"/>
      <c r="G35" s="60"/>
      <c r="H35" s="60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X35" s="60"/>
      <c r="Y35" s="60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94"/>
      <c r="AS35" s="94"/>
      <c r="AT35" s="94"/>
      <c r="AU35" s="94"/>
      <c r="AV35" s="94"/>
      <c r="AW35" s="94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N35" s="45"/>
      <c r="HO35" s="45"/>
      <c r="HP35" s="45"/>
      <c r="HQ35" s="45"/>
      <c r="HR35" s="45"/>
      <c r="HS35" s="45"/>
      <c r="HT35" s="45"/>
      <c r="HU35" s="45"/>
      <c r="HV35" s="45"/>
      <c r="HW35" s="45"/>
      <c r="HX35" s="45"/>
      <c r="HY35" s="45"/>
      <c r="HZ35" s="45"/>
      <c r="IA35" s="45"/>
      <c r="IB35" s="45"/>
      <c r="IC35" s="45"/>
      <c r="ID35" s="45"/>
      <c r="IE35" s="45"/>
      <c r="IF35" s="45"/>
      <c r="IG35" s="45"/>
      <c r="IK35" s="45"/>
      <c r="IL35" s="45"/>
      <c r="IM35" s="45"/>
      <c r="IN35" s="45"/>
      <c r="IO35" s="45"/>
      <c r="IP35" s="45"/>
      <c r="IQ35" s="45"/>
      <c r="IR35" s="45"/>
      <c r="IS35" s="45"/>
      <c r="IT35" s="45"/>
      <c r="IU35" s="45"/>
      <c r="IV35" s="45"/>
      <c r="IW35" s="45"/>
      <c r="IX35" s="45"/>
      <c r="IY35" s="45"/>
      <c r="IZ35" s="45"/>
      <c r="JA35" s="45"/>
      <c r="JB35" s="45"/>
      <c r="JC35" s="45"/>
      <c r="JD35" s="45"/>
      <c r="JI35" s="45"/>
      <c r="JJ35" s="45"/>
      <c r="JK35" s="45"/>
      <c r="JL35" s="45"/>
      <c r="JM35" s="45"/>
      <c r="JN35" s="45"/>
      <c r="JO35" s="45"/>
      <c r="JP35" s="45"/>
      <c r="JQ35" s="45"/>
      <c r="JR35" s="45"/>
      <c r="JS35" s="45"/>
      <c r="JT35" s="45"/>
      <c r="JU35" s="45"/>
      <c r="JV35" s="45"/>
      <c r="JW35" s="45"/>
      <c r="JX35" s="45"/>
      <c r="JY35" s="45"/>
      <c r="JZ35" s="45"/>
      <c r="KA35" s="45"/>
      <c r="KB35" s="45"/>
      <c r="KF35" s="45"/>
      <c r="KG35" s="45"/>
      <c r="KH35" s="45"/>
      <c r="KI35" s="45"/>
      <c r="KJ35" s="45"/>
      <c r="KK35" s="45"/>
      <c r="KL35" s="45"/>
      <c r="KM35" s="45"/>
      <c r="KN35" s="45"/>
      <c r="KO35" s="45"/>
      <c r="KP35" s="45"/>
      <c r="KQ35" s="45"/>
      <c r="KR35" s="45"/>
      <c r="KS35" s="45"/>
      <c r="KT35" s="45"/>
      <c r="KU35" s="45"/>
      <c r="KV35" s="45"/>
      <c r="KW35" s="45"/>
      <c r="KX35" s="45"/>
      <c r="KY35" s="45"/>
      <c r="LS35" s="46"/>
      <c r="LT35" s="46"/>
      <c r="LU35" s="46"/>
      <c r="LV35" s="46"/>
      <c r="LW35" s="46"/>
      <c r="LX35" s="46"/>
      <c r="LY35" s="46"/>
      <c r="LZ35" s="46"/>
      <c r="MA35" s="46"/>
      <c r="MB35" s="46"/>
      <c r="MC35" s="46"/>
      <c r="MD35" s="46"/>
      <c r="ME35" s="46"/>
      <c r="MF35" s="46"/>
      <c r="MG35" s="46"/>
      <c r="MH35" s="46"/>
      <c r="MI35" s="46"/>
      <c r="MJ35" s="46"/>
      <c r="MK35" s="46"/>
      <c r="ML35" s="46"/>
      <c r="MM35" s="46"/>
      <c r="MN35" s="46"/>
      <c r="MO35" s="46"/>
      <c r="MP35" s="46"/>
      <c r="MQ35" s="46"/>
      <c r="MR35" s="46"/>
      <c r="MS35" s="46"/>
      <c r="MT35" s="46"/>
      <c r="MU35" s="46"/>
      <c r="MV35" s="46"/>
      <c r="MW35" s="46"/>
      <c r="MX35" s="46"/>
      <c r="MY35" s="46"/>
      <c r="MZ35" s="46"/>
      <c r="NA35" s="46"/>
      <c r="NB35" s="46"/>
      <c r="NC35" s="46"/>
      <c r="ND35" s="46"/>
      <c r="NE35" s="46"/>
      <c r="NF35" s="46"/>
      <c r="NG35" s="46"/>
      <c r="NH35" s="48"/>
      <c r="NI35" s="48"/>
      <c r="NJ35" s="48"/>
      <c r="NK35" s="48"/>
      <c r="NL35" s="48"/>
      <c r="NM35" s="48"/>
      <c r="NN35" s="48"/>
      <c r="NO35" s="49"/>
      <c r="NP35" s="49"/>
    </row>
    <row r="36" spans="3:380" ht="15" customHeight="1" x14ac:dyDescent="0.35">
      <c r="C36" s="60" t="s">
        <v>5</v>
      </c>
      <c r="D36" s="60"/>
      <c r="E36" s="60">
        <f>1/K30</f>
        <v>0.5</v>
      </c>
      <c r="F36" s="60"/>
      <c r="G36" s="60">
        <f>1/K32</f>
        <v>0.5</v>
      </c>
      <c r="H36" s="60"/>
      <c r="I36" s="60">
        <f>1/K34</f>
        <v>0.5</v>
      </c>
      <c r="J36" s="60"/>
      <c r="K36" s="87">
        <f t="shared" ref="K36" si="21">AVERAGE(K12,AF12,BA12,BV12,CS12,DN12,EK12,FG12,GD12,GZ12,HV12,IS12,JQ12,KN12,LI12,MA12)</f>
        <v>1</v>
      </c>
      <c r="L36" s="87"/>
      <c r="M36" s="87">
        <f>ROUND(AVERAGE(M12,AH12,BC12,BX12,CU12,DP12,EM12,FI12,GF12,HB12,HX12,IU12,JS12,KP12,LK12,MC12),0)</f>
        <v>1</v>
      </c>
      <c r="N36" s="87"/>
      <c r="O36" s="87">
        <f>ROUND(AVERAGE(O12,AJ12,BE12,BZ12,CW12,DR12,EO12,FK12,GH12,HD12,HZ12,IW12,JU12,KR12,LM12,ME12),0)</f>
        <v>2</v>
      </c>
      <c r="P36" s="87"/>
      <c r="Q36" s="87">
        <f>ROUND(AVERAGE(Q12,AL12,BG12,CB12,CY12,DT12,EQ12,FM12,GJ12,HF12,IB12,IY12,JW12,KT12,LO12,MG12),0)</f>
        <v>3</v>
      </c>
      <c r="R36" s="87"/>
      <c r="S36" s="87">
        <f>ROUND(AVERAGE(S12,AN12,BI12,CD12,DA12,DV12,ES12,FO12,GL12,HH12,ID12,JA12,JY12,KV12,LQ12,MI12),0)</f>
        <v>2</v>
      </c>
      <c r="T36" s="87"/>
      <c r="U36" s="87">
        <f>ROUND(AVERAGE(U12,AP12,BK12,CF12,DC12,DX12,EU12,FQ12,GN12,HJ12,IF12,JC12,KA12,KX12,LS12,MK12),0)</f>
        <v>1</v>
      </c>
      <c r="V36" s="87"/>
      <c r="X36" s="60" t="s">
        <v>5</v>
      </c>
      <c r="Y36" s="60"/>
      <c r="Z36" s="101">
        <f>E36/$E$48</f>
        <v>7.6923076923076927E-2</v>
      </c>
      <c r="AA36" s="101"/>
      <c r="AB36" s="101">
        <f t="shared" ref="AB36" si="22">G36/$G$48</f>
        <v>7.8947368421052641E-2</v>
      </c>
      <c r="AC36" s="101"/>
      <c r="AD36" s="101">
        <f t="shared" ref="AD36" si="23">I36/$I$48</f>
        <v>6.5217391304347824E-2</v>
      </c>
      <c r="AE36" s="101"/>
      <c r="AF36" s="101">
        <f t="shared" ref="AF36" si="24">K36/$K$48</f>
        <v>9.6774193548387094E-2</v>
      </c>
      <c r="AG36" s="101"/>
      <c r="AH36" s="101">
        <f t="shared" ref="AH36" si="25">M36/$M$48</f>
        <v>0.14285714285714285</v>
      </c>
      <c r="AI36" s="101"/>
      <c r="AJ36" s="101">
        <f t="shared" ref="AJ36" si="26">O36/$O$48</f>
        <v>0.14457831325301204</v>
      </c>
      <c r="AK36" s="101"/>
      <c r="AL36" s="101">
        <f t="shared" ref="AL36" si="27">Q36/$Q$48</f>
        <v>0.19354838709677419</v>
      </c>
      <c r="AM36" s="101"/>
      <c r="AN36" s="101">
        <f t="shared" ref="AN36" si="28">S36/$S$48</f>
        <v>0.11764705882352941</v>
      </c>
      <c r="AO36" s="101"/>
      <c r="AP36" s="101">
        <f t="shared" ref="AP36" si="29">U36/$U$48</f>
        <v>7.6923076923076927E-2</v>
      </c>
      <c r="AQ36" s="101"/>
      <c r="AR36" s="94">
        <f t="shared" ref="AR36" si="30">SUM(Z36:AQ37)</f>
        <v>0.99341600915039985</v>
      </c>
      <c r="AS36" s="94"/>
      <c r="AT36" s="94">
        <f t="shared" ref="AT36" si="31">AR36/$AR$48</f>
        <v>0.11037955657226665</v>
      </c>
      <c r="AU36" s="94"/>
      <c r="AV36" s="94">
        <f>AT36*K48</f>
        <v>1.1405887512467554</v>
      </c>
      <c r="AW36" s="94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5"/>
      <c r="GR36" s="45"/>
      <c r="GS36" s="45"/>
      <c r="GT36" s="45"/>
      <c r="GU36" s="45"/>
      <c r="GV36" s="45"/>
      <c r="GW36" s="45"/>
      <c r="GX36" s="45"/>
      <c r="GY36" s="45"/>
      <c r="GZ36" s="45"/>
      <c r="HA36" s="45"/>
      <c r="HB36" s="45"/>
      <c r="HC36" s="45"/>
      <c r="HD36" s="45"/>
      <c r="HE36" s="45"/>
      <c r="HF36" s="45"/>
      <c r="HG36" s="45"/>
      <c r="HH36" s="45"/>
      <c r="HI36" s="45"/>
      <c r="HJ36" s="45"/>
      <c r="HK36" s="45"/>
      <c r="HN36" s="45"/>
      <c r="HO36" s="45"/>
      <c r="HP36" s="45"/>
      <c r="HQ36" s="45"/>
      <c r="HR36" s="45"/>
      <c r="HS36" s="45"/>
      <c r="HT36" s="45"/>
      <c r="HU36" s="45"/>
      <c r="HV36" s="45"/>
      <c r="HW36" s="45"/>
      <c r="HX36" s="45"/>
      <c r="HY36" s="45"/>
      <c r="HZ36" s="45"/>
      <c r="IA36" s="45"/>
      <c r="IB36" s="45"/>
      <c r="IC36" s="45"/>
      <c r="ID36" s="45"/>
      <c r="IE36" s="45"/>
      <c r="IF36" s="45"/>
      <c r="IG36" s="45"/>
      <c r="IK36" s="45"/>
      <c r="IL36" s="45"/>
      <c r="IM36" s="45"/>
      <c r="IN36" s="45"/>
      <c r="IO36" s="45"/>
      <c r="IP36" s="45"/>
      <c r="IQ36" s="45"/>
      <c r="IR36" s="45"/>
      <c r="IS36" s="45"/>
      <c r="IT36" s="45"/>
      <c r="IU36" s="45"/>
      <c r="IV36" s="45"/>
      <c r="IW36" s="45"/>
      <c r="IX36" s="45"/>
      <c r="IY36" s="45"/>
      <c r="IZ36" s="45"/>
      <c r="JA36" s="45"/>
      <c r="JB36" s="45"/>
      <c r="JC36" s="45"/>
      <c r="JD36" s="45"/>
      <c r="JI36" s="45"/>
      <c r="JJ36" s="45"/>
      <c r="JK36" s="45"/>
      <c r="JL36" s="45"/>
      <c r="JM36" s="45"/>
      <c r="JN36" s="45"/>
      <c r="JO36" s="45"/>
      <c r="JP36" s="45"/>
      <c r="JQ36" s="45"/>
      <c r="JR36" s="45"/>
      <c r="JS36" s="45"/>
      <c r="JT36" s="45"/>
      <c r="JU36" s="45"/>
      <c r="JV36" s="45"/>
      <c r="JW36" s="45"/>
      <c r="JX36" s="45"/>
      <c r="JY36" s="45"/>
      <c r="JZ36" s="45"/>
      <c r="KA36" s="45"/>
      <c r="KB36" s="45"/>
      <c r="KF36" s="45"/>
      <c r="KG36" s="45"/>
      <c r="KH36" s="45"/>
      <c r="KI36" s="45"/>
      <c r="KJ36" s="45"/>
      <c r="KK36" s="45"/>
      <c r="KL36" s="45"/>
      <c r="KM36" s="45"/>
      <c r="KN36" s="45"/>
      <c r="KO36" s="45"/>
      <c r="KP36" s="45"/>
      <c r="KQ36" s="45"/>
      <c r="KR36" s="45"/>
      <c r="KS36" s="45"/>
      <c r="KT36" s="45"/>
      <c r="KU36" s="45"/>
      <c r="KV36" s="45"/>
      <c r="KW36" s="45"/>
      <c r="KX36" s="45"/>
      <c r="KY36" s="45"/>
      <c r="LS36" s="46"/>
      <c r="LT36" s="46"/>
      <c r="LU36" s="46"/>
      <c r="LV36" s="46"/>
      <c r="LW36" s="46"/>
      <c r="LX36" s="46"/>
      <c r="LY36" s="46"/>
      <c r="LZ36" s="46"/>
      <c r="MA36" s="46"/>
      <c r="MB36" s="46"/>
      <c r="MC36" s="46"/>
      <c r="MD36" s="46"/>
      <c r="ME36" s="46"/>
      <c r="MF36" s="46"/>
      <c r="MG36" s="46"/>
      <c r="MH36" s="46"/>
      <c r="MI36" s="46"/>
      <c r="MJ36" s="46"/>
      <c r="MK36" s="46"/>
      <c r="ML36" s="46"/>
      <c r="MM36" s="46"/>
      <c r="MN36" s="46"/>
      <c r="MO36" s="46"/>
      <c r="MP36" s="46"/>
      <c r="MQ36" s="46"/>
      <c r="MR36" s="46"/>
      <c r="MS36" s="46"/>
      <c r="MT36" s="46"/>
      <c r="MU36" s="46"/>
      <c r="MV36" s="46"/>
      <c r="MW36" s="46"/>
      <c r="MX36" s="46"/>
      <c r="MY36" s="46"/>
      <c r="MZ36" s="46"/>
      <c r="NA36" s="46"/>
      <c r="NB36" s="46"/>
      <c r="NC36" s="46"/>
      <c r="ND36" s="46"/>
      <c r="NE36" s="46"/>
      <c r="NF36" s="46"/>
      <c r="NG36" s="46"/>
      <c r="NH36" s="48"/>
      <c r="NI36" s="48"/>
      <c r="NJ36" s="48"/>
      <c r="NK36" s="48"/>
      <c r="NL36" s="48"/>
      <c r="NM36" s="48"/>
      <c r="NN36" s="48"/>
      <c r="NO36" s="49"/>
      <c r="NP36" s="49"/>
    </row>
    <row r="37" spans="3:380" ht="15" customHeight="1" x14ac:dyDescent="0.35">
      <c r="C37" s="60"/>
      <c r="D37" s="60"/>
      <c r="E37" s="60"/>
      <c r="F37" s="60"/>
      <c r="G37" s="60"/>
      <c r="H37" s="60"/>
      <c r="I37" s="60"/>
      <c r="J37" s="60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X37" s="60"/>
      <c r="Y37" s="60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94"/>
      <c r="AS37" s="94"/>
      <c r="AT37" s="94"/>
      <c r="AU37" s="94"/>
      <c r="AV37" s="94"/>
      <c r="AW37" s="94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R37" s="45"/>
      <c r="GS37" s="45"/>
      <c r="GT37" s="45"/>
      <c r="GU37" s="45"/>
      <c r="GV37" s="45"/>
      <c r="GW37" s="45"/>
      <c r="GX37" s="45"/>
      <c r="GY37" s="45"/>
      <c r="GZ37" s="45"/>
      <c r="HA37" s="45"/>
      <c r="HB37" s="45"/>
      <c r="HC37" s="45"/>
      <c r="HD37" s="45"/>
      <c r="HE37" s="45"/>
      <c r="HF37" s="45"/>
      <c r="HG37" s="45"/>
      <c r="HH37" s="45"/>
      <c r="HI37" s="45"/>
      <c r="HJ37" s="45"/>
      <c r="HK37" s="45"/>
      <c r="HN37" s="45"/>
      <c r="HO37" s="45"/>
      <c r="HP37" s="45"/>
      <c r="HQ37" s="45"/>
      <c r="HR37" s="45"/>
      <c r="HS37" s="45"/>
      <c r="HT37" s="45"/>
      <c r="HU37" s="45"/>
      <c r="HV37" s="45"/>
      <c r="HW37" s="45"/>
      <c r="HX37" s="45"/>
      <c r="HY37" s="45"/>
      <c r="HZ37" s="45"/>
      <c r="IA37" s="45"/>
      <c r="IB37" s="45"/>
      <c r="IC37" s="45"/>
      <c r="ID37" s="45"/>
      <c r="IE37" s="45"/>
      <c r="IF37" s="45"/>
      <c r="IG37" s="45"/>
      <c r="IK37" s="45"/>
      <c r="IL37" s="45"/>
      <c r="IM37" s="45"/>
      <c r="IN37" s="45"/>
      <c r="IO37" s="45"/>
      <c r="IP37" s="45"/>
      <c r="IQ37" s="45"/>
      <c r="IR37" s="45"/>
      <c r="IS37" s="45"/>
      <c r="IT37" s="45"/>
      <c r="IU37" s="45"/>
      <c r="IV37" s="45"/>
      <c r="IW37" s="45"/>
      <c r="IX37" s="45"/>
      <c r="IY37" s="45"/>
      <c r="IZ37" s="45"/>
      <c r="JA37" s="45"/>
      <c r="JB37" s="45"/>
      <c r="JC37" s="45"/>
      <c r="JD37" s="45"/>
      <c r="JI37" s="45"/>
      <c r="JJ37" s="45"/>
      <c r="JK37" s="45"/>
      <c r="JL37" s="45"/>
      <c r="JM37" s="45"/>
      <c r="JN37" s="45"/>
      <c r="JO37" s="45"/>
      <c r="JP37" s="45"/>
      <c r="JQ37" s="45"/>
      <c r="JR37" s="45"/>
      <c r="JS37" s="45"/>
      <c r="JT37" s="45"/>
      <c r="JU37" s="45"/>
      <c r="JV37" s="45"/>
      <c r="JW37" s="45"/>
      <c r="JX37" s="45"/>
      <c r="JY37" s="45"/>
      <c r="JZ37" s="45"/>
      <c r="KA37" s="45"/>
      <c r="KB37" s="45"/>
      <c r="KF37" s="45"/>
      <c r="KG37" s="45"/>
      <c r="KH37" s="45"/>
      <c r="KI37" s="45"/>
      <c r="KJ37" s="45"/>
      <c r="KK37" s="45"/>
      <c r="KL37" s="45"/>
      <c r="KM37" s="45"/>
      <c r="KN37" s="45"/>
      <c r="KO37" s="45"/>
      <c r="KP37" s="45"/>
      <c r="KQ37" s="45"/>
      <c r="KR37" s="45"/>
      <c r="KS37" s="45"/>
      <c r="KT37" s="45"/>
      <c r="KU37" s="45"/>
      <c r="KV37" s="45"/>
      <c r="KW37" s="45"/>
      <c r="KX37" s="45"/>
      <c r="KY37" s="45"/>
      <c r="LS37" s="46"/>
      <c r="LT37" s="46"/>
      <c r="LU37" s="46"/>
      <c r="LV37" s="46"/>
      <c r="LW37" s="46"/>
      <c r="LX37" s="46"/>
      <c r="LY37" s="46"/>
      <c r="LZ37" s="46"/>
      <c r="MA37" s="46"/>
      <c r="MB37" s="46"/>
      <c r="MC37" s="46"/>
      <c r="MD37" s="46"/>
      <c r="ME37" s="46"/>
      <c r="MF37" s="46"/>
      <c r="MG37" s="46"/>
      <c r="MH37" s="46"/>
      <c r="MI37" s="46"/>
      <c r="MJ37" s="46"/>
      <c r="MK37" s="46"/>
      <c r="ML37" s="46"/>
      <c r="MM37" s="46"/>
      <c r="MN37" s="46"/>
      <c r="MO37" s="46"/>
      <c r="MP37" s="46"/>
      <c r="MQ37" s="46"/>
      <c r="MR37" s="46"/>
      <c r="MS37" s="46"/>
      <c r="MT37" s="46"/>
      <c r="MU37" s="46"/>
      <c r="MV37" s="46"/>
      <c r="MW37" s="46"/>
      <c r="MX37" s="46"/>
      <c r="MY37" s="46"/>
      <c r="MZ37" s="46"/>
      <c r="NA37" s="46"/>
      <c r="NB37" s="46"/>
      <c r="NC37" s="46"/>
      <c r="ND37" s="46"/>
      <c r="NE37" s="46"/>
      <c r="NF37" s="46"/>
      <c r="NG37" s="46"/>
      <c r="NH37" s="48"/>
      <c r="NI37" s="48"/>
      <c r="NJ37" s="48"/>
      <c r="NK37" s="48"/>
      <c r="NL37" s="48"/>
      <c r="NM37" s="48"/>
      <c r="NN37" s="48"/>
      <c r="NO37" s="49"/>
      <c r="NP37" s="49"/>
    </row>
    <row r="38" spans="3:380" ht="15" customHeight="1" x14ac:dyDescent="0.35">
      <c r="C38" s="60" t="s">
        <v>32</v>
      </c>
      <c r="D38" s="60"/>
      <c r="E38" s="60">
        <f>1/M30</f>
        <v>1</v>
      </c>
      <c r="F38" s="60"/>
      <c r="G38" s="60">
        <f>1/M32</f>
        <v>1</v>
      </c>
      <c r="H38" s="60"/>
      <c r="I38" s="60">
        <f>1/M34</f>
        <v>1</v>
      </c>
      <c r="J38" s="60"/>
      <c r="K38" s="60">
        <f>1/M36</f>
        <v>1</v>
      </c>
      <c r="L38" s="60"/>
      <c r="M38" s="87">
        <f t="shared" ref="M38" si="32">AVERAGE(M14,AH14,BC14,BX14,CU14,DP14,EM14,FI14,GF14,HB14,HX14,IU14,JS14,KP14,LK14,MC14)</f>
        <v>1</v>
      </c>
      <c r="N38" s="87"/>
      <c r="O38" s="87">
        <f>ROUND(AVERAGE(O14,AJ14,BE14,BZ14,CW14,DR14,EO14,FK14,GH14,HD14,HZ14,IW14,JU14,KR14,LM14,ME14),0)</f>
        <v>2</v>
      </c>
      <c r="P38" s="87"/>
      <c r="Q38" s="87">
        <f>ROUND(AVERAGE(Q14,AL14,BG14,CB14,CY14,DT14,EQ14,FM14,GJ14,HF14,IB14,IY14,JW14,KT14,LO14,MG14),0)</f>
        <v>2</v>
      </c>
      <c r="R38" s="87"/>
      <c r="S38" s="87">
        <f>ROUND(AVERAGE(S14,AN14,BI14,CD14,DA14,DV14,ES14,FO14,GL14,HH14,ID14,JA14,JY14,KV14,LQ14,MI14),0)</f>
        <v>2</v>
      </c>
      <c r="T38" s="87"/>
      <c r="U38" s="87">
        <f>ROUND(AVERAGE(U14,AP14,BK14,CF14,DC14,DX14,EU14,FQ14,GN14,HJ14,IF14,JC14,KA14,KX14,LS14,MK14),0)</f>
        <v>2</v>
      </c>
      <c r="V38" s="87"/>
      <c r="X38" s="60" t="s">
        <v>32</v>
      </c>
      <c r="Y38" s="60"/>
      <c r="Z38" s="101">
        <f t="shared" ref="Z38" si="33">E38/$E$48</f>
        <v>0.15384615384615385</v>
      </c>
      <c r="AA38" s="101"/>
      <c r="AB38" s="101">
        <f t="shared" ref="AB38" si="34">G38/$G$48</f>
        <v>0.15789473684210528</v>
      </c>
      <c r="AC38" s="101"/>
      <c r="AD38" s="101">
        <f t="shared" ref="AD38" si="35">I38/$I$48</f>
        <v>0.13043478260869565</v>
      </c>
      <c r="AE38" s="101"/>
      <c r="AF38" s="101">
        <f t="shared" ref="AF38" si="36">K38/$K$48</f>
        <v>9.6774193548387094E-2</v>
      </c>
      <c r="AG38" s="101"/>
      <c r="AH38" s="101">
        <f t="shared" ref="AH38" si="37">M38/$M$48</f>
        <v>0.14285714285714285</v>
      </c>
      <c r="AI38" s="101"/>
      <c r="AJ38" s="101">
        <f t="shared" ref="AJ38" si="38">O38/$O$48</f>
        <v>0.14457831325301204</v>
      </c>
      <c r="AK38" s="101"/>
      <c r="AL38" s="101">
        <f t="shared" ref="AL38" si="39">Q38/$Q$48</f>
        <v>0.12903225806451613</v>
      </c>
      <c r="AM38" s="101"/>
      <c r="AN38" s="101">
        <f t="shared" ref="AN38" si="40">S38/$S$48</f>
        <v>0.11764705882352941</v>
      </c>
      <c r="AO38" s="101"/>
      <c r="AP38" s="101">
        <f t="shared" ref="AP38" si="41">U38/$U$48</f>
        <v>0.15384615384615385</v>
      </c>
      <c r="AQ38" s="101"/>
      <c r="AR38" s="94">
        <f>SUM(Z38:AQ39)</f>
        <v>1.2269107936896964</v>
      </c>
      <c r="AS38" s="94"/>
      <c r="AT38" s="94">
        <f>AR38/$AR$48</f>
        <v>0.13632342152107738</v>
      </c>
      <c r="AU38" s="94"/>
      <c r="AV38" s="94">
        <f>AT38*M48</f>
        <v>0.95426395064754166</v>
      </c>
      <c r="AW38" s="94"/>
      <c r="LS38" s="46"/>
      <c r="LT38" s="46"/>
      <c r="LU38" s="46"/>
      <c r="LV38" s="46"/>
      <c r="LW38" s="46"/>
      <c r="LX38" s="46"/>
      <c r="LY38" s="46"/>
      <c r="LZ38" s="46"/>
      <c r="MA38" s="46"/>
      <c r="MB38" s="46"/>
      <c r="MC38" s="46"/>
      <c r="MD38" s="46"/>
      <c r="ME38" s="46"/>
      <c r="MF38" s="46"/>
      <c r="MG38" s="46"/>
      <c r="MH38" s="46"/>
      <c r="MI38" s="46"/>
      <c r="MJ38" s="46"/>
      <c r="MK38" s="46"/>
      <c r="ML38" s="46"/>
      <c r="MM38" s="46"/>
      <c r="MN38" s="46"/>
      <c r="MO38" s="46"/>
      <c r="MP38" s="46"/>
      <c r="MQ38" s="46"/>
      <c r="MR38" s="46"/>
      <c r="MS38" s="46"/>
      <c r="MT38" s="46"/>
      <c r="MU38" s="46"/>
      <c r="MV38" s="46"/>
      <c r="MW38" s="46"/>
      <c r="MX38" s="46"/>
      <c r="MY38" s="46"/>
      <c r="MZ38" s="46"/>
      <c r="NA38" s="46"/>
      <c r="NB38" s="46"/>
      <c r="NC38" s="46"/>
      <c r="ND38" s="46"/>
      <c r="NE38" s="46"/>
      <c r="NF38" s="46"/>
      <c r="NG38" s="46"/>
      <c r="NH38" s="46"/>
      <c r="NI38" s="46"/>
      <c r="NJ38" s="46"/>
      <c r="NK38" s="46"/>
      <c r="NL38" s="46"/>
      <c r="NM38" s="46"/>
      <c r="NN38" s="46"/>
      <c r="NO38" s="57"/>
      <c r="NP38" s="57"/>
    </row>
    <row r="39" spans="3:380" ht="15" customHeight="1" x14ac:dyDescent="0.35"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87"/>
      <c r="N39" s="87"/>
      <c r="O39" s="87"/>
      <c r="P39" s="87"/>
      <c r="Q39" s="87"/>
      <c r="R39" s="87"/>
      <c r="S39" s="87"/>
      <c r="T39" s="87"/>
      <c r="U39" s="87"/>
      <c r="V39" s="87"/>
      <c r="X39" s="60"/>
      <c r="Y39" s="60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94"/>
      <c r="AS39" s="94"/>
      <c r="AT39" s="94"/>
      <c r="AU39" s="94"/>
      <c r="AV39" s="94"/>
      <c r="AW39" s="94"/>
      <c r="LS39" s="46"/>
      <c r="LT39" s="46"/>
      <c r="LU39" s="46"/>
      <c r="LV39" s="46"/>
      <c r="LW39" s="46"/>
      <c r="LX39" s="46"/>
      <c r="LY39" s="46"/>
      <c r="LZ39" s="46"/>
      <c r="MA39" s="46"/>
      <c r="MB39" s="46"/>
      <c r="MC39" s="46"/>
      <c r="MD39" s="46"/>
      <c r="ME39" s="46"/>
      <c r="MF39" s="46"/>
      <c r="MG39" s="46"/>
      <c r="MH39" s="46"/>
      <c r="MI39" s="46"/>
      <c r="MJ39" s="46"/>
      <c r="MK39" s="46"/>
      <c r="ML39" s="46"/>
      <c r="MM39" s="46"/>
      <c r="MN39" s="46"/>
      <c r="MO39" s="46"/>
      <c r="MP39" s="46"/>
      <c r="MQ39" s="46"/>
      <c r="MR39" s="46"/>
      <c r="MS39" s="46"/>
      <c r="MT39" s="46"/>
      <c r="MU39" s="46"/>
      <c r="MV39" s="46"/>
      <c r="MW39" s="46"/>
      <c r="MX39" s="46"/>
      <c r="MY39" s="46"/>
      <c r="MZ39" s="46"/>
      <c r="NA39" s="46"/>
      <c r="NB39" s="46"/>
      <c r="NC39" s="46"/>
      <c r="ND39" s="46"/>
      <c r="NE39" s="46"/>
      <c r="NF39" s="46"/>
      <c r="NG39" s="46"/>
      <c r="NH39" s="46"/>
      <c r="NI39" s="46"/>
      <c r="NJ39" s="46"/>
      <c r="NK39" s="46"/>
      <c r="NL39" s="46"/>
      <c r="NM39" s="46"/>
      <c r="NN39" s="46"/>
      <c r="NO39" s="57"/>
      <c r="NP39" s="57"/>
    </row>
    <row r="40" spans="3:380" ht="15" customHeight="1" x14ac:dyDescent="0.35">
      <c r="C40" s="60" t="s">
        <v>7</v>
      </c>
      <c r="D40" s="60"/>
      <c r="E40" s="60">
        <f>1/O30</f>
        <v>0.5</v>
      </c>
      <c r="F40" s="60"/>
      <c r="G40" s="60">
        <f>1/O32</f>
        <v>0.5</v>
      </c>
      <c r="H40" s="60"/>
      <c r="I40" s="60">
        <f>1/O34</f>
        <v>0.33333333333333331</v>
      </c>
      <c r="J40" s="60"/>
      <c r="K40" s="60">
        <f>1/O36</f>
        <v>0.5</v>
      </c>
      <c r="L40" s="60"/>
      <c r="M40" s="60">
        <f>1/O38</f>
        <v>0.5</v>
      </c>
      <c r="N40" s="60"/>
      <c r="O40" s="87">
        <f t="shared" ref="O40" si="42">AVERAGE(O16,AJ16,BE16,BZ16,CW16,DR16,EO16,FK16,GH16,HD16,HZ16,IW16,JU16,KR16,LM16,ME16)</f>
        <v>1</v>
      </c>
      <c r="P40" s="87"/>
      <c r="Q40" s="87">
        <f>ROUND(AVERAGE(Q16,AL16,BG16,CB16,CY16,DT16,EQ16,FM16,GJ16,HF16,IB16,IY16,JW16,KT16,LO16,MG16),0)</f>
        <v>1</v>
      </c>
      <c r="R40" s="87"/>
      <c r="S40" s="87">
        <f>ROUND(AVERAGE(S16,AN16,BI16,CD16,DA16,DV16,ES16,FO16,GL16,HH16,ID16,JA16,JY16,KV16,LQ16,MI16),0)</f>
        <v>2</v>
      </c>
      <c r="T40" s="87"/>
      <c r="U40" s="87">
        <f>ROUND(AVERAGE(U16,AP16,BK16,CF16,DC16,DX16,EU16,FQ16,GN16,HJ16,IF16,JC16,KA16,KX16,LS16,MK16),0)</f>
        <v>3</v>
      </c>
      <c r="V40" s="87"/>
      <c r="X40" s="60" t="s">
        <v>7</v>
      </c>
      <c r="Y40" s="60"/>
      <c r="Z40" s="101">
        <f t="shared" ref="Z40" si="43">E40/$E$48</f>
        <v>7.6923076923076927E-2</v>
      </c>
      <c r="AA40" s="101"/>
      <c r="AB40" s="101">
        <f t="shared" ref="AB40" si="44">G40/$G$48</f>
        <v>7.8947368421052641E-2</v>
      </c>
      <c r="AC40" s="101"/>
      <c r="AD40" s="101">
        <f t="shared" ref="AD40" si="45">I40/$I$48</f>
        <v>4.3478260869565216E-2</v>
      </c>
      <c r="AE40" s="101"/>
      <c r="AF40" s="101">
        <f t="shared" ref="AF40" si="46">K40/$K$48</f>
        <v>4.8387096774193547E-2</v>
      </c>
      <c r="AG40" s="101"/>
      <c r="AH40" s="101">
        <f t="shared" ref="AH40" si="47">M40/$M$48</f>
        <v>7.1428571428571425E-2</v>
      </c>
      <c r="AI40" s="101"/>
      <c r="AJ40" s="101">
        <f t="shared" ref="AJ40" si="48">O40/$O$48</f>
        <v>7.2289156626506021E-2</v>
      </c>
      <c r="AK40" s="101"/>
      <c r="AL40" s="101">
        <f t="shared" ref="AL40" si="49">Q40/$Q$48</f>
        <v>6.4516129032258063E-2</v>
      </c>
      <c r="AM40" s="101"/>
      <c r="AN40" s="101">
        <f t="shared" ref="AN40" si="50">S40/$S$48</f>
        <v>0.11764705882352941</v>
      </c>
      <c r="AO40" s="101"/>
      <c r="AP40" s="101">
        <f>U40/$U$48</f>
        <v>0.23076923076923078</v>
      </c>
      <c r="AQ40" s="101"/>
      <c r="AR40" s="94">
        <f t="shared" ref="AR40" si="51">SUM(Z40:AQ41)</f>
        <v>0.80438594966798393</v>
      </c>
      <c r="AS40" s="94"/>
      <c r="AT40" s="94">
        <f>AR40/$AR$48</f>
        <v>8.937621662977599E-2</v>
      </c>
      <c r="AU40" s="94"/>
      <c r="AV40" s="94">
        <f>AT40*O48</f>
        <v>1.2363709967119012</v>
      </c>
      <c r="AW40" s="94"/>
      <c r="LS40" s="46"/>
      <c r="LT40" s="46"/>
      <c r="LU40" s="46"/>
      <c r="LV40" s="46"/>
      <c r="LW40" s="46"/>
      <c r="LX40" s="46"/>
      <c r="LY40" s="46"/>
      <c r="LZ40" s="46"/>
      <c r="MA40" s="46"/>
      <c r="MB40" s="46"/>
      <c r="MC40" s="46"/>
      <c r="MD40" s="46"/>
      <c r="ME40" s="46"/>
      <c r="MF40" s="46"/>
      <c r="MG40" s="46"/>
      <c r="MH40" s="46"/>
      <c r="MI40" s="46"/>
      <c r="MJ40" s="46"/>
      <c r="MK40" s="46"/>
      <c r="ML40" s="46"/>
      <c r="MM40" s="46"/>
      <c r="MN40" s="46"/>
      <c r="MO40" s="46"/>
      <c r="MP40" s="46"/>
      <c r="MQ40" s="46"/>
      <c r="MR40" s="46"/>
      <c r="MS40" s="46"/>
      <c r="MT40" s="46"/>
      <c r="MU40" s="46"/>
      <c r="MV40" s="46"/>
      <c r="MW40" s="46"/>
      <c r="MX40" s="46"/>
      <c r="MY40" s="46"/>
      <c r="MZ40" s="46"/>
      <c r="NA40" s="46"/>
      <c r="NB40" s="46"/>
      <c r="NC40" s="46"/>
      <c r="ND40" s="46"/>
      <c r="NE40" s="46"/>
      <c r="NF40" s="46"/>
      <c r="NG40" s="46"/>
      <c r="NH40" s="46"/>
      <c r="NI40" s="46"/>
      <c r="NJ40" s="46"/>
      <c r="NK40" s="46"/>
      <c r="NL40" s="46"/>
      <c r="NM40" s="46"/>
      <c r="NN40" s="46"/>
      <c r="NO40" s="57"/>
      <c r="NP40" s="57"/>
    </row>
    <row r="41" spans="3:380" ht="15" customHeight="1" x14ac:dyDescent="0.35"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87"/>
      <c r="P41" s="87"/>
      <c r="Q41" s="87"/>
      <c r="R41" s="87"/>
      <c r="S41" s="87"/>
      <c r="T41" s="87"/>
      <c r="U41" s="87"/>
      <c r="V41" s="87"/>
      <c r="X41" s="60"/>
      <c r="Y41" s="60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94"/>
      <c r="AS41" s="94"/>
      <c r="AT41" s="94"/>
      <c r="AU41" s="94"/>
      <c r="AV41" s="94"/>
      <c r="AW41" s="94"/>
      <c r="LS41" s="46"/>
      <c r="LT41" s="46"/>
      <c r="LU41" s="46"/>
      <c r="LV41" s="46"/>
      <c r="LW41" s="46"/>
      <c r="LX41" s="46"/>
      <c r="LY41" s="46"/>
      <c r="LZ41" s="46"/>
      <c r="MA41" s="46"/>
      <c r="MB41" s="46"/>
      <c r="MC41" s="46"/>
      <c r="MD41" s="46"/>
      <c r="ME41" s="46"/>
      <c r="MF41" s="46"/>
      <c r="MG41" s="46"/>
      <c r="MH41" s="46"/>
      <c r="MI41" s="46"/>
      <c r="MJ41" s="46"/>
      <c r="MK41" s="46"/>
      <c r="ML41" s="46"/>
      <c r="MM41" s="46"/>
      <c r="MN41" s="46"/>
      <c r="MO41" s="46"/>
      <c r="MP41" s="46"/>
      <c r="MQ41" s="46"/>
      <c r="MR41" s="46"/>
      <c r="MS41" s="46"/>
      <c r="MT41" s="46"/>
      <c r="MU41" s="46"/>
      <c r="MV41" s="46"/>
      <c r="MW41" s="46"/>
      <c r="MX41" s="46"/>
      <c r="MY41" s="46"/>
      <c r="MZ41" s="46"/>
      <c r="NA41" s="46"/>
      <c r="NB41" s="46"/>
      <c r="NC41" s="46"/>
      <c r="ND41" s="46"/>
      <c r="NE41" s="46"/>
      <c r="NF41" s="46"/>
      <c r="NG41" s="46"/>
      <c r="NH41" s="46"/>
      <c r="NI41" s="46"/>
      <c r="NJ41" s="46"/>
      <c r="NK41" s="46"/>
      <c r="NL41" s="46"/>
      <c r="NM41" s="46"/>
      <c r="NN41" s="46"/>
      <c r="NO41" s="57"/>
      <c r="NP41" s="57"/>
    </row>
    <row r="42" spans="3:380" x14ac:dyDescent="0.35">
      <c r="C42" s="60" t="s">
        <v>8</v>
      </c>
      <c r="D42" s="60"/>
      <c r="E42" s="60">
        <f>1/Q30</f>
        <v>0.5</v>
      </c>
      <c r="F42" s="60"/>
      <c r="G42" s="60">
        <f>1/Q32</f>
        <v>0.5</v>
      </c>
      <c r="H42" s="60"/>
      <c r="I42" s="60">
        <f>1/Q34</f>
        <v>0.33333333333333331</v>
      </c>
      <c r="J42" s="60"/>
      <c r="K42" s="60">
        <f>1/Q36</f>
        <v>0.33333333333333331</v>
      </c>
      <c r="L42" s="60"/>
      <c r="M42" s="60">
        <f>1/Q38</f>
        <v>0.5</v>
      </c>
      <c r="N42" s="60"/>
      <c r="O42" s="60">
        <f>1/Q40</f>
        <v>1</v>
      </c>
      <c r="P42" s="60"/>
      <c r="Q42" s="87">
        <f t="shared" ref="Q42" si="52">AVERAGE(Q18,AL18,BG18,CB18,CY18,DT18,EQ18,FM18,GJ18,HF18,IB18,IY18,JW18,KT18,LO18,MG18)</f>
        <v>1</v>
      </c>
      <c r="R42" s="87"/>
      <c r="S42" s="87">
        <f>ROUND(AVERAGE(S18,AN18,BI18,CD18,DA18,DV18,ES18,FO18,GL18,HH18,ID18,JA18,JY18,KV18,LQ18,MI18),0)</f>
        <v>2</v>
      </c>
      <c r="T42" s="87"/>
      <c r="U42" s="87">
        <f>ROUND(AVERAGE(U18,AP18,BK18,CF18,DC18,DX18,EU18,FQ18,GN18,HJ18,IF18,JC18,KA18,KX18,LS18,MK18),0)</f>
        <v>1</v>
      </c>
      <c r="V42" s="87"/>
      <c r="X42" s="60" t="s">
        <v>8</v>
      </c>
      <c r="Y42" s="60"/>
      <c r="Z42" s="101">
        <f t="shared" ref="Z42" si="53">E42/$E$48</f>
        <v>7.6923076923076927E-2</v>
      </c>
      <c r="AA42" s="101"/>
      <c r="AB42" s="101">
        <f t="shared" ref="AB42" si="54">G42/$G$48</f>
        <v>7.8947368421052641E-2</v>
      </c>
      <c r="AC42" s="101"/>
      <c r="AD42" s="101">
        <f t="shared" ref="AD42" si="55">I42/$I$48</f>
        <v>4.3478260869565216E-2</v>
      </c>
      <c r="AE42" s="101"/>
      <c r="AF42" s="101">
        <f t="shared" ref="AF42" si="56">K42/$K$48</f>
        <v>3.2258064516129031E-2</v>
      </c>
      <c r="AG42" s="101"/>
      <c r="AH42" s="101">
        <f t="shared" ref="AH42" si="57">M42/$M$48</f>
        <v>7.1428571428571425E-2</v>
      </c>
      <c r="AI42" s="101"/>
      <c r="AJ42" s="101">
        <f t="shared" ref="AJ42" si="58">O42/$O$48</f>
        <v>7.2289156626506021E-2</v>
      </c>
      <c r="AK42" s="101"/>
      <c r="AL42" s="101">
        <f t="shared" ref="AL42" si="59">Q42/$Q$48</f>
        <v>6.4516129032258063E-2</v>
      </c>
      <c r="AM42" s="101"/>
      <c r="AN42" s="101">
        <f t="shared" ref="AN42" si="60">S42/$S$48</f>
        <v>0.11764705882352941</v>
      </c>
      <c r="AO42" s="101"/>
      <c r="AP42" s="101">
        <f>U42/$U$48</f>
        <v>7.6923076923076927E-2</v>
      </c>
      <c r="AQ42" s="101"/>
      <c r="AR42" s="94">
        <f t="shared" ref="AR42" si="61">SUM(Z42:AQ43)</f>
        <v>0.63441076356376569</v>
      </c>
      <c r="AS42" s="94"/>
      <c r="AT42" s="94">
        <f t="shared" ref="AT42" si="62">AR42/$AR$48</f>
        <v>7.049008484041841E-2</v>
      </c>
      <c r="AU42" s="94"/>
      <c r="AV42" s="94">
        <f>AT42*Q48</f>
        <v>1.0925963150264852</v>
      </c>
      <c r="AW42" s="94"/>
      <c r="LS42" s="46"/>
      <c r="LT42" s="46"/>
      <c r="LU42" s="46"/>
      <c r="LV42" s="46"/>
      <c r="LW42" s="46"/>
      <c r="LX42" s="46"/>
      <c r="LY42" s="46"/>
      <c r="LZ42" s="46"/>
      <c r="MA42" s="46"/>
      <c r="MB42" s="46"/>
      <c r="MC42" s="46"/>
      <c r="MD42" s="46"/>
      <c r="ME42" s="46"/>
      <c r="MF42" s="46"/>
      <c r="MG42" s="46"/>
      <c r="MH42" s="46"/>
      <c r="MI42" s="46"/>
      <c r="MJ42" s="46"/>
      <c r="MK42" s="46"/>
      <c r="ML42" s="46"/>
      <c r="MM42" s="46"/>
      <c r="MN42" s="46"/>
      <c r="MO42" s="46"/>
      <c r="MP42" s="46"/>
      <c r="MQ42" s="46"/>
      <c r="MR42" s="46"/>
      <c r="MS42" s="46"/>
      <c r="MT42" s="46"/>
      <c r="MU42" s="46"/>
      <c r="MV42" s="46"/>
      <c r="MW42" s="46"/>
      <c r="MX42" s="46"/>
      <c r="MY42" s="46"/>
      <c r="MZ42" s="46"/>
      <c r="NA42" s="46"/>
      <c r="NB42" s="46"/>
      <c r="NC42" s="46"/>
      <c r="ND42" s="46"/>
      <c r="NE42" s="46"/>
      <c r="NF42" s="46"/>
      <c r="NG42" s="46"/>
      <c r="NH42" s="46"/>
      <c r="NI42" s="46"/>
      <c r="NJ42" s="46"/>
      <c r="NK42" s="46"/>
      <c r="NL42" s="46"/>
      <c r="NM42" s="46"/>
      <c r="NN42" s="46"/>
      <c r="NO42" s="57"/>
      <c r="NP42" s="57"/>
    </row>
    <row r="43" spans="3:380" ht="15" customHeight="1" x14ac:dyDescent="0.35"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87"/>
      <c r="R43" s="87"/>
      <c r="S43" s="87"/>
      <c r="T43" s="87"/>
      <c r="U43" s="87"/>
      <c r="V43" s="87"/>
      <c r="X43" s="60"/>
      <c r="Y43" s="60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94"/>
      <c r="AS43" s="94"/>
      <c r="AT43" s="94"/>
      <c r="AU43" s="94"/>
      <c r="AV43" s="94"/>
      <c r="AW43" s="94"/>
      <c r="BB43" s="55"/>
      <c r="LS43" s="46"/>
      <c r="LT43" s="46"/>
      <c r="LU43" s="46"/>
      <c r="LV43" s="46"/>
      <c r="LW43" s="46"/>
      <c r="LX43" s="46"/>
      <c r="LY43" s="46"/>
      <c r="LZ43" s="46"/>
      <c r="MA43" s="46"/>
      <c r="MB43" s="46"/>
      <c r="MC43" s="46"/>
      <c r="MD43" s="46"/>
      <c r="ME43" s="46"/>
      <c r="MF43" s="46"/>
      <c r="MG43" s="46"/>
      <c r="MH43" s="46"/>
      <c r="MI43" s="46"/>
      <c r="MJ43" s="46"/>
      <c r="MK43" s="46"/>
      <c r="ML43" s="46"/>
      <c r="MM43" s="46"/>
      <c r="MN43" s="46"/>
      <c r="MO43" s="46"/>
      <c r="MP43" s="46"/>
      <c r="MQ43" s="46"/>
      <c r="MR43" s="46"/>
      <c r="MS43" s="46"/>
      <c r="MT43" s="46"/>
      <c r="MU43" s="46"/>
      <c r="MV43" s="46"/>
      <c r="MW43" s="46"/>
      <c r="MX43" s="46"/>
      <c r="MY43" s="46"/>
      <c r="MZ43" s="46"/>
      <c r="NA43" s="46"/>
      <c r="NB43" s="46"/>
      <c r="NC43" s="46"/>
      <c r="ND43" s="46"/>
      <c r="NE43" s="46"/>
      <c r="NF43" s="46"/>
      <c r="NG43" s="46"/>
      <c r="NH43" s="46"/>
      <c r="NI43" s="46"/>
      <c r="NJ43" s="46"/>
      <c r="NK43" s="46"/>
      <c r="NL43" s="46"/>
      <c r="NM43" s="46"/>
      <c r="NN43" s="46"/>
      <c r="NO43" s="57"/>
      <c r="NP43" s="57"/>
    </row>
    <row r="44" spans="3:380" x14ac:dyDescent="0.35">
      <c r="C44" s="60" t="s">
        <v>80</v>
      </c>
      <c r="D44" s="60"/>
      <c r="E44" s="60">
        <f>1/S30</f>
        <v>0.5</v>
      </c>
      <c r="F44" s="60"/>
      <c r="G44" s="60">
        <f>1/S32</f>
        <v>0.33333333333333331</v>
      </c>
      <c r="H44" s="60"/>
      <c r="I44" s="60">
        <f>1/S34</f>
        <v>0.5</v>
      </c>
      <c r="J44" s="60"/>
      <c r="K44" s="60">
        <f>1/S36</f>
        <v>0.5</v>
      </c>
      <c r="L44" s="60"/>
      <c r="M44" s="60">
        <f>1/S38</f>
        <v>0.5</v>
      </c>
      <c r="N44" s="60"/>
      <c r="O44" s="60">
        <f>1/S40</f>
        <v>0.5</v>
      </c>
      <c r="P44" s="60"/>
      <c r="Q44" s="60">
        <f>1/S42</f>
        <v>0.5</v>
      </c>
      <c r="R44" s="60"/>
      <c r="S44" s="87">
        <f t="shared" ref="S44" si="63">AVERAGE(S20,AN20,BI20,CD20,DA20,DV20,ES20,FO20,GL20,HH20,ID20,JA20,JY20,KV20,LQ20,MI20)</f>
        <v>1</v>
      </c>
      <c r="T44" s="87"/>
      <c r="U44" s="87">
        <f>ROUND(AVERAGE(U20,AP20,BK20,CF20,DC20,DX20,EU20,FQ20,GN20,HJ20,IF20,JC20,KA20,KX20,LS20,MK20),0)</f>
        <v>1</v>
      </c>
      <c r="V44" s="87"/>
      <c r="X44" s="60" t="s">
        <v>80</v>
      </c>
      <c r="Y44" s="60"/>
      <c r="Z44" s="101">
        <f t="shared" ref="Z44" si="64">E44/$E$48</f>
        <v>7.6923076923076927E-2</v>
      </c>
      <c r="AA44" s="101"/>
      <c r="AB44" s="101">
        <f t="shared" ref="AB44" si="65">G44/$G$48</f>
        <v>5.2631578947368418E-2</v>
      </c>
      <c r="AC44" s="101"/>
      <c r="AD44" s="101">
        <f t="shared" ref="AD44" si="66">I44/$I$48</f>
        <v>6.5217391304347824E-2</v>
      </c>
      <c r="AE44" s="101"/>
      <c r="AF44" s="101">
        <f t="shared" ref="AF44" si="67">K44/$K$48</f>
        <v>4.8387096774193547E-2</v>
      </c>
      <c r="AG44" s="101"/>
      <c r="AH44" s="101">
        <f t="shared" ref="AH44" si="68">M44/$M$48</f>
        <v>7.1428571428571425E-2</v>
      </c>
      <c r="AI44" s="101"/>
      <c r="AJ44" s="101">
        <f t="shared" ref="AJ44" si="69">O44/$O$48</f>
        <v>3.614457831325301E-2</v>
      </c>
      <c r="AK44" s="101"/>
      <c r="AL44" s="101">
        <f t="shared" ref="AL44" si="70">Q44/$Q$48</f>
        <v>3.2258064516129031E-2</v>
      </c>
      <c r="AM44" s="101"/>
      <c r="AN44" s="101">
        <f t="shared" ref="AN44" si="71">S44/$S$48</f>
        <v>5.8823529411764705E-2</v>
      </c>
      <c r="AO44" s="101"/>
      <c r="AP44" s="101">
        <f t="shared" ref="AP44" si="72">U44/$U$48</f>
        <v>7.6923076923076927E-2</v>
      </c>
      <c r="AQ44" s="101"/>
      <c r="AR44" s="94">
        <f t="shared" ref="AR44" si="73">SUM(Z44:AQ45)</f>
        <v>0.51873696454178186</v>
      </c>
      <c r="AS44" s="94"/>
      <c r="AT44" s="94">
        <f t="shared" ref="AT44" si="74">AR44/$AR$48</f>
        <v>5.763744050464243E-2</v>
      </c>
      <c r="AU44" s="94"/>
      <c r="AV44" s="94">
        <f>AT44*S48</f>
        <v>0.97983648857892136</v>
      </c>
      <c r="AW44" s="94"/>
      <c r="LS44" s="46"/>
      <c r="LT44" s="46"/>
      <c r="LU44" s="46"/>
      <c r="LV44" s="46"/>
      <c r="LW44" s="46"/>
      <c r="LX44" s="46"/>
      <c r="LY44" s="46"/>
      <c r="LZ44" s="46"/>
      <c r="MA44" s="46"/>
      <c r="MB44" s="46"/>
      <c r="MC44" s="46"/>
      <c r="MD44" s="46"/>
      <c r="ME44" s="46"/>
      <c r="MF44" s="46"/>
      <c r="MG44" s="46"/>
      <c r="MH44" s="46"/>
      <c r="MI44" s="46"/>
      <c r="MJ44" s="46"/>
      <c r="MK44" s="46"/>
      <c r="ML44" s="46"/>
      <c r="MM44" s="46"/>
      <c r="MN44" s="46"/>
      <c r="MO44" s="46"/>
      <c r="MP44" s="46"/>
      <c r="MQ44" s="46"/>
      <c r="MR44" s="46"/>
      <c r="MS44" s="46"/>
      <c r="MT44" s="46"/>
      <c r="MU44" s="46"/>
      <c r="MV44" s="46"/>
      <c r="MW44" s="46"/>
      <c r="MX44" s="46"/>
      <c r="MY44" s="46"/>
      <c r="MZ44" s="46"/>
      <c r="NA44" s="46"/>
      <c r="NB44" s="46"/>
      <c r="NC44" s="46"/>
      <c r="ND44" s="46"/>
      <c r="NE44" s="46"/>
      <c r="NF44" s="46"/>
      <c r="NG44" s="46"/>
    </row>
    <row r="45" spans="3:380" x14ac:dyDescent="0.35"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87"/>
      <c r="T45" s="87"/>
      <c r="U45" s="87"/>
      <c r="V45" s="87"/>
      <c r="X45" s="60"/>
      <c r="Y45" s="60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94"/>
      <c r="AS45" s="94"/>
      <c r="AT45" s="94"/>
      <c r="AU45" s="94"/>
      <c r="AV45" s="94"/>
      <c r="AW45" s="94"/>
      <c r="BA45" s="55"/>
      <c r="BB45" s="55"/>
      <c r="LS45" s="46"/>
      <c r="LT45" s="46"/>
      <c r="LU45" s="46"/>
      <c r="LV45" s="46"/>
      <c r="LW45" s="46"/>
      <c r="LX45" s="46"/>
      <c r="LY45" s="46"/>
      <c r="LZ45" s="46"/>
      <c r="MA45" s="46"/>
      <c r="MB45" s="46"/>
      <c r="MC45" s="46"/>
      <c r="MD45" s="46"/>
      <c r="ME45" s="46"/>
      <c r="MF45" s="46"/>
      <c r="MG45" s="46"/>
      <c r="MH45" s="46"/>
      <c r="MI45" s="46"/>
      <c r="MJ45" s="46"/>
      <c r="MK45" s="46"/>
      <c r="ML45" s="46"/>
      <c r="MM45" s="46"/>
      <c r="MN45" s="46"/>
      <c r="MO45" s="46"/>
      <c r="MP45" s="46"/>
      <c r="MQ45" s="46"/>
      <c r="MR45" s="46"/>
      <c r="MS45" s="46"/>
      <c r="MT45" s="46"/>
      <c r="MU45" s="46"/>
      <c r="MV45" s="46"/>
      <c r="MW45" s="46"/>
      <c r="MX45" s="46"/>
      <c r="MY45" s="46"/>
      <c r="MZ45" s="46"/>
      <c r="NA45" s="46"/>
      <c r="NB45" s="46"/>
      <c r="NC45" s="46"/>
      <c r="ND45" s="46"/>
      <c r="NE45" s="46"/>
      <c r="NF45" s="46"/>
      <c r="NG45" s="46"/>
    </row>
    <row r="46" spans="3:380" x14ac:dyDescent="0.35">
      <c r="C46" s="60" t="s">
        <v>33</v>
      </c>
      <c r="D46" s="60"/>
      <c r="E46" s="60">
        <f>1/U30</f>
        <v>1</v>
      </c>
      <c r="F46" s="60"/>
      <c r="G46" s="60">
        <f>1/U32</f>
        <v>0.5</v>
      </c>
      <c r="H46" s="60"/>
      <c r="I46" s="60">
        <f>1/U34</f>
        <v>1</v>
      </c>
      <c r="J46" s="60"/>
      <c r="K46" s="60">
        <f>1/U36</f>
        <v>1</v>
      </c>
      <c r="L46" s="60"/>
      <c r="M46" s="60">
        <f>1/U38</f>
        <v>0.5</v>
      </c>
      <c r="N46" s="60"/>
      <c r="O46" s="60">
        <f>1/U40</f>
        <v>0.33333333333333331</v>
      </c>
      <c r="P46" s="60"/>
      <c r="Q46" s="60">
        <f>1/U42</f>
        <v>1</v>
      </c>
      <c r="R46" s="60"/>
      <c r="S46" s="60">
        <f>1/U44</f>
        <v>1</v>
      </c>
      <c r="T46" s="60"/>
      <c r="U46" s="87">
        <f t="shared" ref="U46" si="75">AVERAGE(U22,AP22,BK22,CF22,DC22,DX22,EU22,FQ22,GN22,HJ22,IF22,JC22,KA22,KX22,LS22,MK22)</f>
        <v>1</v>
      </c>
      <c r="V46" s="87"/>
      <c r="X46" s="60" t="s">
        <v>33</v>
      </c>
      <c r="Y46" s="60"/>
      <c r="Z46" s="101">
        <f t="shared" ref="Z46" si="76">E46/$E$48</f>
        <v>0.15384615384615385</v>
      </c>
      <c r="AA46" s="101"/>
      <c r="AB46" s="101">
        <f t="shared" ref="AB46" si="77">G46/$G$48</f>
        <v>7.8947368421052641E-2</v>
      </c>
      <c r="AC46" s="101"/>
      <c r="AD46" s="101">
        <f t="shared" ref="AD46" si="78">I46/$I$48</f>
        <v>0.13043478260869565</v>
      </c>
      <c r="AE46" s="101"/>
      <c r="AF46" s="101">
        <f t="shared" ref="AF46" si="79">K46/$K$48</f>
        <v>9.6774193548387094E-2</v>
      </c>
      <c r="AG46" s="101"/>
      <c r="AH46" s="101">
        <f t="shared" ref="AH46" si="80">M46/$M$48</f>
        <v>7.1428571428571425E-2</v>
      </c>
      <c r="AI46" s="101"/>
      <c r="AJ46" s="101">
        <f t="shared" ref="AJ46" si="81">O46/$O$48</f>
        <v>2.4096385542168672E-2</v>
      </c>
      <c r="AK46" s="101"/>
      <c r="AL46" s="101">
        <f t="shared" ref="AL46" si="82">Q46/$Q$48</f>
        <v>6.4516129032258063E-2</v>
      </c>
      <c r="AM46" s="101"/>
      <c r="AN46" s="101">
        <f t="shared" ref="AN46" si="83">S46/$S$48</f>
        <v>5.8823529411764705E-2</v>
      </c>
      <c r="AO46" s="101"/>
      <c r="AP46" s="101">
        <f t="shared" ref="AP46" si="84">U46/$U$48</f>
        <v>7.6923076923076927E-2</v>
      </c>
      <c r="AQ46" s="101"/>
      <c r="AR46" s="94">
        <f t="shared" ref="AR46" si="85">SUM(Z46:AQ47)</f>
        <v>0.75579019076212894</v>
      </c>
      <c r="AS46" s="94"/>
      <c r="AT46" s="94">
        <f t="shared" ref="AT46" si="86">AR46/$AR$48</f>
        <v>8.3976687862458765E-2</v>
      </c>
      <c r="AU46" s="94"/>
      <c r="AV46" s="94">
        <f>AT46*U48</f>
        <v>1.091696942211964</v>
      </c>
      <c r="AW46" s="94"/>
      <c r="AZ46">
        <v>11.319000000000001</v>
      </c>
      <c r="LS46" s="46"/>
      <c r="LT46" s="46"/>
      <c r="LU46" s="46"/>
      <c r="LV46" s="46"/>
      <c r="LW46" s="46"/>
      <c r="LX46" s="46"/>
      <c r="LY46" s="46"/>
      <c r="LZ46" s="46"/>
      <c r="MA46" s="46"/>
      <c r="MB46" s="46"/>
      <c r="MC46" s="46"/>
      <c r="MD46" s="46"/>
      <c r="ME46" s="46"/>
      <c r="MF46" s="46"/>
      <c r="MG46" s="46"/>
      <c r="MH46" s="46"/>
      <c r="MI46" s="46"/>
      <c r="MJ46" s="46"/>
      <c r="MK46" s="46"/>
      <c r="ML46" s="46"/>
      <c r="MM46" s="46"/>
      <c r="MN46" s="46"/>
      <c r="MO46" s="46"/>
      <c r="MP46" s="46"/>
      <c r="MQ46" s="46"/>
      <c r="MR46" s="46"/>
      <c r="MS46" s="46"/>
      <c r="MT46" s="46"/>
      <c r="MU46" s="46"/>
      <c r="MV46" s="46"/>
      <c r="MW46" s="46"/>
      <c r="MX46" s="46"/>
      <c r="MY46" s="46"/>
      <c r="MZ46" s="46"/>
      <c r="NA46" s="46"/>
      <c r="NB46" s="46"/>
      <c r="NC46" s="46"/>
      <c r="ND46" s="46"/>
      <c r="NE46" s="46"/>
      <c r="NF46" s="46"/>
      <c r="NG46" s="46"/>
    </row>
    <row r="47" spans="3:380" ht="15" customHeight="1" x14ac:dyDescent="0.35"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87"/>
      <c r="V47" s="87"/>
      <c r="X47" s="60"/>
      <c r="Y47" s="60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94"/>
      <c r="AS47" s="94"/>
      <c r="AT47" s="94"/>
      <c r="AU47" s="94"/>
      <c r="AV47" s="94"/>
      <c r="AW47" s="94"/>
      <c r="AZ47" s="55">
        <f>AV48-AZ46</f>
        <v>-1.7174589139153138</v>
      </c>
      <c r="LS47" s="46"/>
      <c r="LT47" s="46"/>
      <c r="LU47" s="46"/>
      <c r="LV47" s="46"/>
      <c r="LW47" s="46"/>
      <c r="LX47" s="46"/>
      <c r="LY47" s="46"/>
      <c r="LZ47" s="46"/>
      <c r="MA47" s="46"/>
      <c r="MB47" s="46"/>
      <c r="MC47" s="46"/>
      <c r="MD47" s="46"/>
      <c r="ME47" s="46"/>
      <c r="MF47" s="46"/>
      <c r="MG47" s="46"/>
      <c r="MH47" s="46"/>
      <c r="MI47" s="46"/>
      <c r="MJ47" s="46"/>
      <c r="MK47" s="46"/>
      <c r="ML47" s="46"/>
      <c r="MM47" s="46"/>
      <c r="MN47" s="46"/>
      <c r="MO47" s="46"/>
      <c r="MP47" s="46"/>
      <c r="MQ47" s="46"/>
      <c r="MR47" s="46"/>
      <c r="MS47" s="46"/>
      <c r="MT47" s="46"/>
      <c r="MU47" s="46"/>
      <c r="MV47" s="46"/>
      <c r="MW47" s="46"/>
      <c r="MX47" s="46"/>
      <c r="MY47" s="46"/>
      <c r="MZ47" s="46"/>
      <c r="NA47" s="46"/>
      <c r="NB47" s="46"/>
      <c r="NC47" s="46"/>
      <c r="ND47" s="46"/>
      <c r="NE47" s="46"/>
      <c r="NF47" s="46"/>
      <c r="NG47" s="46"/>
    </row>
    <row r="48" spans="3:380" x14ac:dyDescent="0.35">
      <c r="C48" s="60" t="s">
        <v>104</v>
      </c>
      <c r="D48" s="60"/>
      <c r="E48" s="87">
        <f>SUM(E30:F47)</f>
        <v>6.5</v>
      </c>
      <c r="F48" s="87"/>
      <c r="G48" s="87">
        <f t="shared" ref="G48" si="87">SUM(G30:H47)</f>
        <v>6.333333333333333</v>
      </c>
      <c r="H48" s="87"/>
      <c r="I48" s="87">
        <f t="shared" ref="I48" si="88">SUM(I30:J47)</f>
        <v>7.6666666666666661</v>
      </c>
      <c r="J48" s="87"/>
      <c r="K48" s="87">
        <f t="shared" ref="K48" si="89">SUM(K30:L47)</f>
        <v>10.333333333333334</v>
      </c>
      <c r="L48" s="87"/>
      <c r="M48" s="87">
        <f t="shared" ref="M48" si="90">SUM(M30:N47)</f>
        <v>7</v>
      </c>
      <c r="N48" s="87"/>
      <c r="O48" s="87">
        <f t="shared" ref="O48" si="91">SUM(O30:P47)</f>
        <v>13.833333333333334</v>
      </c>
      <c r="P48" s="87"/>
      <c r="Q48" s="87">
        <f t="shared" ref="Q48" si="92">SUM(Q30:R47)</f>
        <v>15.5</v>
      </c>
      <c r="R48" s="87"/>
      <c r="S48" s="87">
        <f>SUM(S30:T47)</f>
        <v>17</v>
      </c>
      <c r="T48" s="87"/>
      <c r="U48" s="87">
        <f t="shared" ref="U48" si="93">SUM(U30:V47)</f>
        <v>13</v>
      </c>
      <c r="V48" s="87"/>
      <c r="X48" s="60" t="s">
        <v>98</v>
      </c>
      <c r="Y48" s="60"/>
      <c r="Z48" s="87">
        <f>SUM(Z30:AA47)</f>
        <v>0.99999999999999989</v>
      </c>
      <c r="AA48" s="87"/>
      <c r="AB48" s="87">
        <f t="shared" ref="AB48" si="94">SUM(AB30:AC47)</f>
        <v>1.0000000000000002</v>
      </c>
      <c r="AC48" s="87"/>
      <c r="AD48" s="87">
        <f t="shared" ref="AD48" si="95">SUM(AD30:AE47)</f>
        <v>0.99999999999999989</v>
      </c>
      <c r="AE48" s="87"/>
      <c r="AF48" s="87">
        <f t="shared" ref="AF48" si="96">SUM(AF30:AG47)</f>
        <v>0.99999999999999989</v>
      </c>
      <c r="AG48" s="87"/>
      <c r="AH48" s="87">
        <f t="shared" ref="AH48" si="97">SUM(AH30:AI47)</f>
        <v>0.99999999999999978</v>
      </c>
      <c r="AI48" s="87"/>
      <c r="AJ48" s="87">
        <f t="shared" ref="AJ48" si="98">SUM(AJ30:AK47)</f>
        <v>1</v>
      </c>
      <c r="AK48" s="87"/>
      <c r="AL48" s="87">
        <f t="shared" ref="AL48" si="99">SUM(AL30:AM47)</f>
        <v>0.99999999999999978</v>
      </c>
      <c r="AM48" s="87"/>
      <c r="AN48" s="87">
        <f t="shared" ref="AN48" si="100">SUM(AN30:AO47)</f>
        <v>1</v>
      </c>
      <c r="AO48" s="87"/>
      <c r="AP48" s="87">
        <f>SUM(AP30:AQ47)</f>
        <v>1</v>
      </c>
      <c r="AQ48" s="87"/>
      <c r="AR48" s="87">
        <f>SUM(AR30:AS47)</f>
        <v>9</v>
      </c>
      <c r="AS48" s="87"/>
      <c r="AT48" s="87">
        <f>SUM(AT30:AU47)</f>
        <v>1</v>
      </c>
      <c r="AU48" s="87"/>
      <c r="AV48" s="94">
        <f>SUM(AV30:AW47)</f>
        <v>9.601541086084687</v>
      </c>
      <c r="AW48" s="94"/>
      <c r="AZ48" s="55"/>
      <c r="LS48" s="46"/>
      <c r="LT48" s="46"/>
      <c r="LU48" s="46"/>
      <c r="LV48" s="46"/>
      <c r="LW48" s="46"/>
      <c r="LX48" s="46"/>
      <c r="LY48" s="46"/>
      <c r="LZ48" s="46"/>
      <c r="MA48" s="46"/>
      <c r="MB48" s="46"/>
      <c r="MC48" s="46"/>
      <c r="MD48" s="46"/>
      <c r="ME48" s="46"/>
      <c r="MF48" s="46"/>
      <c r="MG48" s="46"/>
      <c r="MH48" s="46"/>
      <c r="MI48" s="46"/>
      <c r="MJ48" s="46"/>
      <c r="MK48" s="46"/>
      <c r="ML48" s="46"/>
      <c r="MM48" s="46"/>
      <c r="MN48" s="46"/>
      <c r="MO48" s="46"/>
      <c r="MP48" s="46"/>
      <c r="MQ48" s="46"/>
      <c r="MR48" s="46"/>
      <c r="MS48" s="46"/>
      <c r="MT48" s="46"/>
      <c r="MU48" s="46"/>
      <c r="MV48" s="46"/>
      <c r="MW48" s="46"/>
      <c r="MX48" s="46"/>
      <c r="MY48" s="46"/>
      <c r="MZ48" s="46"/>
      <c r="NA48" s="46"/>
      <c r="NB48" s="46"/>
      <c r="NC48" s="46"/>
      <c r="ND48" s="46"/>
      <c r="NE48" s="46"/>
      <c r="NF48" s="46"/>
      <c r="NG48" s="46"/>
    </row>
    <row r="49" spans="3:381" ht="15" customHeight="1" x14ac:dyDescent="0.35">
      <c r="C49" s="60"/>
      <c r="D49" s="60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X49" s="60"/>
      <c r="Y49" s="60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94"/>
      <c r="AW49" s="94"/>
      <c r="LS49" s="46"/>
      <c r="LT49" s="46"/>
      <c r="LU49" s="46"/>
      <c r="LV49" s="46"/>
      <c r="LW49" s="46"/>
      <c r="LX49" s="46"/>
      <c r="LY49" s="46"/>
      <c r="LZ49" s="46"/>
      <c r="MA49" s="46"/>
      <c r="MB49" s="46"/>
      <c r="MC49" s="46"/>
      <c r="MD49" s="46"/>
      <c r="ME49" s="46"/>
      <c r="MF49" s="46"/>
      <c r="MG49" s="46"/>
      <c r="MH49" s="46"/>
      <c r="MI49" s="46"/>
      <c r="MJ49" s="46"/>
      <c r="MK49" s="46"/>
      <c r="ML49" s="46"/>
      <c r="MM49" s="46"/>
      <c r="MN49" s="46"/>
      <c r="MO49" s="46"/>
      <c r="MP49" s="46"/>
      <c r="MQ49" s="46"/>
      <c r="MR49" s="46"/>
      <c r="MS49" s="46"/>
      <c r="MT49" s="46"/>
      <c r="MU49" s="46"/>
      <c r="MV49" s="46"/>
      <c r="MW49" s="46"/>
      <c r="MX49" s="46"/>
      <c r="MY49" s="46"/>
      <c r="MZ49" s="46"/>
      <c r="NA49" s="46"/>
      <c r="NB49" s="46"/>
      <c r="NC49" s="46"/>
      <c r="ND49" s="46"/>
      <c r="NE49" s="46"/>
      <c r="NF49" s="46"/>
      <c r="NG49" s="46"/>
    </row>
    <row r="50" spans="3:381" x14ac:dyDescent="0.35">
      <c r="C50" s="46"/>
      <c r="D50" s="46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LS50" s="46"/>
      <c r="LT50" s="46"/>
      <c r="LU50" s="46"/>
      <c r="LV50" s="46"/>
      <c r="LW50" s="46"/>
      <c r="LX50" s="46"/>
      <c r="LY50" s="46"/>
      <c r="LZ50" s="46"/>
      <c r="MA50" s="46"/>
      <c r="MB50" s="46"/>
      <c r="MC50" s="46"/>
      <c r="MD50" s="46"/>
      <c r="ME50" s="46"/>
      <c r="MF50" s="46"/>
      <c r="MG50" s="46"/>
      <c r="MH50" s="46"/>
      <c r="MI50" s="46"/>
      <c r="MJ50" s="46"/>
      <c r="MK50" s="46"/>
      <c r="ML50" s="46"/>
      <c r="MM50" s="46"/>
      <c r="MN50" s="46"/>
      <c r="MO50" s="46"/>
      <c r="MP50" s="46"/>
      <c r="MQ50" s="46"/>
      <c r="MR50" s="46"/>
      <c r="MS50" s="46"/>
      <c r="MT50" s="46"/>
      <c r="MU50" s="46"/>
      <c r="MV50" s="46"/>
      <c r="MW50" s="46"/>
      <c r="MX50" s="46"/>
      <c r="MY50" s="46"/>
      <c r="MZ50" s="46"/>
      <c r="NA50" s="46"/>
      <c r="NB50" s="46"/>
      <c r="NC50" s="46"/>
      <c r="ND50" s="46"/>
      <c r="NE50" s="46"/>
      <c r="NF50" s="46"/>
      <c r="NG50" s="46"/>
    </row>
    <row r="51" spans="3:381" x14ac:dyDescent="0.35"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  <c r="CO51" s="97"/>
      <c r="CP51" s="97"/>
      <c r="CQ51" s="97"/>
      <c r="CR51" s="97"/>
      <c r="CS51" s="97"/>
      <c r="CT51" s="97"/>
      <c r="CU51" s="97"/>
      <c r="CV51" s="97"/>
      <c r="CW51" s="97"/>
      <c r="CX51" s="97"/>
      <c r="CY51" s="97"/>
      <c r="CZ51" s="97"/>
      <c r="DA51" s="97"/>
      <c r="DB51" s="97"/>
      <c r="DC51" s="97"/>
      <c r="DD51" s="97"/>
      <c r="DE51" s="97"/>
      <c r="DF51" s="97"/>
      <c r="DG51" s="97"/>
      <c r="DH51" s="97"/>
      <c r="DI51" s="97"/>
      <c r="DJ51" s="97"/>
      <c r="DK51" s="97"/>
      <c r="DL51" s="97"/>
      <c r="DM51" s="97"/>
      <c r="DN51" s="97"/>
      <c r="DO51" s="97"/>
      <c r="DP51" s="97"/>
      <c r="DQ51" s="97"/>
      <c r="DR51" s="97"/>
      <c r="DS51" s="97"/>
      <c r="DT51" s="97"/>
      <c r="DU51" s="97"/>
      <c r="DV51" s="97"/>
      <c r="DW51" s="97"/>
      <c r="DX51" s="97"/>
      <c r="DY51" s="97"/>
      <c r="DZ51" s="97"/>
      <c r="EA51" s="97"/>
      <c r="EB51" s="97"/>
      <c r="EC51" s="97"/>
      <c r="ED51" s="97"/>
      <c r="EE51" s="97"/>
      <c r="EF51" s="97"/>
      <c r="EG51" s="97"/>
      <c r="EH51" s="97"/>
      <c r="EI51" s="97"/>
      <c r="EJ51" s="97"/>
      <c r="EK51" s="97"/>
      <c r="EL51" s="97"/>
      <c r="EM51" s="97"/>
      <c r="EN51" s="97"/>
      <c r="EO51" s="97"/>
      <c r="EP51" s="97"/>
      <c r="EQ51" s="97"/>
      <c r="ER51" s="97"/>
      <c r="ES51" s="97"/>
      <c r="ET51" s="97"/>
      <c r="EU51" s="97"/>
      <c r="EV51" s="97"/>
      <c r="EW51" s="97"/>
      <c r="EX51" s="97"/>
      <c r="EY51" s="97"/>
      <c r="EZ51" s="97"/>
      <c r="FA51" s="97"/>
      <c r="FB51" s="97"/>
      <c r="FC51" s="97"/>
      <c r="FD51" s="97"/>
      <c r="FE51" s="97"/>
      <c r="FF51" s="97"/>
      <c r="FG51" s="97"/>
      <c r="FH51" s="97"/>
      <c r="FI51" s="97"/>
      <c r="FJ51" s="97"/>
      <c r="FK51" s="97"/>
      <c r="FL51" s="97"/>
      <c r="FM51" s="97"/>
      <c r="FN51" s="97"/>
      <c r="FO51" s="97"/>
      <c r="FP51" s="97"/>
      <c r="FQ51" s="97"/>
      <c r="FR51" s="97"/>
      <c r="FS51" s="97"/>
      <c r="FT51" s="97"/>
      <c r="FU51" s="97"/>
      <c r="FV51" s="97"/>
      <c r="FW51" s="97"/>
      <c r="FX51" s="97"/>
      <c r="FY51" s="97"/>
      <c r="FZ51" s="97"/>
      <c r="GA51" s="97"/>
      <c r="GB51" s="97"/>
      <c r="GC51" s="97"/>
      <c r="GD51" s="97"/>
      <c r="GE51" s="97"/>
      <c r="GF51" s="97"/>
      <c r="GG51" s="97"/>
      <c r="GH51" s="97"/>
      <c r="GI51" s="97"/>
      <c r="GJ51" s="97"/>
      <c r="GK51" s="97"/>
      <c r="GL51" s="97"/>
      <c r="GM51" s="97"/>
      <c r="GN51" s="97"/>
      <c r="GO51" s="97"/>
      <c r="GP51" s="97"/>
      <c r="GQ51" s="97"/>
      <c r="GR51" s="97"/>
      <c r="GS51" s="97"/>
      <c r="GT51" s="97"/>
      <c r="GU51" s="97"/>
      <c r="GV51" s="97"/>
      <c r="GW51" s="97"/>
      <c r="GX51" s="97"/>
      <c r="GY51" s="97"/>
      <c r="GZ51" s="97"/>
      <c r="HA51" s="97"/>
      <c r="HB51" s="97"/>
      <c r="HC51" s="97"/>
      <c r="HD51" s="97"/>
      <c r="HE51" s="97"/>
      <c r="HF51" s="97"/>
      <c r="HG51" s="97"/>
      <c r="HH51" s="97"/>
      <c r="HI51" s="97"/>
      <c r="HJ51" s="97"/>
      <c r="HK51" s="97"/>
      <c r="HL51" s="97"/>
      <c r="HM51" s="97"/>
      <c r="HN51" s="97"/>
      <c r="HO51" s="97"/>
      <c r="HP51" s="97"/>
      <c r="HQ51" s="97"/>
      <c r="HR51" s="97"/>
      <c r="HS51" s="97"/>
      <c r="HT51" s="97"/>
      <c r="HU51" s="97"/>
      <c r="HV51" s="97"/>
      <c r="HW51" s="97"/>
      <c r="HX51" s="97"/>
      <c r="HY51" s="97"/>
      <c r="HZ51" s="97"/>
      <c r="IA51" s="97"/>
      <c r="IB51" s="97"/>
      <c r="IC51" s="97"/>
      <c r="ID51" s="97"/>
      <c r="IE51" s="97"/>
      <c r="IF51" s="97"/>
      <c r="IG51" s="97"/>
      <c r="IH51" s="97"/>
      <c r="II51" s="97"/>
      <c r="IJ51" s="97"/>
      <c r="IK51" s="97"/>
      <c r="IL51" s="97"/>
      <c r="IM51" s="97"/>
      <c r="IN51" s="97"/>
      <c r="IO51" s="97"/>
      <c r="IP51" s="97"/>
      <c r="IQ51" s="97"/>
      <c r="IR51" s="97"/>
      <c r="IS51" s="97"/>
      <c r="IT51" s="97"/>
      <c r="IU51" s="97"/>
      <c r="IV51" s="97"/>
      <c r="IW51" s="97"/>
      <c r="IX51" s="97"/>
      <c r="IY51" s="97"/>
      <c r="IZ51" s="97"/>
      <c r="JA51" s="97"/>
      <c r="JB51" s="97"/>
      <c r="JC51" s="97"/>
      <c r="JD51" s="97"/>
      <c r="JE51" s="97"/>
      <c r="JF51" s="97"/>
      <c r="JG51" s="97"/>
      <c r="JH51" s="97"/>
      <c r="JI51" s="97"/>
      <c r="JJ51" s="97"/>
      <c r="JK51" s="97"/>
      <c r="JL51" s="97"/>
      <c r="JM51" s="97"/>
      <c r="JN51" s="97"/>
      <c r="JO51" s="97"/>
      <c r="JP51" s="97"/>
      <c r="JQ51" s="97"/>
      <c r="JR51" s="97"/>
      <c r="JS51" s="97"/>
      <c r="JT51" s="97"/>
      <c r="JU51" s="97"/>
      <c r="JV51" s="97"/>
      <c r="JW51" s="97"/>
      <c r="JX51" s="97"/>
      <c r="JY51" s="97"/>
      <c r="JZ51" s="97"/>
      <c r="KA51" s="97"/>
      <c r="KB51" s="97"/>
      <c r="KC51" s="97"/>
      <c r="KD51" s="97"/>
      <c r="KE51" s="97"/>
      <c r="KF51" s="97"/>
      <c r="KG51" s="97"/>
      <c r="KH51" s="97"/>
      <c r="KI51" s="97"/>
      <c r="KJ51" s="97"/>
      <c r="KK51" s="97"/>
      <c r="KL51" s="97"/>
      <c r="KM51" s="97"/>
      <c r="KN51" s="97"/>
      <c r="KO51" s="97"/>
      <c r="KP51" s="97"/>
      <c r="KQ51" s="97"/>
      <c r="KR51" s="97"/>
      <c r="KS51" s="97"/>
      <c r="KT51" s="97"/>
      <c r="KU51" s="97"/>
      <c r="KV51" s="97"/>
      <c r="KW51" s="97"/>
      <c r="KX51" s="97"/>
      <c r="KY51" s="97"/>
      <c r="KZ51" s="97"/>
      <c r="LA51" s="97"/>
      <c r="LB51" s="97"/>
      <c r="LC51" s="97"/>
      <c r="LD51" s="97"/>
      <c r="LE51" s="97"/>
      <c r="LF51" s="97"/>
      <c r="LG51" s="97"/>
      <c r="LH51" s="97"/>
      <c r="LI51" s="97"/>
      <c r="LJ51" s="97"/>
      <c r="LK51" s="97"/>
      <c r="LL51" s="97"/>
      <c r="LM51" s="97"/>
      <c r="LN51" s="97"/>
      <c r="LO51" s="97"/>
      <c r="LP51" s="97"/>
      <c r="LQ51" s="97"/>
      <c r="LS51" s="46"/>
      <c r="LT51" s="46"/>
      <c r="LU51" s="46"/>
      <c r="LV51" s="46"/>
      <c r="LW51" s="46"/>
      <c r="LX51" s="46"/>
      <c r="LY51" s="46"/>
      <c r="LZ51" s="46"/>
      <c r="MA51" s="46"/>
      <c r="MB51" s="46"/>
      <c r="MC51" s="46"/>
      <c r="MD51" s="46"/>
      <c r="ME51" s="46"/>
      <c r="MF51" s="46"/>
      <c r="MG51" s="46"/>
      <c r="MH51" s="46"/>
      <c r="MI51" s="46"/>
      <c r="MJ51" s="46"/>
      <c r="MK51" s="46"/>
      <c r="ML51" s="46"/>
      <c r="MM51" s="46"/>
      <c r="MN51" s="46"/>
      <c r="MO51" s="46"/>
      <c r="MP51" s="46"/>
      <c r="MQ51" s="46"/>
      <c r="MR51" s="46"/>
      <c r="MS51" s="46"/>
      <c r="MT51" s="46"/>
      <c r="MU51" s="46"/>
      <c r="MV51" s="46"/>
      <c r="MW51" s="46"/>
      <c r="MX51" s="46"/>
      <c r="MY51" s="46"/>
      <c r="MZ51" s="46"/>
      <c r="NA51" s="46"/>
      <c r="NB51" s="46"/>
      <c r="NC51" s="46"/>
      <c r="ND51" s="46"/>
      <c r="NE51" s="46"/>
      <c r="NF51" s="46"/>
      <c r="NG51" s="46"/>
    </row>
    <row r="52" spans="3:381" ht="15" customHeight="1" x14ac:dyDescent="0.35">
      <c r="LS52" s="46"/>
      <c r="LT52" s="46"/>
      <c r="LU52" s="46"/>
      <c r="LV52" s="46"/>
      <c r="LW52" s="46"/>
      <c r="LX52" s="46"/>
      <c r="LY52" s="46"/>
      <c r="LZ52" s="46"/>
      <c r="MA52" s="46"/>
      <c r="MB52" s="46"/>
      <c r="MC52" s="46"/>
      <c r="MD52" s="46"/>
      <c r="ME52" s="46"/>
      <c r="MF52" s="46"/>
      <c r="MG52" s="46"/>
      <c r="MH52" s="46"/>
      <c r="MI52" s="46"/>
      <c r="MJ52" s="46"/>
      <c r="MK52" s="46"/>
      <c r="ML52" s="46"/>
      <c r="MM52" s="46"/>
      <c r="MN52" s="46"/>
      <c r="MO52" s="46"/>
      <c r="MP52" s="46"/>
      <c r="MQ52" s="46"/>
      <c r="MR52" s="46"/>
      <c r="MS52" s="46"/>
      <c r="MT52" s="46"/>
      <c r="MU52" s="46"/>
      <c r="MV52" s="46"/>
      <c r="MW52" s="46"/>
      <c r="MX52" s="46"/>
      <c r="MY52" s="46"/>
      <c r="MZ52" s="46"/>
      <c r="NA52" s="46"/>
      <c r="NB52" s="46"/>
      <c r="NC52" s="46"/>
      <c r="ND52" s="46"/>
      <c r="NE52" s="46"/>
      <c r="NF52" s="46"/>
      <c r="NG52" s="46"/>
    </row>
    <row r="53" spans="3:381" x14ac:dyDescent="0.35">
      <c r="LS53" s="46"/>
      <c r="LT53" s="46"/>
      <c r="LU53" s="46"/>
      <c r="LV53" s="46"/>
      <c r="LW53" s="46"/>
      <c r="LX53" s="46"/>
      <c r="LY53" s="46"/>
      <c r="LZ53" s="46"/>
      <c r="MA53" s="46"/>
      <c r="MB53" s="46"/>
      <c r="MC53" s="46"/>
      <c r="MD53" s="46"/>
      <c r="ME53" s="46"/>
      <c r="MF53" s="46"/>
      <c r="MG53" s="46"/>
      <c r="MH53" s="46"/>
      <c r="MI53" s="46"/>
      <c r="MJ53" s="46"/>
      <c r="MK53" s="46"/>
      <c r="ML53" s="46"/>
      <c r="MM53" s="46"/>
      <c r="MN53" s="46"/>
      <c r="MO53" s="46"/>
      <c r="MP53" s="46"/>
      <c r="MQ53" s="46"/>
      <c r="MR53" s="46"/>
      <c r="MS53" s="46"/>
      <c r="MT53" s="46"/>
      <c r="MU53" s="46"/>
      <c r="MV53" s="46"/>
      <c r="MW53" s="46"/>
      <c r="MX53" s="46"/>
      <c r="MY53" s="46"/>
      <c r="MZ53" s="46"/>
      <c r="NA53" s="46"/>
      <c r="NB53" s="46"/>
      <c r="NC53" s="46"/>
      <c r="ND53" s="46"/>
      <c r="NE53" s="46"/>
      <c r="NF53" s="46"/>
      <c r="NG53" s="46"/>
    </row>
    <row r="54" spans="3:381" x14ac:dyDescent="0.35">
      <c r="C54" s="60"/>
      <c r="D54" s="60"/>
      <c r="E54" s="60" t="s">
        <v>11</v>
      </c>
      <c r="F54" s="60"/>
      <c r="G54" s="60" t="s">
        <v>81</v>
      </c>
      <c r="H54" s="60"/>
      <c r="I54" s="60" t="s">
        <v>27</v>
      </c>
      <c r="J54" s="60"/>
      <c r="K54" s="60" t="s">
        <v>87</v>
      </c>
      <c r="L54" s="60"/>
      <c r="M54" s="60" t="s">
        <v>90</v>
      </c>
      <c r="N54" s="60"/>
      <c r="O54" s="60" t="s">
        <v>89</v>
      </c>
      <c r="P54" s="60"/>
      <c r="Q54" s="60" t="s">
        <v>91</v>
      </c>
      <c r="R54" s="75"/>
      <c r="S54" s="53"/>
      <c r="T54" s="46"/>
      <c r="X54" s="60"/>
      <c r="Y54" s="60"/>
      <c r="Z54" s="60" t="s">
        <v>11</v>
      </c>
      <c r="AA54" s="60"/>
      <c r="AB54" s="60" t="s">
        <v>81</v>
      </c>
      <c r="AC54" s="60"/>
      <c r="AD54" s="60" t="s">
        <v>27</v>
      </c>
      <c r="AE54" s="60"/>
      <c r="AF54" s="60" t="s">
        <v>87</v>
      </c>
      <c r="AG54" s="60"/>
      <c r="AH54" s="60" t="s">
        <v>90</v>
      </c>
      <c r="AI54" s="60"/>
      <c r="AJ54" s="60" t="s">
        <v>89</v>
      </c>
      <c r="AK54" s="60"/>
      <c r="AL54" s="60" t="s">
        <v>91</v>
      </c>
      <c r="AM54" s="75"/>
      <c r="AN54" s="53"/>
      <c r="AO54" s="46"/>
      <c r="AS54" s="60"/>
      <c r="AT54" s="60"/>
      <c r="AU54" s="60" t="s">
        <v>11</v>
      </c>
      <c r="AV54" s="60"/>
      <c r="AW54" s="60" t="s">
        <v>81</v>
      </c>
      <c r="AX54" s="60"/>
      <c r="AY54" s="60" t="s">
        <v>27</v>
      </c>
      <c r="AZ54" s="60"/>
      <c r="BA54" s="60" t="s">
        <v>87</v>
      </c>
      <c r="BB54" s="60"/>
      <c r="BC54" s="60" t="s">
        <v>90</v>
      </c>
      <c r="BD54" s="60"/>
      <c r="BE54" s="60" t="s">
        <v>89</v>
      </c>
      <c r="BF54" s="60"/>
      <c r="BG54" s="60" t="s">
        <v>91</v>
      </c>
      <c r="BH54" s="75"/>
      <c r="BI54" s="53"/>
      <c r="BJ54" s="46"/>
      <c r="BN54" s="60"/>
      <c r="BO54" s="60"/>
      <c r="BP54" s="60" t="s">
        <v>11</v>
      </c>
      <c r="BQ54" s="60"/>
      <c r="BR54" s="60" t="s">
        <v>81</v>
      </c>
      <c r="BS54" s="60"/>
      <c r="BT54" s="60" t="s">
        <v>27</v>
      </c>
      <c r="BU54" s="60"/>
      <c r="BV54" s="60" t="s">
        <v>87</v>
      </c>
      <c r="BW54" s="60"/>
      <c r="BX54" s="60" t="s">
        <v>90</v>
      </c>
      <c r="BY54" s="60"/>
      <c r="BZ54" s="60" t="s">
        <v>89</v>
      </c>
      <c r="CA54" s="60"/>
      <c r="CB54" s="60" t="s">
        <v>91</v>
      </c>
      <c r="CC54" s="60"/>
      <c r="CK54" s="60"/>
      <c r="CL54" s="60"/>
      <c r="CM54" s="60" t="s">
        <v>11</v>
      </c>
      <c r="CN54" s="60"/>
      <c r="CO54" s="60" t="s">
        <v>81</v>
      </c>
      <c r="CP54" s="60"/>
      <c r="CQ54" s="60" t="s">
        <v>27</v>
      </c>
      <c r="CR54" s="60"/>
      <c r="CS54" s="60" t="s">
        <v>87</v>
      </c>
      <c r="CT54" s="60"/>
      <c r="CU54" s="60" t="s">
        <v>90</v>
      </c>
      <c r="CV54" s="60"/>
      <c r="CW54" s="60" t="s">
        <v>89</v>
      </c>
      <c r="CX54" s="60"/>
      <c r="CY54" s="60" t="s">
        <v>91</v>
      </c>
      <c r="CZ54" s="60"/>
      <c r="DF54" s="60"/>
      <c r="DG54" s="60"/>
      <c r="DH54" s="60" t="s">
        <v>11</v>
      </c>
      <c r="DI54" s="60"/>
      <c r="DJ54" s="60" t="s">
        <v>81</v>
      </c>
      <c r="DK54" s="60"/>
      <c r="DL54" s="60" t="s">
        <v>27</v>
      </c>
      <c r="DM54" s="60"/>
      <c r="DN54" s="60" t="s">
        <v>87</v>
      </c>
      <c r="DO54" s="60"/>
      <c r="DP54" s="60" t="s">
        <v>90</v>
      </c>
      <c r="DQ54" s="60"/>
      <c r="DR54" s="60" t="s">
        <v>89</v>
      </c>
      <c r="DS54" s="60"/>
      <c r="DT54" s="60" t="s">
        <v>91</v>
      </c>
      <c r="DU54" s="60"/>
      <c r="EC54" s="60"/>
      <c r="ED54" s="60"/>
      <c r="EE54" s="60" t="s">
        <v>11</v>
      </c>
      <c r="EF54" s="60"/>
      <c r="EG54" s="60" t="s">
        <v>81</v>
      </c>
      <c r="EH54" s="60"/>
      <c r="EI54" s="60" t="s">
        <v>27</v>
      </c>
      <c r="EJ54" s="60"/>
      <c r="EK54" s="60" t="s">
        <v>87</v>
      </c>
      <c r="EL54" s="60"/>
      <c r="EM54" s="60" t="s">
        <v>90</v>
      </c>
      <c r="EN54" s="60"/>
      <c r="EO54" s="60" t="s">
        <v>89</v>
      </c>
      <c r="EP54" s="60"/>
      <c r="EQ54" s="60" t="s">
        <v>91</v>
      </c>
      <c r="ER54" s="60"/>
      <c r="EY54" s="60"/>
      <c r="EZ54" s="60"/>
      <c r="FA54" s="60" t="s">
        <v>11</v>
      </c>
      <c r="FB54" s="60"/>
      <c r="FC54" s="60" t="s">
        <v>81</v>
      </c>
      <c r="FD54" s="60"/>
      <c r="FE54" s="60" t="s">
        <v>27</v>
      </c>
      <c r="FF54" s="60"/>
      <c r="FG54" s="60" t="s">
        <v>87</v>
      </c>
      <c r="FH54" s="60"/>
      <c r="FI54" s="60" t="s">
        <v>90</v>
      </c>
      <c r="FJ54" s="60"/>
      <c r="FK54" s="60" t="s">
        <v>89</v>
      </c>
      <c r="FL54" s="60"/>
      <c r="FM54" s="60" t="s">
        <v>91</v>
      </c>
      <c r="FN54" s="75"/>
      <c r="FO54" s="74"/>
      <c r="FP54" s="69"/>
      <c r="FV54" s="60"/>
      <c r="FW54" s="60"/>
      <c r="FX54" s="60" t="s">
        <v>11</v>
      </c>
      <c r="FY54" s="60"/>
      <c r="FZ54" s="60" t="s">
        <v>81</v>
      </c>
      <c r="GA54" s="60"/>
      <c r="GB54" s="60" t="s">
        <v>27</v>
      </c>
      <c r="GC54" s="60"/>
      <c r="GD54" s="60" t="s">
        <v>87</v>
      </c>
      <c r="GE54" s="60"/>
      <c r="GF54" s="60" t="s">
        <v>90</v>
      </c>
      <c r="GG54" s="60"/>
      <c r="GH54" s="60" t="s">
        <v>89</v>
      </c>
      <c r="GI54" s="60"/>
      <c r="GJ54" s="60" t="s">
        <v>91</v>
      </c>
      <c r="GK54" s="75"/>
      <c r="GL54" s="74"/>
      <c r="GM54" s="69"/>
      <c r="GR54" s="60"/>
      <c r="GS54" s="60"/>
      <c r="GT54" s="60" t="s">
        <v>11</v>
      </c>
      <c r="GU54" s="60"/>
      <c r="GV54" s="60" t="s">
        <v>81</v>
      </c>
      <c r="GW54" s="60"/>
      <c r="GX54" s="60" t="s">
        <v>27</v>
      </c>
      <c r="GY54" s="60"/>
      <c r="GZ54" s="60" t="s">
        <v>87</v>
      </c>
      <c r="HA54" s="60"/>
      <c r="HB54" s="60" t="s">
        <v>90</v>
      </c>
      <c r="HC54" s="60"/>
      <c r="HD54" s="60" t="s">
        <v>89</v>
      </c>
      <c r="HE54" s="60"/>
      <c r="HF54" s="60" t="s">
        <v>91</v>
      </c>
      <c r="HG54" s="60"/>
      <c r="HN54" s="60"/>
      <c r="HO54" s="60"/>
      <c r="HP54" s="60" t="s">
        <v>11</v>
      </c>
      <c r="HQ54" s="60"/>
      <c r="HR54" s="60" t="s">
        <v>81</v>
      </c>
      <c r="HS54" s="60"/>
      <c r="HT54" s="60" t="s">
        <v>27</v>
      </c>
      <c r="HU54" s="60"/>
      <c r="HV54" s="60" t="s">
        <v>87</v>
      </c>
      <c r="HW54" s="60"/>
      <c r="HX54" s="60" t="s">
        <v>90</v>
      </c>
      <c r="HY54" s="60"/>
      <c r="HZ54" s="60" t="s">
        <v>89</v>
      </c>
      <c r="IA54" s="60"/>
      <c r="IB54" s="60" t="s">
        <v>91</v>
      </c>
      <c r="IC54" s="60"/>
      <c r="IK54" s="60"/>
      <c r="IL54" s="60"/>
      <c r="IM54" s="60" t="s">
        <v>11</v>
      </c>
      <c r="IN54" s="60"/>
      <c r="IO54" s="60" t="s">
        <v>81</v>
      </c>
      <c r="IP54" s="60"/>
      <c r="IQ54" s="60" t="s">
        <v>27</v>
      </c>
      <c r="IR54" s="60"/>
      <c r="IS54" s="60" t="s">
        <v>87</v>
      </c>
      <c r="IT54" s="60"/>
      <c r="IU54" s="60" t="s">
        <v>90</v>
      </c>
      <c r="IV54" s="60"/>
      <c r="IW54" s="60" t="s">
        <v>89</v>
      </c>
      <c r="IX54" s="60"/>
      <c r="IY54" s="60" t="s">
        <v>91</v>
      </c>
      <c r="IZ54" s="60"/>
      <c r="JI54" s="60"/>
      <c r="JJ54" s="60"/>
      <c r="JK54" s="60" t="s">
        <v>11</v>
      </c>
      <c r="JL54" s="60"/>
      <c r="JM54" s="60" t="s">
        <v>81</v>
      </c>
      <c r="JN54" s="60"/>
      <c r="JO54" s="60" t="s">
        <v>27</v>
      </c>
      <c r="JP54" s="60"/>
      <c r="JQ54" s="60" t="s">
        <v>87</v>
      </c>
      <c r="JR54" s="60"/>
      <c r="JS54" s="60" t="s">
        <v>90</v>
      </c>
      <c r="JT54" s="60"/>
      <c r="JU54" s="60" t="s">
        <v>89</v>
      </c>
      <c r="JV54" s="60"/>
      <c r="JW54" s="60" t="s">
        <v>91</v>
      </c>
      <c r="JX54" s="60"/>
      <c r="KF54" s="60"/>
      <c r="KG54" s="60"/>
      <c r="KH54" s="60" t="s">
        <v>11</v>
      </c>
      <c r="KI54" s="60"/>
      <c r="KJ54" s="60" t="s">
        <v>81</v>
      </c>
      <c r="KK54" s="60"/>
      <c r="KL54" s="60" t="s">
        <v>27</v>
      </c>
      <c r="KM54" s="60"/>
      <c r="KN54" s="60" t="s">
        <v>87</v>
      </c>
      <c r="KO54" s="60"/>
      <c r="KP54" s="60" t="s">
        <v>90</v>
      </c>
      <c r="KQ54" s="60"/>
      <c r="KR54" s="60" t="s">
        <v>89</v>
      </c>
      <c r="KS54" s="60"/>
      <c r="KT54" s="60" t="s">
        <v>91</v>
      </c>
      <c r="KU54" s="60"/>
      <c r="LA54" s="46"/>
      <c r="LB54" s="46"/>
      <c r="LC54" s="46"/>
      <c r="LD54" s="46"/>
      <c r="LE54" s="46"/>
      <c r="LF54" s="46"/>
      <c r="LG54" s="46"/>
      <c r="LH54" s="46"/>
      <c r="LI54" s="46"/>
      <c r="LJ54" s="46"/>
      <c r="LK54" s="46"/>
      <c r="LL54" s="46"/>
      <c r="LM54" s="46"/>
      <c r="LN54" s="46"/>
      <c r="LO54" s="46"/>
      <c r="LP54" s="46"/>
      <c r="LS54" s="46"/>
      <c r="LT54" s="46"/>
      <c r="LU54" s="46"/>
      <c r="LV54" s="46"/>
      <c r="LW54" s="46"/>
      <c r="LX54" s="46"/>
      <c r="LY54" s="46"/>
      <c r="LZ54" s="46"/>
      <c r="MA54" s="46"/>
      <c r="MB54" s="46"/>
      <c r="MC54" s="46"/>
      <c r="MD54" s="46"/>
      <c r="ME54" s="46"/>
      <c r="MF54" s="46"/>
      <c r="MG54" s="46"/>
      <c r="MH54" s="46"/>
      <c r="MI54" s="46"/>
      <c r="MJ54" s="46"/>
      <c r="MK54" s="46"/>
      <c r="ML54" s="46"/>
      <c r="MM54" s="46"/>
      <c r="MN54" s="46"/>
      <c r="MO54" s="46"/>
      <c r="MP54" s="46"/>
      <c r="MQ54" s="46"/>
      <c r="MR54" s="46"/>
      <c r="MS54" s="46"/>
      <c r="MT54" s="46"/>
      <c r="MU54" s="46"/>
      <c r="MV54" s="46"/>
      <c r="MW54" s="46"/>
      <c r="MX54" s="46"/>
      <c r="MY54" s="46"/>
      <c r="MZ54" s="46"/>
      <c r="NA54" s="46"/>
      <c r="NB54" s="46"/>
      <c r="NC54" s="46"/>
      <c r="ND54" s="46"/>
      <c r="NE54" s="46"/>
      <c r="NF54" s="46"/>
      <c r="NG54" s="46"/>
    </row>
    <row r="55" spans="3:381" x14ac:dyDescent="0.35"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75"/>
      <c r="S55" s="53"/>
      <c r="T55" s="46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75"/>
      <c r="AN55" s="53"/>
      <c r="AO55" s="46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75"/>
      <c r="BI55" s="53"/>
      <c r="BJ55" s="46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  <c r="FK55" s="60"/>
      <c r="FL55" s="60"/>
      <c r="FM55" s="60"/>
      <c r="FN55" s="75"/>
      <c r="FO55" s="74"/>
      <c r="FP55" s="69"/>
      <c r="FV55" s="60"/>
      <c r="FW55" s="60"/>
      <c r="FX55" s="60"/>
      <c r="FY55" s="60"/>
      <c r="FZ55" s="60"/>
      <c r="GA55" s="60"/>
      <c r="GB55" s="60"/>
      <c r="GC55" s="60"/>
      <c r="GD55" s="60"/>
      <c r="GE55" s="60"/>
      <c r="GF55" s="60"/>
      <c r="GG55" s="60"/>
      <c r="GH55" s="60"/>
      <c r="GI55" s="60"/>
      <c r="GJ55" s="60"/>
      <c r="GK55" s="75"/>
      <c r="GL55" s="74"/>
      <c r="GM55" s="69"/>
      <c r="GR55" s="60"/>
      <c r="GS55" s="60"/>
      <c r="GT55" s="60"/>
      <c r="GU55" s="60"/>
      <c r="GV55" s="60"/>
      <c r="GW55" s="60"/>
      <c r="GX55" s="60"/>
      <c r="GY55" s="60"/>
      <c r="GZ55" s="60"/>
      <c r="HA55" s="60"/>
      <c r="HB55" s="60"/>
      <c r="HC55" s="60"/>
      <c r="HD55" s="60"/>
      <c r="HE55" s="60"/>
      <c r="HF55" s="60"/>
      <c r="HG55" s="60"/>
      <c r="HN55" s="60"/>
      <c r="HO55" s="60"/>
      <c r="HP55" s="60"/>
      <c r="HQ55" s="60"/>
      <c r="HR55" s="60"/>
      <c r="HS55" s="60"/>
      <c r="HT55" s="60"/>
      <c r="HU55" s="60"/>
      <c r="HV55" s="60"/>
      <c r="HW55" s="60"/>
      <c r="HX55" s="60"/>
      <c r="HY55" s="60"/>
      <c r="HZ55" s="60"/>
      <c r="IA55" s="60"/>
      <c r="IB55" s="60"/>
      <c r="IC55" s="60"/>
      <c r="IK55" s="60"/>
      <c r="IL55" s="60"/>
      <c r="IM55" s="60"/>
      <c r="IN55" s="60"/>
      <c r="IO55" s="60"/>
      <c r="IP55" s="60"/>
      <c r="IQ55" s="60"/>
      <c r="IR55" s="60"/>
      <c r="IS55" s="60"/>
      <c r="IT55" s="60"/>
      <c r="IU55" s="60"/>
      <c r="IV55" s="60"/>
      <c r="IW55" s="60"/>
      <c r="IX55" s="60"/>
      <c r="IY55" s="60"/>
      <c r="IZ55" s="60"/>
      <c r="JI55" s="60"/>
      <c r="JJ55" s="60"/>
      <c r="JK55" s="60"/>
      <c r="JL55" s="60"/>
      <c r="JM55" s="60"/>
      <c r="JN55" s="60"/>
      <c r="JO55" s="60"/>
      <c r="JP55" s="60"/>
      <c r="JQ55" s="60"/>
      <c r="JR55" s="60"/>
      <c r="JS55" s="60"/>
      <c r="JT55" s="60"/>
      <c r="JU55" s="60"/>
      <c r="JV55" s="60"/>
      <c r="JW55" s="60"/>
      <c r="JX55" s="60"/>
      <c r="KF55" s="60"/>
      <c r="KG55" s="60"/>
      <c r="KH55" s="60"/>
      <c r="KI55" s="60"/>
      <c r="KJ55" s="60"/>
      <c r="KK55" s="60"/>
      <c r="KL55" s="60"/>
      <c r="KM55" s="60"/>
      <c r="KN55" s="60"/>
      <c r="KO55" s="60"/>
      <c r="KP55" s="60"/>
      <c r="KQ55" s="60"/>
      <c r="KR55" s="60"/>
      <c r="KS55" s="60"/>
      <c r="KT55" s="60"/>
      <c r="KU55" s="60"/>
      <c r="LA55" s="46"/>
      <c r="LB55" s="46"/>
      <c r="LC55" s="46"/>
      <c r="LD55" s="46"/>
      <c r="LE55" s="46"/>
      <c r="LF55" s="46"/>
      <c r="LG55" s="46"/>
      <c r="LH55" s="46"/>
      <c r="LI55" s="46"/>
      <c r="LJ55" s="46"/>
      <c r="LK55" s="46"/>
      <c r="LL55" s="46"/>
      <c r="LM55" s="46"/>
      <c r="LN55" s="46"/>
      <c r="LO55" s="46"/>
      <c r="LP55" s="46"/>
      <c r="LS55" s="46"/>
      <c r="LT55" s="46"/>
      <c r="LU55" s="46"/>
      <c r="LV55" s="46"/>
      <c r="LW55" s="46"/>
      <c r="LX55" s="46"/>
      <c r="LY55" s="46"/>
      <c r="LZ55" s="46"/>
      <c r="MA55" s="46"/>
      <c r="MB55" s="46"/>
      <c r="MC55" s="46"/>
      <c r="MD55" s="46"/>
      <c r="ME55" s="46"/>
      <c r="MF55" s="46"/>
      <c r="MG55" s="46"/>
      <c r="MH55" s="46"/>
      <c r="MI55" s="46"/>
      <c r="MJ55" s="46"/>
      <c r="MK55" s="46"/>
      <c r="ML55" s="46"/>
      <c r="MM55" s="46"/>
      <c r="MN55" s="46"/>
      <c r="MO55" s="46"/>
      <c r="MP55" s="46"/>
      <c r="MQ55" s="46"/>
      <c r="MR55" s="46"/>
      <c r="MS55" s="46"/>
      <c r="MT55" s="46"/>
      <c r="MU55" s="46"/>
      <c r="MV55" s="46"/>
      <c r="MW55" s="46"/>
      <c r="MX55" s="46"/>
      <c r="MY55" s="46"/>
      <c r="MZ55" s="46"/>
      <c r="NA55" s="46"/>
      <c r="NB55" s="46"/>
      <c r="NC55" s="46"/>
      <c r="ND55" s="46"/>
      <c r="NE55" s="46"/>
      <c r="NF55" s="46"/>
      <c r="NG55" s="46"/>
    </row>
    <row r="56" spans="3:381" x14ac:dyDescent="0.35">
      <c r="C56" s="63" t="s">
        <v>11</v>
      </c>
      <c r="D56" s="64"/>
      <c r="E56" s="70">
        <v>1</v>
      </c>
      <c r="F56" s="71"/>
      <c r="G56" s="63">
        <v>3</v>
      </c>
      <c r="H56" s="64"/>
      <c r="I56" s="63">
        <v>3</v>
      </c>
      <c r="J56" s="64"/>
      <c r="K56" s="63">
        <f>1/2</f>
        <v>0.5</v>
      </c>
      <c r="L56" s="64"/>
      <c r="M56" s="63">
        <v>3</v>
      </c>
      <c r="N56" s="64"/>
      <c r="O56" s="63">
        <f>1/5</f>
        <v>0.2</v>
      </c>
      <c r="P56" s="64"/>
      <c r="Q56" s="63">
        <f>1/5</f>
        <v>0.2</v>
      </c>
      <c r="R56" s="68"/>
      <c r="S56" s="53"/>
      <c r="T56" s="46"/>
      <c r="X56" s="63" t="s">
        <v>11</v>
      </c>
      <c r="Y56" s="64"/>
      <c r="Z56" s="70">
        <v>1</v>
      </c>
      <c r="AA56" s="71"/>
      <c r="AB56" s="63">
        <f>1/7</f>
        <v>0.14285714285714285</v>
      </c>
      <c r="AC56" s="64"/>
      <c r="AD56" s="63">
        <f>1/3</f>
        <v>0.33333333333333331</v>
      </c>
      <c r="AE56" s="64"/>
      <c r="AF56" s="63">
        <f>1/7</f>
        <v>0.14285714285714285</v>
      </c>
      <c r="AG56" s="64"/>
      <c r="AH56" s="63">
        <v>5</v>
      </c>
      <c r="AI56" s="64"/>
      <c r="AJ56" s="63">
        <v>3</v>
      </c>
      <c r="AK56" s="64"/>
      <c r="AL56" s="63">
        <v>7</v>
      </c>
      <c r="AM56" s="68"/>
      <c r="AN56" s="53"/>
      <c r="AO56" s="46"/>
      <c r="AS56" s="63" t="s">
        <v>11</v>
      </c>
      <c r="AT56" s="64"/>
      <c r="AU56" s="70">
        <v>1</v>
      </c>
      <c r="AV56" s="71"/>
      <c r="AW56" s="63">
        <f>1/2</f>
        <v>0.5</v>
      </c>
      <c r="AX56" s="64"/>
      <c r="AY56" s="63">
        <v>7</v>
      </c>
      <c r="AZ56" s="64"/>
      <c r="BA56" s="63">
        <f>1/3</f>
        <v>0.33333333333333331</v>
      </c>
      <c r="BB56" s="64"/>
      <c r="BC56" s="63">
        <v>9</v>
      </c>
      <c r="BD56" s="64"/>
      <c r="BE56" s="63">
        <v>3</v>
      </c>
      <c r="BF56" s="64"/>
      <c r="BG56" s="63">
        <f>1/5</f>
        <v>0.2</v>
      </c>
      <c r="BH56" s="68"/>
      <c r="BI56" s="53"/>
      <c r="BJ56" s="46"/>
      <c r="BN56" s="63" t="s">
        <v>11</v>
      </c>
      <c r="BO56" s="64"/>
      <c r="BP56" s="70">
        <v>1</v>
      </c>
      <c r="BQ56" s="71"/>
      <c r="BR56" s="63">
        <v>7</v>
      </c>
      <c r="BS56" s="64"/>
      <c r="BT56" s="63">
        <v>3</v>
      </c>
      <c r="BU56" s="64"/>
      <c r="BV56" s="63">
        <f>1/7</f>
        <v>0.14285714285714285</v>
      </c>
      <c r="BW56" s="64"/>
      <c r="BX56" s="63">
        <v>5</v>
      </c>
      <c r="BY56" s="64"/>
      <c r="BZ56" s="63">
        <f>1/5</f>
        <v>0.2</v>
      </c>
      <c r="CA56" s="64"/>
      <c r="CB56" s="63">
        <f>1/5</f>
        <v>0.2</v>
      </c>
      <c r="CC56" s="64"/>
      <c r="CK56" s="63" t="s">
        <v>11</v>
      </c>
      <c r="CL56" s="64"/>
      <c r="CM56" s="70">
        <v>1</v>
      </c>
      <c r="CN56" s="71"/>
      <c r="CO56" s="63">
        <v>3</v>
      </c>
      <c r="CP56" s="64"/>
      <c r="CQ56" s="63">
        <v>5</v>
      </c>
      <c r="CR56" s="64"/>
      <c r="CS56" s="63">
        <f>1/7</f>
        <v>0.14285714285714285</v>
      </c>
      <c r="CT56" s="64"/>
      <c r="CU56" s="63">
        <v>5</v>
      </c>
      <c r="CV56" s="64"/>
      <c r="CW56" s="63">
        <v>3</v>
      </c>
      <c r="CX56" s="64"/>
      <c r="CY56" s="63">
        <f>1/5</f>
        <v>0.2</v>
      </c>
      <c r="CZ56" s="64"/>
      <c r="DF56" s="63" t="s">
        <v>11</v>
      </c>
      <c r="DG56" s="64"/>
      <c r="DH56" s="70">
        <v>1</v>
      </c>
      <c r="DI56" s="71"/>
      <c r="DJ56" s="63">
        <v>9</v>
      </c>
      <c r="DK56" s="64"/>
      <c r="DL56" s="63">
        <v>5</v>
      </c>
      <c r="DM56" s="64"/>
      <c r="DN56" s="63">
        <f>1/7</f>
        <v>0.14285714285714285</v>
      </c>
      <c r="DO56" s="64"/>
      <c r="DP56" s="63">
        <v>5</v>
      </c>
      <c r="DQ56" s="64"/>
      <c r="DR56" s="63">
        <v>3</v>
      </c>
      <c r="DS56" s="64"/>
      <c r="DT56" s="63">
        <f>1/9</f>
        <v>0.1111111111111111</v>
      </c>
      <c r="DU56" s="64"/>
      <c r="EC56" s="63" t="s">
        <v>11</v>
      </c>
      <c r="ED56" s="64"/>
      <c r="EE56" s="70">
        <v>1</v>
      </c>
      <c r="EF56" s="71"/>
      <c r="EG56" s="63">
        <v>7</v>
      </c>
      <c r="EH56" s="64"/>
      <c r="EI56" s="63">
        <v>9</v>
      </c>
      <c r="EJ56" s="64"/>
      <c r="EK56" s="63">
        <f>1/5</f>
        <v>0.2</v>
      </c>
      <c r="EL56" s="64"/>
      <c r="EM56" s="63">
        <v>5</v>
      </c>
      <c r="EN56" s="64"/>
      <c r="EO56" s="63">
        <f>1/5</f>
        <v>0.2</v>
      </c>
      <c r="EP56" s="64"/>
      <c r="EQ56" s="63">
        <f>1/5</f>
        <v>0.2</v>
      </c>
      <c r="ER56" s="64"/>
      <c r="EY56" s="63" t="s">
        <v>11</v>
      </c>
      <c r="EZ56" s="64"/>
      <c r="FA56" s="70">
        <v>1</v>
      </c>
      <c r="FB56" s="71"/>
      <c r="FC56" s="63">
        <f>1/7</f>
        <v>0.14285714285714285</v>
      </c>
      <c r="FD56" s="64"/>
      <c r="FE56" s="63">
        <f>1/3</f>
        <v>0.33333333333333331</v>
      </c>
      <c r="FF56" s="64"/>
      <c r="FG56" s="63">
        <f>1/7</f>
        <v>0.14285714285714285</v>
      </c>
      <c r="FH56" s="64"/>
      <c r="FI56" s="63">
        <v>5</v>
      </c>
      <c r="FJ56" s="64"/>
      <c r="FK56" s="63">
        <v>9</v>
      </c>
      <c r="FL56" s="64"/>
      <c r="FM56" s="63">
        <v>7</v>
      </c>
      <c r="FN56" s="68"/>
      <c r="FO56" s="74"/>
      <c r="FP56" s="69"/>
      <c r="FV56" s="63" t="s">
        <v>11</v>
      </c>
      <c r="FW56" s="64"/>
      <c r="FX56" s="70">
        <v>1</v>
      </c>
      <c r="FY56" s="71"/>
      <c r="FZ56" s="63">
        <v>3</v>
      </c>
      <c r="GA56" s="64"/>
      <c r="GB56" s="63">
        <v>7</v>
      </c>
      <c r="GC56" s="64"/>
      <c r="GD56" s="63">
        <v>7</v>
      </c>
      <c r="GE56" s="64"/>
      <c r="GF56" s="63">
        <v>5</v>
      </c>
      <c r="GG56" s="64"/>
      <c r="GH56" s="63">
        <f>1/9</f>
        <v>0.1111111111111111</v>
      </c>
      <c r="GI56" s="64"/>
      <c r="GJ56" s="63">
        <f>1/5</f>
        <v>0.2</v>
      </c>
      <c r="GK56" s="68"/>
      <c r="GL56" s="74"/>
      <c r="GM56" s="69"/>
      <c r="GR56" s="63" t="s">
        <v>11</v>
      </c>
      <c r="GS56" s="64"/>
      <c r="GT56" s="70">
        <v>1</v>
      </c>
      <c r="GU56" s="71"/>
      <c r="GV56" s="63">
        <v>7</v>
      </c>
      <c r="GW56" s="64"/>
      <c r="GX56" s="63">
        <f>1/5</f>
        <v>0.2</v>
      </c>
      <c r="GY56" s="64"/>
      <c r="GZ56" s="63">
        <f>1/3</f>
        <v>0.33333333333333331</v>
      </c>
      <c r="HA56" s="64"/>
      <c r="HB56" s="63">
        <v>5</v>
      </c>
      <c r="HC56" s="64"/>
      <c r="HD56" s="63">
        <v>9</v>
      </c>
      <c r="HE56" s="64"/>
      <c r="HF56" s="63">
        <f>1/5</f>
        <v>0.2</v>
      </c>
      <c r="HG56" s="64"/>
      <c r="HN56" s="63" t="s">
        <v>11</v>
      </c>
      <c r="HO56" s="64"/>
      <c r="HP56" s="70">
        <v>1</v>
      </c>
      <c r="HQ56" s="71"/>
      <c r="HR56" s="63">
        <v>3</v>
      </c>
      <c r="HS56" s="64"/>
      <c r="HT56" s="63">
        <v>5</v>
      </c>
      <c r="HU56" s="64"/>
      <c r="HV56" s="63">
        <f>1/7</f>
        <v>0.14285714285714285</v>
      </c>
      <c r="HW56" s="64"/>
      <c r="HX56" s="63">
        <v>5</v>
      </c>
      <c r="HY56" s="64"/>
      <c r="HZ56" s="63">
        <v>3</v>
      </c>
      <c r="IA56" s="64"/>
      <c r="IB56" s="63">
        <f>1/5</f>
        <v>0.2</v>
      </c>
      <c r="IC56" s="64"/>
      <c r="IK56" s="63" t="s">
        <v>11</v>
      </c>
      <c r="IL56" s="64"/>
      <c r="IM56" s="70">
        <v>1</v>
      </c>
      <c r="IN56" s="71"/>
      <c r="IO56" s="63">
        <v>7</v>
      </c>
      <c r="IP56" s="64"/>
      <c r="IQ56" s="63">
        <v>9</v>
      </c>
      <c r="IR56" s="64"/>
      <c r="IS56" s="63">
        <f>1/5</f>
        <v>0.2</v>
      </c>
      <c r="IT56" s="64"/>
      <c r="IU56" s="63">
        <v>5</v>
      </c>
      <c r="IV56" s="64"/>
      <c r="IW56" s="63">
        <f>1/5</f>
        <v>0.2</v>
      </c>
      <c r="IX56" s="64"/>
      <c r="IY56" s="63">
        <f>1/5</f>
        <v>0.2</v>
      </c>
      <c r="IZ56" s="64"/>
      <c r="JI56" s="63" t="s">
        <v>11</v>
      </c>
      <c r="JJ56" s="64"/>
      <c r="JK56" s="70">
        <v>1</v>
      </c>
      <c r="JL56" s="71"/>
      <c r="JM56" s="63">
        <v>7</v>
      </c>
      <c r="JN56" s="64"/>
      <c r="JO56" s="63">
        <v>3</v>
      </c>
      <c r="JP56" s="64"/>
      <c r="JQ56" s="63">
        <f>1/7</f>
        <v>0.14285714285714285</v>
      </c>
      <c r="JR56" s="64"/>
      <c r="JS56" s="63">
        <v>5</v>
      </c>
      <c r="JT56" s="64"/>
      <c r="JU56" s="63">
        <v>5</v>
      </c>
      <c r="JV56" s="64"/>
      <c r="JW56" s="63">
        <v>5</v>
      </c>
      <c r="JX56" s="64"/>
      <c r="KF56" s="63" t="s">
        <v>11</v>
      </c>
      <c r="KG56" s="64"/>
      <c r="KH56" s="70">
        <v>1</v>
      </c>
      <c r="KI56" s="71"/>
      <c r="KJ56" s="63">
        <v>3</v>
      </c>
      <c r="KK56" s="64"/>
      <c r="KL56" s="63">
        <v>5</v>
      </c>
      <c r="KM56" s="64"/>
      <c r="KN56" s="63">
        <f>1/7</f>
        <v>0.14285714285714285</v>
      </c>
      <c r="KO56" s="64"/>
      <c r="KP56" s="63">
        <v>5</v>
      </c>
      <c r="KQ56" s="64"/>
      <c r="KR56" s="63">
        <v>3</v>
      </c>
      <c r="KS56" s="64"/>
      <c r="KT56" s="63">
        <f>1/5</f>
        <v>0.2</v>
      </c>
      <c r="KU56" s="64"/>
      <c r="LA56" s="46"/>
      <c r="LB56" s="46"/>
      <c r="LC56" s="46"/>
      <c r="LD56" s="46"/>
      <c r="LE56" s="46"/>
      <c r="LF56" s="46"/>
      <c r="LG56" s="46"/>
      <c r="LH56" s="46"/>
      <c r="LI56" s="46"/>
      <c r="LJ56" s="46"/>
      <c r="LK56" s="46"/>
      <c r="LL56" s="46"/>
      <c r="LM56" s="46"/>
      <c r="LN56" s="46"/>
      <c r="LO56" s="46"/>
      <c r="LP56" s="46"/>
      <c r="LS56" s="46"/>
      <c r="LT56" s="46"/>
      <c r="LU56" s="46"/>
      <c r="LV56" s="46"/>
      <c r="LW56" s="46"/>
      <c r="LX56" s="46"/>
      <c r="LY56" s="46"/>
      <c r="LZ56" s="46"/>
      <c r="MA56" s="46"/>
      <c r="MB56" s="46"/>
      <c r="MC56" s="46"/>
      <c r="MD56" s="46"/>
      <c r="ME56" s="46"/>
      <c r="MF56" s="46"/>
      <c r="MG56" s="46"/>
      <c r="MH56" s="46"/>
      <c r="MI56" s="46"/>
      <c r="MJ56" s="46"/>
      <c r="MK56" s="46"/>
      <c r="ML56" s="46"/>
      <c r="MM56" s="46"/>
      <c r="MN56" s="46"/>
      <c r="MO56" s="46"/>
      <c r="MP56" s="46"/>
      <c r="MQ56" s="46"/>
      <c r="MR56" s="46"/>
      <c r="MS56" s="46"/>
      <c r="MT56" s="46"/>
      <c r="MU56" s="46"/>
      <c r="MV56" s="46"/>
      <c r="MW56" s="46"/>
      <c r="MX56" s="46"/>
      <c r="MY56" s="46"/>
      <c r="MZ56" s="46"/>
      <c r="NA56" s="46"/>
      <c r="NB56" s="46"/>
      <c r="NC56" s="46"/>
      <c r="ND56" s="46"/>
      <c r="NE56" s="46"/>
      <c r="NF56" s="46"/>
      <c r="NG56" s="46"/>
    </row>
    <row r="57" spans="3:381" x14ac:dyDescent="0.35">
      <c r="C57" s="65"/>
      <c r="D57" s="66"/>
      <c r="E57" s="72"/>
      <c r="F57" s="73"/>
      <c r="G57" s="65"/>
      <c r="H57" s="66"/>
      <c r="I57" s="65"/>
      <c r="J57" s="66"/>
      <c r="K57" s="65"/>
      <c r="L57" s="66"/>
      <c r="M57" s="65"/>
      <c r="N57" s="66"/>
      <c r="O57" s="65"/>
      <c r="P57" s="66"/>
      <c r="Q57" s="65"/>
      <c r="R57" s="78"/>
      <c r="S57" s="53"/>
      <c r="T57" s="46"/>
      <c r="X57" s="65"/>
      <c r="Y57" s="66"/>
      <c r="Z57" s="72"/>
      <c r="AA57" s="73"/>
      <c r="AB57" s="65"/>
      <c r="AC57" s="66"/>
      <c r="AD57" s="65"/>
      <c r="AE57" s="66"/>
      <c r="AF57" s="65"/>
      <c r="AG57" s="66"/>
      <c r="AH57" s="65"/>
      <c r="AI57" s="66"/>
      <c r="AJ57" s="65"/>
      <c r="AK57" s="66"/>
      <c r="AL57" s="65"/>
      <c r="AM57" s="78"/>
      <c r="AN57" s="53"/>
      <c r="AO57" s="46"/>
      <c r="AS57" s="65"/>
      <c r="AT57" s="66"/>
      <c r="AU57" s="72"/>
      <c r="AV57" s="73"/>
      <c r="AW57" s="65"/>
      <c r="AX57" s="66"/>
      <c r="AY57" s="65"/>
      <c r="AZ57" s="66"/>
      <c r="BA57" s="65"/>
      <c r="BB57" s="66"/>
      <c r="BC57" s="65"/>
      <c r="BD57" s="66"/>
      <c r="BE57" s="65"/>
      <c r="BF57" s="66"/>
      <c r="BG57" s="65"/>
      <c r="BH57" s="78"/>
      <c r="BI57" s="53"/>
      <c r="BJ57" s="46"/>
      <c r="BN57" s="65"/>
      <c r="BO57" s="66"/>
      <c r="BP57" s="72"/>
      <c r="BQ57" s="73"/>
      <c r="BR57" s="65"/>
      <c r="BS57" s="66"/>
      <c r="BT57" s="65"/>
      <c r="BU57" s="66"/>
      <c r="BV57" s="65"/>
      <c r="BW57" s="66"/>
      <c r="BX57" s="65"/>
      <c r="BY57" s="66"/>
      <c r="BZ57" s="65"/>
      <c r="CA57" s="66"/>
      <c r="CB57" s="65"/>
      <c r="CC57" s="66"/>
      <c r="CK57" s="65"/>
      <c r="CL57" s="66"/>
      <c r="CM57" s="72"/>
      <c r="CN57" s="73"/>
      <c r="CO57" s="65"/>
      <c r="CP57" s="66"/>
      <c r="CQ57" s="65"/>
      <c r="CR57" s="66"/>
      <c r="CS57" s="65"/>
      <c r="CT57" s="66"/>
      <c r="CU57" s="65"/>
      <c r="CV57" s="66"/>
      <c r="CW57" s="65"/>
      <c r="CX57" s="66"/>
      <c r="CY57" s="65"/>
      <c r="CZ57" s="66"/>
      <c r="DF57" s="65"/>
      <c r="DG57" s="66"/>
      <c r="DH57" s="72"/>
      <c r="DI57" s="73"/>
      <c r="DJ57" s="65"/>
      <c r="DK57" s="66"/>
      <c r="DL57" s="65"/>
      <c r="DM57" s="66"/>
      <c r="DN57" s="65"/>
      <c r="DO57" s="66"/>
      <c r="DP57" s="65"/>
      <c r="DQ57" s="66"/>
      <c r="DR57" s="65"/>
      <c r="DS57" s="66"/>
      <c r="DT57" s="65"/>
      <c r="DU57" s="66"/>
      <c r="EC57" s="65"/>
      <c r="ED57" s="66"/>
      <c r="EE57" s="72"/>
      <c r="EF57" s="73"/>
      <c r="EG57" s="65"/>
      <c r="EH57" s="66"/>
      <c r="EI57" s="65"/>
      <c r="EJ57" s="66"/>
      <c r="EK57" s="65"/>
      <c r="EL57" s="66"/>
      <c r="EM57" s="65"/>
      <c r="EN57" s="66"/>
      <c r="EO57" s="65"/>
      <c r="EP57" s="66"/>
      <c r="EQ57" s="65"/>
      <c r="ER57" s="66"/>
      <c r="EY57" s="65"/>
      <c r="EZ57" s="66"/>
      <c r="FA57" s="72"/>
      <c r="FB57" s="73"/>
      <c r="FC57" s="65"/>
      <c r="FD57" s="66"/>
      <c r="FE57" s="65"/>
      <c r="FF57" s="66"/>
      <c r="FG57" s="65"/>
      <c r="FH57" s="66"/>
      <c r="FI57" s="65"/>
      <c r="FJ57" s="66"/>
      <c r="FK57" s="65"/>
      <c r="FL57" s="66"/>
      <c r="FM57" s="65"/>
      <c r="FN57" s="78"/>
      <c r="FO57" s="74"/>
      <c r="FP57" s="69"/>
      <c r="FV57" s="65"/>
      <c r="FW57" s="66"/>
      <c r="FX57" s="72"/>
      <c r="FY57" s="73"/>
      <c r="FZ57" s="65"/>
      <c r="GA57" s="66"/>
      <c r="GB57" s="65"/>
      <c r="GC57" s="66"/>
      <c r="GD57" s="65"/>
      <c r="GE57" s="66"/>
      <c r="GF57" s="65"/>
      <c r="GG57" s="66"/>
      <c r="GH57" s="65"/>
      <c r="GI57" s="66"/>
      <c r="GJ57" s="65"/>
      <c r="GK57" s="78"/>
      <c r="GL57" s="74"/>
      <c r="GM57" s="69"/>
      <c r="GR57" s="65"/>
      <c r="GS57" s="66"/>
      <c r="GT57" s="72"/>
      <c r="GU57" s="73"/>
      <c r="GV57" s="65"/>
      <c r="GW57" s="66"/>
      <c r="GX57" s="65"/>
      <c r="GY57" s="66"/>
      <c r="GZ57" s="65"/>
      <c r="HA57" s="66"/>
      <c r="HB57" s="65"/>
      <c r="HC57" s="66"/>
      <c r="HD57" s="65"/>
      <c r="HE57" s="66"/>
      <c r="HF57" s="65"/>
      <c r="HG57" s="66"/>
      <c r="HN57" s="65"/>
      <c r="HO57" s="66"/>
      <c r="HP57" s="72"/>
      <c r="HQ57" s="73"/>
      <c r="HR57" s="65"/>
      <c r="HS57" s="66"/>
      <c r="HT57" s="65"/>
      <c r="HU57" s="66"/>
      <c r="HV57" s="65"/>
      <c r="HW57" s="66"/>
      <c r="HX57" s="65"/>
      <c r="HY57" s="66"/>
      <c r="HZ57" s="65"/>
      <c r="IA57" s="66"/>
      <c r="IB57" s="65"/>
      <c r="IC57" s="66"/>
      <c r="IK57" s="65"/>
      <c r="IL57" s="66"/>
      <c r="IM57" s="72"/>
      <c r="IN57" s="73"/>
      <c r="IO57" s="65"/>
      <c r="IP57" s="66"/>
      <c r="IQ57" s="65"/>
      <c r="IR57" s="66"/>
      <c r="IS57" s="65"/>
      <c r="IT57" s="66"/>
      <c r="IU57" s="65"/>
      <c r="IV57" s="66"/>
      <c r="IW57" s="65"/>
      <c r="IX57" s="66"/>
      <c r="IY57" s="65"/>
      <c r="IZ57" s="66"/>
      <c r="JI57" s="65"/>
      <c r="JJ57" s="66"/>
      <c r="JK57" s="72"/>
      <c r="JL57" s="73"/>
      <c r="JM57" s="65"/>
      <c r="JN57" s="66"/>
      <c r="JO57" s="65"/>
      <c r="JP57" s="66"/>
      <c r="JQ57" s="65"/>
      <c r="JR57" s="66"/>
      <c r="JS57" s="65"/>
      <c r="JT57" s="66"/>
      <c r="JU57" s="65"/>
      <c r="JV57" s="66"/>
      <c r="JW57" s="65"/>
      <c r="JX57" s="66"/>
      <c r="KF57" s="65"/>
      <c r="KG57" s="66"/>
      <c r="KH57" s="72"/>
      <c r="KI57" s="73"/>
      <c r="KJ57" s="65"/>
      <c r="KK57" s="66"/>
      <c r="KL57" s="65"/>
      <c r="KM57" s="66"/>
      <c r="KN57" s="65"/>
      <c r="KO57" s="66"/>
      <c r="KP57" s="65"/>
      <c r="KQ57" s="66"/>
      <c r="KR57" s="65"/>
      <c r="KS57" s="66"/>
      <c r="KT57" s="65"/>
      <c r="KU57" s="66"/>
      <c r="LA57" s="46"/>
      <c r="LB57" s="46"/>
      <c r="LC57" s="46"/>
      <c r="LD57" s="46"/>
      <c r="LE57" s="46"/>
      <c r="LF57" s="46"/>
      <c r="LG57" s="46"/>
      <c r="LH57" s="46"/>
      <c r="LI57" s="46"/>
      <c r="LJ57" s="46"/>
      <c r="LK57" s="46"/>
      <c r="LL57" s="46"/>
      <c r="LM57" s="46"/>
      <c r="LN57" s="46"/>
      <c r="LO57" s="46"/>
      <c r="LP57" s="46"/>
      <c r="LS57" s="46"/>
      <c r="LT57" s="46"/>
      <c r="LU57" s="46"/>
      <c r="LV57" s="46"/>
      <c r="LW57" s="46"/>
      <c r="LX57" s="46"/>
      <c r="LY57" s="46"/>
      <c r="LZ57" s="46"/>
      <c r="MA57" s="46"/>
      <c r="MB57" s="46"/>
      <c r="MC57" s="46"/>
      <c r="MD57" s="46"/>
      <c r="ME57" s="46"/>
      <c r="MF57" s="46"/>
      <c r="MG57" s="46"/>
      <c r="MH57" s="46"/>
      <c r="MI57" s="46"/>
      <c r="MJ57" s="46"/>
      <c r="MK57" s="46"/>
      <c r="ML57" s="46"/>
      <c r="MM57" s="46"/>
      <c r="MN57" s="46"/>
      <c r="MO57" s="46"/>
      <c r="MP57" s="46"/>
      <c r="MQ57" s="46"/>
      <c r="MR57" s="46"/>
      <c r="MS57" s="46"/>
      <c r="MT57" s="46"/>
      <c r="MU57" s="46"/>
      <c r="MV57" s="46"/>
      <c r="MW57" s="46"/>
      <c r="MX57" s="46"/>
      <c r="MY57" s="46"/>
      <c r="MZ57" s="46"/>
      <c r="NA57" s="46"/>
      <c r="NB57" s="46"/>
      <c r="NC57" s="46"/>
      <c r="ND57" s="46"/>
      <c r="NE57" s="46"/>
      <c r="NF57" s="46"/>
      <c r="NG57" s="46"/>
    </row>
    <row r="58" spans="3:381" x14ac:dyDescent="0.35">
      <c r="C58" s="60" t="s">
        <v>81</v>
      </c>
      <c r="D58" s="60"/>
      <c r="E58" s="60">
        <f>1/G56</f>
        <v>0.33333333333333331</v>
      </c>
      <c r="F58" s="60"/>
      <c r="G58" s="62">
        <v>1</v>
      </c>
      <c r="H58" s="62"/>
      <c r="I58" s="60">
        <v>7</v>
      </c>
      <c r="J58" s="60"/>
      <c r="K58" s="60">
        <f>1/5</f>
        <v>0.2</v>
      </c>
      <c r="L58" s="60"/>
      <c r="M58" s="60">
        <f>1/7</f>
        <v>0.14285714285714285</v>
      </c>
      <c r="N58" s="60"/>
      <c r="O58" s="60">
        <f>1/5</f>
        <v>0.2</v>
      </c>
      <c r="P58" s="60"/>
      <c r="Q58" s="60">
        <f>1/3</f>
        <v>0.33333333333333331</v>
      </c>
      <c r="R58" s="75"/>
      <c r="S58" s="53"/>
      <c r="T58" s="46"/>
      <c r="X58" s="60" t="s">
        <v>81</v>
      </c>
      <c r="Y58" s="60"/>
      <c r="Z58" s="60">
        <f>1/AB56</f>
        <v>7</v>
      </c>
      <c r="AA58" s="60"/>
      <c r="AB58" s="62">
        <v>1</v>
      </c>
      <c r="AC58" s="62"/>
      <c r="AD58" s="60">
        <f>1/3</f>
        <v>0.33333333333333331</v>
      </c>
      <c r="AE58" s="60"/>
      <c r="AF58" s="60">
        <f>1/5</f>
        <v>0.2</v>
      </c>
      <c r="AG58" s="60"/>
      <c r="AH58" s="60">
        <v>9</v>
      </c>
      <c r="AI58" s="60"/>
      <c r="AJ58" s="60">
        <f>1/3</f>
        <v>0.33333333333333331</v>
      </c>
      <c r="AK58" s="60"/>
      <c r="AL58" s="60">
        <f>1/9</f>
        <v>0.1111111111111111</v>
      </c>
      <c r="AM58" s="75"/>
      <c r="AN58" s="53"/>
      <c r="AO58" s="46"/>
      <c r="AS58" s="60" t="s">
        <v>81</v>
      </c>
      <c r="AT58" s="60"/>
      <c r="AU58" s="60">
        <f>1/AW56</f>
        <v>2</v>
      </c>
      <c r="AV58" s="60"/>
      <c r="AW58" s="62">
        <v>1</v>
      </c>
      <c r="AX58" s="62"/>
      <c r="AY58" s="60">
        <v>3</v>
      </c>
      <c r="AZ58" s="60"/>
      <c r="BA58" s="60">
        <f>1/7</f>
        <v>0.14285714285714285</v>
      </c>
      <c r="BB58" s="60"/>
      <c r="BC58" s="60">
        <v>7</v>
      </c>
      <c r="BD58" s="60"/>
      <c r="BE58" s="60">
        <v>5</v>
      </c>
      <c r="BF58" s="60"/>
      <c r="BG58" s="60">
        <f>1/3</f>
        <v>0.33333333333333331</v>
      </c>
      <c r="BH58" s="75"/>
      <c r="BI58" s="53"/>
      <c r="BJ58" s="46"/>
      <c r="BN58" s="60" t="s">
        <v>81</v>
      </c>
      <c r="BO58" s="60"/>
      <c r="BP58" s="60">
        <f>1/BR56</f>
        <v>0.14285714285714285</v>
      </c>
      <c r="BQ58" s="60"/>
      <c r="BR58" s="62">
        <v>1</v>
      </c>
      <c r="BS58" s="62"/>
      <c r="BT58" s="60">
        <v>5</v>
      </c>
      <c r="BU58" s="60"/>
      <c r="BV58" s="60">
        <f>1/9</f>
        <v>0.1111111111111111</v>
      </c>
      <c r="BW58" s="60"/>
      <c r="BX58" s="60">
        <v>9</v>
      </c>
      <c r="BY58" s="60"/>
      <c r="BZ58" s="60">
        <v>3</v>
      </c>
      <c r="CA58" s="60"/>
      <c r="CB58" s="60">
        <f>1/5</f>
        <v>0.2</v>
      </c>
      <c r="CC58" s="60"/>
      <c r="CK58" s="60" t="s">
        <v>81</v>
      </c>
      <c r="CL58" s="60"/>
      <c r="CM58" s="60">
        <f>1/CO56</f>
        <v>0.33333333333333331</v>
      </c>
      <c r="CN58" s="60"/>
      <c r="CO58" s="62">
        <v>1</v>
      </c>
      <c r="CP58" s="62"/>
      <c r="CQ58" s="60">
        <f>1/3</f>
        <v>0.33333333333333331</v>
      </c>
      <c r="CR58" s="60"/>
      <c r="CS58" s="60">
        <f>1/3</f>
        <v>0.33333333333333331</v>
      </c>
      <c r="CT58" s="60"/>
      <c r="CU58" s="60">
        <v>7</v>
      </c>
      <c r="CV58" s="60"/>
      <c r="CW58" s="60">
        <v>3</v>
      </c>
      <c r="CX58" s="60"/>
      <c r="CY58" s="60">
        <f>1/3</f>
        <v>0.33333333333333331</v>
      </c>
      <c r="CZ58" s="60"/>
      <c r="DF58" s="60" t="s">
        <v>81</v>
      </c>
      <c r="DG58" s="60"/>
      <c r="DH58" s="60">
        <f>1/DJ56</f>
        <v>0.1111111111111111</v>
      </c>
      <c r="DI58" s="60"/>
      <c r="DJ58" s="62">
        <v>1</v>
      </c>
      <c r="DK58" s="62"/>
      <c r="DL58" s="60">
        <v>9</v>
      </c>
      <c r="DM58" s="60"/>
      <c r="DN58" s="60">
        <v>7</v>
      </c>
      <c r="DO58" s="60"/>
      <c r="DP58" s="60">
        <v>7</v>
      </c>
      <c r="DQ58" s="60"/>
      <c r="DR58" s="60">
        <v>5</v>
      </c>
      <c r="DS58" s="60"/>
      <c r="DT58" s="60">
        <f>1/7</f>
        <v>0.14285714285714285</v>
      </c>
      <c r="DU58" s="60"/>
      <c r="EC58" s="60" t="s">
        <v>81</v>
      </c>
      <c r="ED58" s="60"/>
      <c r="EE58" s="60">
        <f>1/EG56</f>
        <v>0.14285714285714285</v>
      </c>
      <c r="EF58" s="60"/>
      <c r="EG58" s="62">
        <v>1</v>
      </c>
      <c r="EH58" s="62"/>
      <c r="EI58" s="60">
        <v>7</v>
      </c>
      <c r="EJ58" s="60"/>
      <c r="EK58" s="60">
        <f>1/5</f>
        <v>0.2</v>
      </c>
      <c r="EL58" s="60"/>
      <c r="EM58" s="60">
        <v>7</v>
      </c>
      <c r="EN58" s="60"/>
      <c r="EO58" s="60">
        <f>1/5</f>
        <v>0.2</v>
      </c>
      <c r="EP58" s="60"/>
      <c r="EQ58" s="60">
        <f>1/3</f>
        <v>0.33333333333333331</v>
      </c>
      <c r="ER58" s="60"/>
      <c r="EY58" s="60" t="s">
        <v>81</v>
      </c>
      <c r="EZ58" s="60"/>
      <c r="FA58" s="60">
        <f>1/FC56</f>
        <v>7</v>
      </c>
      <c r="FB58" s="60"/>
      <c r="FC58" s="62">
        <v>1</v>
      </c>
      <c r="FD58" s="62"/>
      <c r="FE58" s="60">
        <f>1/7</f>
        <v>0.14285714285714285</v>
      </c>
      <c r="FF58" s="60"/>
      <c r="FG58" s="60">
        <f>1/5</f>
        <v>0.2</v>
      </c>
      <c r="FH58" s="60"/>
      <c r="FI58" s="60">
        <v>9</v>
      </c>
      <c r="FJ58" s="60"/>
      <c r="FK58" s="60">
        <v>7</v>
      </c>
      <c r="FL58" s="60"/>
      <c r="FM58" s="60">
        <f>1/9</f>
        <v>0.1111111111111111</v>
      </c>
      <c r="FN58" s="75"/>
      <c r="FO58" s="74"/>
      <c r="FP58" s="69"/>
      <c r="FV58" s="60" t="s">
        <v>81</v>
      </c>
      <c r="FW58" s="60"/>
      <c r="FX58" s="60">
        <f>1/FZ56</f>
        <v>0.33333333333333331</v>
      </c>
      <c r="FY58" s="60"/>
      <c r="FZ58" s="62">
        <v>1</v>
      </c>
      <c r="GA58" s="62"/>
      <c r="GB58" s="60">
        <f>1/3</f>
        <v>0.33333333333333331</v>
      </c>
      <c r="GC58" s="60"/>
      <c r="GD58" s="60">
        <f>1/5</f>
        <v>0.2</v>
      </c>
      <c r="GE58" s="60"/>
      <c r="GF58" s="60">
        <v>7</v>
      </c>
      <c r="GG58" s="60"/>
      <c r="GH58" s="60">
        <v>3</v>
      </c>
      <c r="GI58" s="60"/>
      <c r="GJ58" s="60">
        <v>3</v>
      </c>
      <c r="GK58" s="75"/>
      <c r="GL58" s="74"/>
      <c r="GM58" s="69"/>
      <c r="GR58" s="60" t="s">
        <v>81</v>
      </c>
      <c r="GS58" s="60"/>
      <c r="GT58" s="60">
        <f>1/GV56</f>
        <v>0.14285714285714285</v>
      </c>
      <c r="GU58" s="60"/>
      <c r="GV58" s="62">
        <v>1</v>
      </c>
      <c r="GW58" s="62"/>
      <c r="GX58" s="60">
        <v>7</v>
      </c>
      <c r="GY58" s="60"/>
      <c r="GZ58" s="60">
        <f>1/5</f>
        <v>0.2</v>
      </c>
      <c r="HA58" s="60"/>
      <c r="HB58" s="60">
        <v>5</v>
      </c>
      <c r="HC58" s="60"/>
      <c r="HD58" s="60">
        <f>1/7</f>
        <v>0.14285714285714285</v>
      </c>
      <c r="HE58" s="60"/>
      <c r="HF58" s="60">
        <f>1/3</f>
        <v>0.33333333333333331</v>
      </c>
      <c r="HG58" s="60"/>
      <c r="HN58" s="60" t="s">
        <v>81</v>
      </c>
      <c r="HO58" s="60"/>
      <c r="HP58" s="60">
        <f>1/HR56</f>
        <v>0.33333333333333331</v>
      </c>
      <c r="HQ58" s="60"/>
      <c r="HR58" s="70">
        <v>1</v>
      </c>
      <c r="HS58" s="71"/>
      <c r="HT58" s="63">
        <f>1/3</f>
        <v>0.33333333333333331</v>
      </c>
      <c r="HU58" s="64"/>
      <c r="HV58" s="63">
        <f>1/5</f>
        <v>0.2</v>
      </c>
      <c r="HW58" s="64"/>
      <c r="HX58" s="63">
        <v>7</v>
      </c>
      <c r="HY58" s="64"/>
      <c r="HZ58" s="63">
        <v>3</v>
      </c>
      <c r="IA58" s="64"/>
      <c r="IB58" s="63">
        <f>1/3</f>
        <v>0.33333333333333331</v>
      </c>
      <c r="IC58" s="64"/>
      <c r="IK58" s="60" t="s">
        <v>81</v>
      </c>
      <c r="IL58" s="60"/>
      <c r="IM58" s="60">
        <f>1/IO56</f>
        <v>0.14285714285714285</v>
      </c>
      <c r="IN58" s="60"/>
      <c r="IO58" s="62">
        <v>1</v>
      </c>
      <c r="IP58" s="62"/>
      <c r="IQ58" s="60">
        <v>7</v>
      </c>
      <c r="IR58" s="60"/>
      <c r="IS58" s="60">
        <f>1/5</f>
        <v>0.2</v>
      </c>
      <c r="IT58" s="60"/>
      <c r="IU58" s="60">
        <v>7</v>
      </c>
      <c r="IV58" s="60"/>
      <c r="IW58" s="60">
        <f>1/5</f>
        <v>0.2</v>
      </c>
      <c r="IX58" s="60"/>
      <c r="IY58" s="60">
        <f>1/3</f>
        <v>0.33333333333333331</v>
      </c>
      <c r="IZ58" s="60"/>
      <c r="JI58" s="60" t="s">
        <v>81</v>
      </c>
      <c r="JJ58" s="60"/>
      <c r="JK58" s="60">
        <f>1/JM56</f>
        <v>0.14285714285714285</v>
      </c>
      <c r="JL58" s="60"/>
      <c r="JM58" s="62">
        <v>1</v>
      </c>
      <c r="JN58" s="62"/>
      <c r="JO58" s="60">
        <v>5</v>
      </c>
      <c r="JP58" s="60"/>
      <c r="JQ58" s="60">
        <f>1/9</f>
        <v>0.1111111111111111</v>
      </c>
      <c r="JR58" s="60"/>
      <c r="JS58" s="60">
        <v>9</v>
      </c>
      <c r="JT58" s="60"/>
      <c r="JU58" s="60">
        <v>3</v>
      </c>
      <c r="JV58" s="60"/>
      <c r="JW58" s="60">
        <f>1/5</f>
        <v>0.2</v>
      </c>
      <c r="JX58" s="60"/>
      <c r="KF58" s="60" t="s">
        <v>81</v>
      </c>
      <c r="KG58" s="60"/>
      <c r="KH58" s="60">
        <f>1/KJ56</f>
        <v>0.33333333333333331</v>
      </c>
      <c r="KI58" s="60"/>
      <c r="KJ58" s="62">
        <v>1</v>
      </c>
      <c r="KK58" s="62"/>
      <c r="KL58" s="60">
        <f>1/3</f>
        <v>0.33333333333333331</v>
      </c>
      <c r="KM58" s="60"/>
      <c r="KN58" s="60">
        <f>1/3</f>
        <v>0.33333333333333331</v>
      </c>
      <c r="KO58" s="60"/>
      <c r="KP58" s="60">
        <v>7</v>
      </c>
      <c r="KQ58" s="60"/>
      <c r="KR58" s="60">
        <v>3</v>
      </c>
      <c r="KS58" s="60"/>
      <c r="KT58" s="60">
        <f>1/3</f>
        <v>0.33333333333333331</v>
      </c>
      <c r="KU58" s="60"/>
      <c r="LA58" s="46"/>
      <c r="LB58" s="46"/>
      <c r="LC58" s="46"/>
      <c r="LD58" s="46"/>
      <c r="LE58" s="46"/>
      <c r="LF58" s="46"/>
      <c r="LG58" s="46"/>
      <c r="LH58" s="46"/>
      <c r="LI58" s="46"/>
      <c r="LJ58" s="46"/>
      <c r="LK58" s="46"/>
      <c r="LL58" s="46"/>
      <c r="LM58" s="46"/>
      <c r="LN58" s="46"/>
      <c r="LO58" s="46"/>
      <c r="LP58" s="46"/>
      <c r="LS58" s="46"/>
      <c r="LT58" s="46"/>
      <c r="LU58" s="46"/>
      <c r="LV58" s="46"/>
      <c r="LW58" s="46"/>
      <c r="LX58" s="46"/>
      <c r="LY58" s="46"/>
      <c r="LZ58" s="46"/>
      <c r="MA58" s="46"/>
      <c r="MB58" s="46"/>
      <c r="MC58" s="46"/>
      <c r="MD58" s="46"/>
      <c r="ME58" s="46"/>
      <c r="MF58" s="46"/>
      <c r="MG58" s="46"/>
      <c r="MH58" s="46"/>
      <c r="MI58" s="46"/>
      <c r="MJ58" s="46"/>
      <c r="MK58" s="46"/>
      <c r="ML58" s="46"/>
      <c r="MM58" s="46"/>
      <c r="MN58" s="46"/>
      <c r="MO58" s="46"/>
      <c r="MP58" s="46"/>
      <c r="MQ58" s="46"/>
      <c r="MR58" s="46"/>
      <c r="MS58" s="46"/>
      <c r="MT58" s="46"/>
      <c r="MU58" s="46"/>
      <c r="MV58" s="46"/>
      <c r="MW58" s="46"/>
      <c r="MX58" s="46"/>
      <c r="MY58" s="46"/>
      <c r="MZ58" s="46"/>
      <c r="NA58" s="46"/>
      <c r="NB58" s="46"/>
      <c r="NC58" s="46"/>
      <c r="ND58" s="46"/>
      <c r="NE58" s="46"/>
      <c r="NF58" s="46"/>
      <c r="NG58" s="46"/>
    </row>
    <row r="59" spans="3:381" ht="15" customHeight="1" x14ac:dyDescent="0.35">
      <c r="C59" s="60"/>
      <c r="D59" s="60"/>
      <c r="E59" s="60"/>
      <c r="F59" s="60"/>
      <c r="G59" s="62"/>
      <c r="H59" s="62"/>
      <c r="I59" s="60"/>
      <c r="J59" s="60"/>
      <c r="K59" s="60"/>
      <c r="L59" s="60"/>
      <c r="M59" s="60"/>
      <c r="N59" s="60"/>
      <c r="O59" s="60"/>
      <c r="P59" s="60"/>
      <c r="Q59" s="60"/>
      <c r="R59" s="75"/>
      <c r="S59" s="53"/>
      <c r="T59" s="46"/>
      <c r="X59" s="60"/>
      <c r="Y59" s="60"/>
      <c r="Z59" s="60"/>
      <c r="AA59" s="60"/>
      <c r="AB59" s="62"/>
      <c r="AC59" s="62"/>
      <c r="AD59" s="60"/>
      <c r="AE59" s="60"/>
      <c r="AF59" s="60"/>
      <c r="AG59" s="60"/>
      <c r="AH59" s="60"/>
      <c r="AI59" s="60"/>
      <c r="AJ59" s="60"/>
      <c r="AK59" s="60"/>
      <c r="AL59" s="60"/>
      <c r="AM59" s="75"/>
      <c r="AN59" s="53"/>
      <c r="AO59" s="46"/>
      <c r="AS59" s="60"/>
      <c r="AT59" s="60"/>
      <c r="AU59" s="60"/>
      <c r="AV59" s="60"/>
      <c r="AW59" s="62"/>
      <c r="AX59" s="62"/>
      <c r="AY59" s="60"/>
      <c r="AZ59" s="60"/>
      <c r="BA59" s="60"/>
      <c r="BB59" s="60"/>
      <c r="BC59" s="60"/>
      <c r="BD59" s="60"/>
      <c r="BE59" s="60"/>
      <c r="BF59" s="60"/>
      <c r="BG59" s="60"/>
      <c r="BH59" s="75"/>
      <c r="BI59" s="53"/>
      <c r="BJ59" s="46"/>
      <c r="BN59" s="60"/>
      <c r="BO59" s="60"/>
      <c r="BP59" s="60"/>
      <c r="BQ59" s="60"/>
      <c r="BR59" s="62"/>
      <c r="BS59" s="62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K59" s="60"/>
      <c r="CL59" s="60"/>
      <c r="CM59" s="60"/>
      <c r="CN59" s="60"/>
      <c r="CO59" s="62"/>
      <c r="CP59" s="62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F59" s="60"/>
      <c r="DG59" s="60"/>
      <c r="DH59" s="60"/>
      <c r="DI59" s="60"/>
      <c r="DJ59" s="62"/>
      <c r="DK59" s="62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EC59" s="60"/>
      <c r="ED59" s="60"/>
      <c r="EE59" s="60"/>
      <c r="EF59" s="60"/>
      <c r="EG59" s="62"/>
      <c r="EH59" s="62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Y59" s="60"/>
      <c r="EZ59" s="60"/>
      <c r="FA59" s="60"/>
      <c r="FB59" s="60"/>
      <c r="FC59" s="62"/>
      <c r="FD59" s="62"/>
      <c r="FE59" s="60"/>
      <c r="FF59" s="60"/>
      <c r="FG59" s="60"/>
      <c r="FH59" s="60"/>
      <c r="FI59" s="60"/>
      <c r="FJ59" s="60"/>
      <c r="FK59" s="60"/>
      <c r="FL59" s="60"/>
      <c r="FM59" s="60"/>
      <c r="FN59" s="75"/>
      <c r="FO59" s="74"/>
      <c r="FP59" s="69"/>
      <c r="FV59" s="60"/>
      <c r="FW59" s="60"/>
      <c r="FX59" s="60"/>
      <c r="FY59" s="60"/>
      <c r="FZ59" s="62"/>
      <c r="GA59" s="62"/>
      <c r="GB59" s="60"/>
      <c r="GC59" s="60"/>
      <c r="GD59" s="60"/>
      <c r="GE59" s="60"/>
      <c r="GF59" s="60"/>
      <c r="GG59" s="60"/>
      <c r="GH59" s="60"/>
      <c r="GI59" s="60"/>
      <c r="GJ59" s="60"/>
      <c r="GK59" s="75"/>
      <c r="GL59" s="74"/>
      <c r="GM59" s="69"/>
      <c r="GR59" s="60"/>
      <c r="GS59" s="60"/>
      <c r="GT59" s="60"/>
      <c r="GU59" s="60"/>
      <c r="GV59" s="62"/>
      <c r="GW59" s="62"/>
      <c r="GX59" s="60"/>
      <c r="GY59" s="60"/>
      <c r="GZ59" s="60"/>
      <c r="HA59" s="60"/>
      <c r="HB59" s="60"/>
      <c r="HC59" s="60"/>
      <c r="HD59" s="60"/>
      <c r="HE59" s="60"/>
      <c r="HF59" s="60"/>
      <c r="HG59" s="60"/>
      <c r="HN59" s="60"/>
      <c r="HO59" s="60"/>
      <c r="HP59" s="60"/>
      <c r="HQ59" s="60"/>
      <c r="HR59" s="72"/>
      <c r="HS59" s="73"/>
      <c r="HT59" s="65"/>
      <c r="HU59" s="66"/>
      <c r="HV59" s="65"/>
      <c r="HW59" s="66"/>
      <c r="HX59" s="65"/>
      <c r="HY59" s="66"/>
      <c r="HZ59" s="65"/>
      <c r="IA59" s="66"/>
      <c r="IB59" s="65"/>
      <c r="IC59" s="66"/>
      <c r="IK59" s="60"/>
      <c r="IL59" s="60"/>
      <c r="IM59" s="60"/>
      <c r="IN59" s="60"/>
      <c r="IO59" s="62"/>
      <c r="IP59" s="62"/>
      <c r="IQ59" s="60"/>
      <c r="IR59" s="60"/>
      <c r="IS59" s="60"/>
      <c r="IT59" s="60"/>
      <c r="IU59" s="60"/>
      <c r="IV59" s="60"/>
      <c r="IW59" s="60"/>
      <c r="IX59" s="60"/>
      <c r="IY59" s="60"/>
      <c r="IZ59" s="60"/>
      <c r="JI59" s="60"/>
      <c r="JJ59" s="60"/>
      <c r="JK59" s="60"/>
      <c r="JL59" s="60"/>
      <c r="JM59" s="62"/>
      <c r="JN59" s="62"/>
      <c r="JO59" s="60"/>
      <c r="JP59" s="60"/>
      <c r="JQ59" s="60"/>
      <c r="JR59" s="60"/>
      <c r="JS59" s="60"/>
      <c r="JT59" s="60"/>
      <c r="JU59" s="60"/>
      <c r="JV59" s="60"/>
      <c r="JW59" s="60"/>
      <c r="JX59" s="60"/>
      <c r="KF59" s="60"/>
      <c r="KG59" s="60"/>
      <c r="KH59" s="60"/>
      <c r="KI59" s="60"/>
      <c r="KJ59" s="62"/>
      <c r="KK59" s="62"/>
      <c r="KL59" s="60"/>
      <c r="KM59" s="60"/>
      <c r="KN59" s="60"/>
      <c r="KO59" s="60"/>
      <c r="KP59" s="60"/>
      <c r="KQ59" s="60"/>
      <c r="KR59" s="60"/>
      <c r="KS59" s="60"/>
      <c r="KT59" s="60"/>
      <c r="KU59" s="60"/>
      <c r="LA59" s="46"/>
      <c r="LB59" s="46"/>
      <c r="LC59" s="46"/>
      <c r="LD59" s="46"/>
      <c r="LE59" s="46"/>
      <c r="LF59" s="46"/>
      <c r="LG59" s="46"/>
      <c r="LH59" s="46"/>
      <c r="LI59" s="46"/>
      <c r="LJ59" s="46"/>
      <c r="LK59" s="46"/>
      <c r="LL59" s="46"/>
      <c r="LM59" s="46"/>
      <c r="LN59" s="46"/>
      <c r="LO59" s="46"/>
      <c r="LP59" s="46"/>
      <c r="LS59" s="46"/>
      <c r="LT59" s="46"/>
      <c r="LU59" s="46"/>
      <c r="LV59" s="46"/>
      <c r="LW59" s="46"/>
      <c r="LX59" s="46"/>
      <c r="LY59" s="46"/>
      <c r="LZ59" s="46"/>
      <c r="MA59" s="46"/>
      <c r="MB59" s="46"/>
      <c r="MC59" s="46"/>
      <c r="MD59" s="46"/>
      <c r="ME59" s="46"/>
      <c r="MF59" s="46"/>
      <c r="MG59" s="46"/>
      <c r="MH59" s="46"/>
      <c r="MI59" s="46"/>
      <c r="MJ59" s="46"/>
      <c r="MK59" s="46"/>
      <c r="ML59" s="46"/>
      <c r="MM59" s="46"/>
      <c r="MN59" s="46"/>
      <c r="MO59" s="46"/>
      <c r="MP59" s="46"/>
      <c r="MQ59" s="46"/>
      <c r="MR59" s="46"/>
      <c r="MS59" s="46"/>
      <c r="MT59" s="46"/>
      <c r="MU59" s="46"/>
      <c r="MV59" s="46"/>
      <c r="MW59" s="46"/>
      <c r="MX59" s="46"/>
      <c r="MY59" s="46"/>
      <c r="MZ59" s="46"/>
      <c r="NA59" s="46"/>
      <c r="NB59" s="46"/>
      <c r="NC59" s="46"/>
      <c r="ND59" s="46"/>
      <c r="NE59" s="46"/>
      <c r="NF59" s="46"/>
      <c r="NG59" s="46"/>
    </row>
    <row r="60" spans="3:381" x14ac:dyDescent="0.35">
      <c r="C60" s="60" t="s">
        <v>27</v>
      </c>
      <c r="D60" s="60"/>
      <c r="E60" s="60">
        <f>1/I56</f>
        <v>0.33333333333333331</v>
      </c>
      <c r="F60" s="60"/>
      <c r="G60" s="60">
        <f>1/I58</f>
        <v>0.14285714285714285</v>
      </c>
      <c r="H60" s="60"/>
      <c r="I60" s="62">
        <v>1</v>
      </c>
      <c r="J60" s="62"/>
      <c r="K60" s="60">
        <f>1/9</f>
        <v>0.1111111111111111</v>
      </c>
      <c r="L60" s="60"/>
      <c r="M60" s="60">
        <v>5</v>
      </c>
      <c r="N60" s="60"/>
      <c r="O60" s="60">
        <f>1/5</f>
        <v>0.2</v>
      </c>
      <c r="P60" s="60"/>
      <c r="Q60" s="60">
        <v>7</v>
      </c>
      <c r="R60" s="75"/>
      <c r="S60" s="53"/>
      <c r="T60" s="46"/>
      <c r="X60" s="60" t="s">
        <v>27</v>
      </c>
      <c r="Y60" s="60"/>
      <c r="Z60" s="60">
        <f>1/AD56</f>
        <v>3</v>
      </c>
      <c r="AA60" s="60"/>
      <c r="AB60" s="60">
        <f>1/AD58</f>
        <v>3</v>
      </c>
      <c r="AC60" s="60"/>
      <c r="AD60" s="62">
        <v>1</v>
      </c>
      <c r="AE60" s="62"/>
      <c r="AF60" s="60">
        <f>1/7</f>
        <v>0.14285714285714285</v>
      </c>
      <c r="AG60" s="60"/>
      <c r="AH60" s="60">
        <v>2</v>
      </c>
      <c r="AI60" s="60"/>
      <c r="AJ60" s="60">
        <v>2</v>
      </c>
      <c r="AK60" s="60"/>
      <c r="AL60" s="60">
        <f>1/7</f>
        <v>0.14285714285714285</v>
      </c>
      <c r="AM60" s="75"/>
      <c r="AN60" s="53"/>
      <c r="AO60" s="46"/>
      <c r="AS60" s="60" t="s">
        <v>27</v>
      </c>
      <c r="AT60" s="60"/>
      <c r="AU60" s="60">
        <f>1/AY56</f>
        <v>0.14285714285714285</v>
      </c>
      <c r="AV60" s="60"/>
      <c r="AW60" s="60">
        <f>1/AY58</f>
        <v>0.33333333333333331</v>
      </c>
      <c r="AX60" s="60"/>
      <c r="AY60" s="62">
        <v>1</v>
      </c>
      <c r="AZ60" s="62"/>
      <c r="BA60" s="60">
        <f>1/2</f>
        <v>0.5</v>
      </c>
      <c r="BB60" s="60"/>
      <c r="BC60" s="60">
        <v>7</v>
      </c>
      <c r="BD60" s="60"/>
      <c r="BE60" s="60">
        <v>5</v>
      </c>
      <c r="BF60" s="60"/>
      <c r="BG60" s="60">
        <f>1/5</f>
        <v>0.2</v>
      </c>
      <c r="BH60" s="75"/>
      <c r="BI60" s="53"/>
      <c r="BJ60" s="46"/>
      <c r="BN60" s="60" t="s">
        <v>27</v>
      </c>
      <c r="BO60" s="60"/>
      <c r="BP60" s="60">
        <f>1/BT56</f>
        <v>0.33333333333333331</v>
      </c>
      <c r="BQ60" s="60"/>
      <c r="BR60" s="60">
        <f>1/BT58</f>
        <v>0.2</v>
      </c>
      <c r="BS60" s="60"/>
      <c r="BT60" s="62">
        <v>1</v>
      </c>
      <c r="BU60" s="62"/>
      <c r="BV60" s="60">
        <f>1/9</f>
        <v>0.1111111111111111</v>
      </c>
      <c r="BW60" s="60"/>
      <c r="BX60" s="60">
        <v>5</v>
      </c>
      <c r="BY60" s="60"/>
      <c r="BZ60" s="60">
        <v>3</v>
      </c>
      <c r="CA60" s="60"/>
      <c r="CB60" s="60">
        <f>1/5</f>
        <v>0.2</v>
      </c>
      <c r="CC60" s="60"/>
      <c r="CK60" s="60" t="s">
        <v>27</v>
      </c>
      <c r="CL60" s="60"/>
      <c r="CM60" s="60">
        <f>1/CQ56</f>
        <v>0.2</v>
      </c>
      <c r="CN60" s="60"/>
      <c r="CO60" s="60">
        <f>1/CQ58</f>
        <v>3</v>
      </c>
      <c r="CP60" s="60"/>
      <c r="CQ60" s="62">
        <v>1</v>
      </c>
      <c r="CR60" s="62"/>
      <c r="CS60" s="60">
        <f>1/9</f>
        <v>0.1111111111111111</v>
      </c>
      <c r="CT60" s="60"/>
      <c r="CU60" s="60">
        <v>3</v>
      </c>
      <c r="CV60" s="60"/>
      <c r="CW60" s="60">
        <v>3</v>
      </c>
      <c r="CX60" s="60"/>
      <c r="CY60" s="60">
        <f>1/5</f>
        <v>0.2</v>
      </c>
      <c r="CZ60" s="60"/>
      <c r="DF60" s="60" t="s">
        <v>27</v>
      </c>
      <c r="DG60" s="60"/>
      <c r="DH60" s="60">
        <f>1/DL56</f>
        <v>0.2</v>
      </c>
      <c r="DI60" s="60"/>
      <c r="DJ60" s="60">
        <f>1/DL58</f>
        <v>0.1111111111111111</v>
      </c>
      <c r="DK60" s="60"/>
      <c r="DL60" s="62">
        <v>1</v>
      </c>
      <c r="DM60" s="62"/>
      <c r="DN60" s="60">
        <v>9</v>
      </c>
      <c r="DO60" s="60"/>
      <c r="DP60" s="60">
        <f>1/7</f>
        <v>0.14285714285714285</v>
      </c>
      <c r="DQ60" s="60"/>
      <c r="DR60" s="60">
        <f>1/5</f>
        <v>0.2</v>
      </c>
      <c r="DS60" s="60"/>
      <c r="DT60" s="60">
        <v>3</v>
      </c>
      <c r="DU60" s="60"/>
      <c r="EC60" s="60" t="s">
        <v>27</v>
      </c>
      <c r="ED60" s="60"/>
      <c r="EE60" s="60">
        <f>1/EI56</f>
        <v>0.1111111111111111</v>
      </c>
      <c r="EF60" s="60"/>
      <c r="EG60" s="60">
        <f>1/EI58</f>
        <v>0.14285714285714285</v>
      </c>
      <c r="EH60" s="60"/>
      <c r="EI60" s="62">
        <v>1</v>
      </c>
      <c r="EJ60" s="62"/>
      <c r="EK60" s="60">
        <f>1/9</f>
        <v>0.1111111111111111</v>
      </c>
      <c r="EL60" s="60"/>
      <c r="EM60" s="60">
        <v>5</v>
      </c>
      <c r="EN60" s="60"/>
      <c r="EO60" s="60">
        <f>1/5</f>
        <v>0.2</v>
      </c>
      <c r="EP60" s="60"/>
      <c r="EQ60" s="60">
        <v>7</v>
      </c>
      <c r="ER60" s="60"/>
      <c r="EY60" s="60" t="s">
        <v>27</v>
      </c>
      <c r="EZ60" s="60"/>
      <c r="FA60" s="60">
        <f>1/FE56</f>
        <v>3</v>
      </c>
      <c r="FB60" s="60"/>
      <c r="FC60" s="60">
        <f>1/FE58</f>
        <v>7</v>
      </c>
      <c r="FD60" s="60"/>
      <c r="FE60" s="62">
        <v>1</v>
      </c>
      <c r="FF60" s="62"/>
      <c r="FG60" s="60">
        <f>1/7</f>
        <v>0.14285714285714285</v>
      </c>
      <c r="FH60" s="60"/>
      <c r="FI60" s="60">
        <v>9</v>
      </c>
      <c r="FJ60" s="60"/>
      <c r="FK60" s="60">
        <v>5</v>
      </c>
      <c r="FL60" s="60"/>
      <c r="FM60" s="60">
        <f>1/7</f>
        <v>0.14285714285714285</v>
      </c>
      <c r="FN60" s="75"/>
      <c r="FO60" s="74"/>
      <c r="FP60" s="69"/>
      <c r="FV60" s="60" t="s">
        <v>27</v>
      </c>
      <c r="FW60" s="60"/>
      <c r="FX60" s="60">
        <f>1/GB56</f>
        <v>0.14285714285714285</v>
      </c>
      <c r="FY60" s="60"/>
      <c r="FZ60" s="60">
        <f>1/GB58</f>
        <v>3</v>
      </c>
      <c r="GA60" s="60"/>
      <c r="GB60" s="62">
        <v>1</v>
      </c>
      <c r="GC60" s="62"/>
      <c r="GD60" s="60">
        <f>1/9</f>
        <v>0.1111111111111111</v>
      </c>
      <c r="GE60" s="60"/>
      <c r="GF60" s="60">
        <v>5</v>
      </c>
      <c r="GG60" s="60"/>
      <c r="GH60" s="60">
        <f>1/7</f>
        <v>0.14285714285714285</v>
      </c>
      <c r="GI60" s="60"/>
      <c r="GJ60" s="60">
        <f>1/6</f>
        <v>0.16666666666666666</v>
      </c>
      <c r="GK60" s="75"/>
      <c r="GL60" s="74"/>
      <c r="GM60" s="69"/>
      <c r="GR60" s="60" t="s">
        <v>27</v>
      </c>
      <c r="GS60" s="60"/>
      <c r="GT60" s="60">
        <f>1/GX56</f>
        <v>5</v>
      </c>
      <c r="GU60" s="60"/>
      <c r="GV60" s="60">
        <f>1/GX58</f>
        <v>0.14285714285714285</v>
      </c>
      <c r="GW60" s="60"/>
      <c r="GX60" s="62">
        <v>1</v>
      </c>
      <c r="GY60" s="62"/>
      <c r="GZ60" s="60">
        <f>1/3</f>
        <v>0.33333333333333331</v>
      </c>
      <c r="HA60" s="60"/>
      <c r="HB60" s="60">
        <v>3</v>
      </c>
      <c r="HC60" s="60"/>
      <c r="HD60" s="60">
        <f>1/5</f>
        <v>0.2</v>
      </c>
      <c r="HE60" s="60"/>
      <c r="HF60" s="60">
        <v>5</v>
      </c>
      <c r="HG60" s="60"/>
      <c r="HN60" s="60" t="s">
        <v>27</v>
      </c>
      <c r="HO60" s="60"/>
      <c r="HP60" s="60">
        <f>1/HT56</f>
        <v>0.2</v>
      </c>
      <c r="HQ60" s="60"/>
      <c r="HR60" s="60">
        <f>1/HT58</f>
        <v>3</v>
      </c>
      <c r="HS60" s="60"/>
      <c r="HT60" s="70">
        <v>1</v>
      </c>
      <c r="HU60" s="71"/>
      <c r="HV60" s="63">
        <f>1/9</f>
        <v>0.1111111111111111</v>
      </c>
      <c r="HW60" s="64"/>
      <c r="HX60" s="63">
        <v>3</v>
      </c>
      <c r="HY60" s="64"/>
      <c r="HZ60" s="63">
        <v>3</v>
      </c>
      <c r="IA60" s="64"/>
      <c r="IB60" s="63">
        <f>1/5</f>
        <v>0.2</v>
      </c>
      <c r="IC60" s="64"/>
      <c r="IK60" s="60" t="s">
        <v>27</v>
      </c>
      <c r="IL60" s="60"/>
      <c r="IM60" s="60">
        <f>1/IQ56</f>
        <v>0.1111111111111111</v>
      </c>
      <c r="IN60" s="60"/>
      <c r="IO60" s="60">
        <f>1/IQ58</f>
        <v>0.14285714285714285</v>
      </c>
      <c r="IP60" s="60"/>
      <c r="IQ60" s="62">
        <v>1</v>
      </c>
      <c r="IR60" s="62"/>
      <c r="IS60" s="60">
        <f>1/9</f>
        <v>0.1111111111111111</v>
      </c>
      <c r="IT60" s="60"/>
      <c r="IU60" s="60">
        <v>5</v>
      </c>
      <c r="IV60" s="60"/>
      <c r="IW60" s="60">
        <f>1/5</f>
        <v>0.2</v>
      </c>
      <c r="IX60" s="60"/>
      <c r="IY60" s="60">
        <v>7</v>
      </c>
      <c r="IZ60" s="60"/>
      <c r="JI60" s="60" t="s">
        <v>27</v>
      </c>
      <c r="JJ60" s="60"/>
      <c r="JK60" s="60">
        <f>1/JO56</f>
        <v>0.33333333333333331</v>
      </c>
      <c r="JL60" s="60"/>
      <c r="JM60" s="60">
        <f>1/JO58</f>
        <v>0.2</v>
      </c>
      <c r="JN60" s="60"/>
      <c r="JO60" s="62">
        <v>1</v>
      </c>
      <c r="JP60" s="62"/>
      <c r="JQ60" s="60">
        <f>1/9</f>
        <v>0.1111111111111111</v>
      </c>
      <c r="JR60" s="60"/>
      <c r="JS60" s="60">
        <v>5</v>
      </c>
      <c r="JT60" s="60"/>
      <c r="JU60" s="60">
        <v>3</v>
      </c>
      <c r="JV60" s="60"/>
      <c r="JW60" s="60">
        <f>1/5</f>
        <v>0.2</v>
      </c>
      <c r="JX60" s="60"/>
      <c r="KF60" s="60" t="s">
        <v>27</v>
      </c>
      <c r="KG60" s="60"/>
      <c r="KH60" s="60">
        <f>1/KL56</f>
        <v>0.2</v>
      </c>
      <c r="KI60" s="60"/>
      <c r="KJ60" s="60">
        <f>1/KL58</f>
        <v>3</v>
      </c>
      <c r="KK60" s="60"/>
      <c r="KL60" s="62">
        <v>1</v>
      </c>
      <c r="KM60" s="62"/>
      <c r="KN60" s="60">
        <f>1/9</f>
        <v>0.1111111111111111</v>
      </c>
      <c r="KO60" s="60"/>
      <c r="KP60" s="60">
        <v>3</v>
      </c>
      <c r="KQ60" s="60"/>
      <c r="KR60" s="60">
        <v>3</v>
      </c>
      <c r="KS60" s="60"/>
      <c r="KT60" s="60">
        <f>1/5</f>
        <v>0.2</v>
      </c>
      <c r="KU60" s="60"/>
      <c r="LA60" s="46"/>
      <c r="LB60" s="46"/>
      <c r="LC60" s="46"/>
      <c r="LD60" s="46"/>
      <c r="LE60" s="46"/>
      <c r="LF60" s="46"/>
      <c r="LG60" s="46"/>
      <c r="LH60" s="46"/>
      <c r="LI60" s="46"/>
      <c r="LJ60" s="46"/>
      <c r="LK60" s="46"/>
      <c r="LL60" s="46"/>
      <c r="LM60" s="46"/>
      <c r="LN60" s="46"/>
      <c r="LO60" s="46"/>
      <c r="LP60" s="46"/>
      <c r="LS60" s="46"/>
      <c r="LT60" s="46"/>
      <c r="LU60" s="46"/>
      <c r="LV60" s="46"/>
      <c r="LW60" s="46"/>
      <c r="LX60" s="46"/>
      <c r="LY60" s="46"/>
      <c r="LZ60" s="46"/>
      <c r="MA60" s="46"/>
      <c r="MB60" s="46"/>
      <c r="MC60" s="46"/>
      <c r="MD60" s="46"/>
      <c r="ME60" s="46"/>
      <c r="MF60" s="46"/>
      <c r="MG60" s="46"/>
      <c r="MH60" s="46"/>
      <c r="MI60" s="46"/>
      <c r="MJ60" s="46"/>
      <c r="MK60" s="46"/>
      <c r="ML60" s="46"/>
      <c r="MM60" s="46"/>
      <c r="MN60" s="46"/>
      <c r="MO60" s="46"/>
      <c r="MP60" s="46"/>
      <c r="MQ60" s="46"/>
      <c r="MR60" s="46"/>
      <c r="MS60" s="46"/>
      <c r="MT60" s="46"/>
      <c r="MU60" s="46"/>
      <c r="MV60" s="46"/>
      <c r="MW60" s="46"/>
      <c r="MX60" s="46"/>
      <c r="MY60" s="46"/>
      <c r="MZ60" s="46"/>
      <c r="NA60" s="46"/>
      <c r="NB60" s="46"/>
      <c r="NC60" s="46"/>
      <c r="ND60" s="46"/>
      <c r="NE60" s="46"/>
      <c r="NF60" s="46"/>
      <c r="NG60" s="46"/>
    </row>
    <row r="61" spans="3:381" ht="15" customHeight="1" x14ac:dyDescent="0.35">
      <c r="C61" s="60"/>
      <c r="D61" s="60"/>
      <c r="E61" s="60"/>
      <c r="F61" s="60"/>
      <c r="G61" s="60"/>
      <c r="H61" s="60"/>
      <c r="I61" s="62"/>
      <c r="J61" s="62"/>
      <c r="K61" s="60"/>
      <c r="L61" s="60"/>
      <c r="M61" s="60"/>
      <c r="N61" s="60"/>
      <c r="O61" s="60"/>
      <c r="P61" s="60"/>
      <c r="Q61" s="60"/>
      <c r="R61" s="75"/>
      <c r="S61" s="53"/>
      <c r="T61" s="46"/>
      <c r="X61" s="60"/>
      <c r="Y61" s="60"/>
      <c r="Z61" s="60"/>
      <c r="AA61" s="60"/>
      <c r="AB61" s="60"/>
      <c r="AC61" s="60"/>
      <c r="AD61" s="62"/>
      <c r="AE61" s="62"/>
      <c r="AF61" s="60"/>
      <c r="AG61" s="60"/>
      <c r="AH61" s="60"/>
      <c r="AI61" s="60"/>
      <c r="AJ61" s="60"/>
      <c r="AK61" s="60"/>
      <c r="AL61" s="60"/>
      <c r="AM61" s="75"/>
      <c r="AN61" s="53"/>
      <c r="AO61" s="46"/>
      <c r="AS61" s="60"/>
      <c r="AT61" s="60"/>
      <c r="AU61" s="60"/>
      <c r="AV61" s="60"/>
      <c r="AW61" s="60"/>
      <c r="AX61" s="60"/>
      <c r="AY61" s="62"/>
      <c r="AZ61" s="62"/>
      <c r="BA61" s="60"/>
      <c r="BB61" s="60"/>
      <c r="BC61" s="60"/>
      <c r="BD61" s="60"/>
      <c r="BE61" s="60"/>
      <c r="BF61" s="60"/>
      <c r="BG61" s="60"/>
      <c r="BH61" s="75"/>
      <c r="BI61" s="53"/>
      <c r="BJ61" s="46"/>
      <c r="BN61" s="60"/>
      <c r="BO61" s="60"/>
      <c r="BP61" s="60"/>
      <c r="BQ61" s="60"/>
      <c r="BR61" s="60"/>
      <c r="BS61" s="60"/>
      <c r="BT61" s="62"/>
      <c r="BU61" s="62"/>
      <c r="BV61" s="60"/>
      <c r="BW61" s="60"/>
      <c r="BX61" s="60"/>
      <c r="BY61" s="60"/>
      <c r="BZ61" s="60"/>
      <c r="CA61" s="60"/>
      <c r="CB61" s="60"/>
      <c r="CC61" s="60"/>
      <c r="CK61" s="60"/>
      <c r="CL61" s="60"/>
      <c r="CM61" s="60"/>
      <c r="CN61" s="60"/>
      <c r="CO61" s="60"/>
      <c r="CP61" s="60"/>
      <c r="CQ61" s="62"/>
      <c r="CR61" s="62"/>
      <c r="CS61" s="60"/>
      <c r="CT61" s="60"/>
      <c r="CU61" s="60"/>
      <c r="CV61" s="60"/>
      <c r="CW61" s="60"/>
      <c r="CX61" s="60"/>
      <c r="CY61" s="60"/>
      <c r="CZ61" s="60"/>
      <c r="DF61" s="60"/>
      <c r="DG61" s="60"/>
      <c r="DH61" s="60"/>
      <c r="DI61" s="60"/>
      <c r="DJ61" s="60"/>
      <c r="DK61" s="60"/>
      <c r="DL61" s="62"/>
      <c r="DM61" s="62"/>
      <c r="DN61" s="60"/>
      <c r="DO61" s="60"/>
      <c r="DP61" s="60"/>
      <c r="DQ61" s="60"/>
      <c r="DR61" s="60"/>
      <c r="DS61" s="60"/>
      <c r="DT61" s="60"/>
      <c r="DU61" s="60"/>
      <c r="EC61" s="60"/>
      <c r="ED61" s="60"/>
      <c r="EE61" s="60"/>
      <c r="EF61" s="60"/>
      <c r="EG61" s="60"/>
      <c r="EH61" s="60"/>
      <c r="EI61" s="62"/>
      <c r="EJ61" s="62"/>
      <c r="EK61" s="60"/>
      <c r="EL61" s="60"/>
      <c r="EM61" s="60"/>
      <c r="EN61" s="60"/>
      <c r="EO61" s="60"/>
      <c r="EP61" s="60"/>
      <c r="EQ61" s="60"/>
      <c r="ER61" s="60"/>
      <c r="EY61" s="60"/>
      <c r="EZ61" s="60"/>
      <c r="FA61" s="60"/>
      <c r="FB61" s="60"/>
      <c r="FC61" s="60"/>
      <c r="FD61" s="60"/>
      <c r="FE61" s="62"/>
      <c r="FF61" s="62"/>
      <c r="FG61" s="60"/>
      <c r="FH61" s="60"/>
      <c r="FI61" s="60"/>
      <c r="FJ61" s="60"/>
      <c r="FK61" s="60"/>
      <c r="FL61" s="60"/>
      <c r="FM61" s="60"/>
      <c r="FN61" s="75"/>
      <c r="FO61" s="74"/>
      <c r="FP61" s="69"/>
      <c r="FV61" s="60"/>
      <c r="FW61" s="60"/>
      <c r="FX61" s="60"/>
      <c r="FY61" s="60"/>
      <c r="FZ61" s="60"/>
      <c r="GA61" s="60"/>
      <c r="GB61" s="62"/>
      <c r="GC61" s="62"/>
      <c r="GD61" s="60"/>
      <c r="GE61" s="60"/>
      <c r="GF61" s="60"/>
      <c r="GG61" s="60"/>
      <c r="GH61" s="60"/>
      <c r="GI61" s="60"/>
      <c r="GJ61" s="60"/>
      <c r="GK61" s="75"/>
      <c r="GL61" s="74"/>
      <c r="GM61" s="69"/>
      <c r="GR61" s="60"/>
      <c r="GS61" s="60"/>
      <c r="GT61" s="60"/>
      <c r="GU61" s="60"/>
      <c r="GV61" s="60"/>
      <c r="GW61" s="60"/>
      <c r="GX61" s="62"/>
      <c r="GY61" s="62"/>
      <c r="GZ61" s="60"/>
      <c r="HA61" s="60"/>
      <c r="HB61" s="60"/>
      <c r="HC61" s="60"/>
      <c r="HD61" s="60"/>
      <c r="HE61" s="60"/>
      <c r="HF61" s="60"/>
      <c r="HG61" s="60"/>
      <c r="HN61" s="60"/>
      <c r="HO61" s="60"/>
      <c r="HP61" s="60"/>
      <c r="HQ61" s="60"/>
      <c r="HR61" s="60"/>
      <c r="HS61" s="60"/>
      <c r="HT61" s="72"/>
      <c r="HU61" s="73"/>
      <c r="HV61" s="65"/>
      <c r="HW61" s="66"/>
      <c r="HX61" s="65"/>
      <c r="HY61" s="66"/>
      <c r="HZ61" s="65"/>
      <c r="IA61" s="66"/>
      <c r="IB61" s="65"/>
      <c r="IC61" s="66"/>
      <c r="IK61" s="60"/>
      <c r="IL61" s="60"/>
      <c r="IM61" s="60"/>
      <c r="IN61" s="60"/>
      <c r="IO61" s="60"/>
      <c r="IP61" s="60"/>
      <c r="IQ61" s="62"/>
      <c r="IR61" s="62"/>
      <c r="IS61" s="60"/>
      <c r="IT61" s="60"/>
      <c r="IU61" s="60"/>
      <c r="IV61" s="60"/>
      <c r="IW61" s="60"/>
      <c r="IX61" s="60"/>
      <c r="IY61" s="60"/>
      <c r="IZ61" s="60"/>
      <c r="JI61" s="60"/>
      <c r="JJ61" s="60"/>
      <c r="JK61" s="60"/>
      <c r="JL61" s="60"/>
      <c r="JM61" s="60"/>
      <c r="JN61" s="60"/>
      <c r="JO61" s="62"/>
      <c r="JP61" s="62"/>
      <c r="JQ61" s="60"/>
      <c r="JR61" s="60"/>
      <c r="JS61" s="60"/>
      <c r="JT61" s="60"/>
      <c r="JU61" s="60"/>
      <c r="JV61" s="60"/>
      <c r="JW61" s="60"/>
      <c r="JX61" s="60"/>
      <c r="KF61" s="60"/>
      <c r="KG61" s="60"/>
      <c r="KH61" s="60"/>
      <c r="KI61" s="60"/>
      <c r="KJ61" s="60"/>
      <c r="KK61" s="60"/>
      <c r="KL61" s="62"/>
      <c r="KM61" s="62"/>
      <c r="KN61" s="60"/>
      <c r="KO61" s="60"/>
      <c r="KP61" s="60"/>
      <c r="KQ61" s="60"/>
      <c r="KR61" s="60"/>
      <c r="KS61" s="60"/>
      <c r="KT61" s="60"/>
      <c r="KU61" s="60"/>
      <c r="LA61" s="46"/>
      <c r="LB61" s="46"/>
      <c r="LC61" s="46"/>
      <c r="LD61" s="46"/>
      <c r="LE61" s="46"/>
      <c r="LF61" s="46"/>
      <c r="LG61" s="46"/>
      <c r="LH61" s="46"/>
      <c r="LI61" s="46"/>
      <c r="LJ61" s="46"/>
      <c r="LK61" s="46"/>
      <c r="LL61" s="46"/>
      <c r="LM61" s="46"/>
      <c r="LN61" s="46"/>
      <c r="LO61" s="46"/>
      <c r="LP61" s="46"/>
      <c r="LS61" s="46"/>
      <c r="LT61" s="46"/>
      <c r="LU61" s="46"/>
      <c r="LV61" s="46"/>
      <c r="LW61" s="46"/>
      <c r="LX61" s="46"/>
      <c r="LY61" s="46"/>
      <c r="LZ61" s="46"/>
      <c r="MA61" s="46"/>
      <c r="MB61" s="46"/>
      <c r="MC61" s="46"/>
      <c r="MD61" s="46"/>
      <c r="ME61" s="46"/>
      <c r="MF61" s="46"/>
      <c r="MG61" s="46"/>
      <c r="MH61" s="46"/>
      <c r="MI61" s="46"/>
      <c r="MJ61" s="46"/>
      <c r="MK61" s="46"/>
      <c r="ML61" s="46"/>
      <c r="MM61" s="46"/>
      <c r="MN61" s="46"/>
      <c r="MO61" s="46"/>
      <c r="MP61" s="46"/>
      <c r="MQ61" s="46"/>
      <c r="MR61" s="46"/>
      <c r="MS61" s="46"/>
      <c r="MT61" s="46"/>
      <c r="MU61" s="46"/>
      <c r="MV61" s="46"/>
      <c r="MW61" s="46"/>
      <c r="MX61" s="46"/>
      <c r="MY61" s="46"/>
      <c r="MZ61" s="46"/>
      <c r="NA61" s="46"/>
      <c r="NB61" s="46"/>
      <c r="NC61" s="46"/>
      <c r="ND61" s="46"/>
      <c r="NE61" s="46"/>
      <c r="NF61" s="46"/>
      <c r="NG61" s="46"/>
    </row>
    <row r="62" spans="3:381" x14ac:dyDescent="0.35">
      <c r="C62" s="60" t="s">
        <v>87</v>
      </c>
      <c r="D62" s="60"/>
      <c r="E62" s="60">
        <f>1/K56</f>
        <v>2</v>
      </c>
      <c r="F62" s="60"/>
      <c r="G62" s="60">
        <f>1/K58</f>
        <v>5</v>
      </c>
      <c r="H62" s="60"/>
      <c r="I62" s="60">
        <f>1/K60</f>
        <v>9</v>
      </c>
      <c r="J62" s="60"/>
      <c r="K62" s="62">
        <v>1</v>
      </c>
      <c r="L62" s="62"/>
      <c r="M62" s="60">
        <v>3</v>
      </c>
      <c r="N62" s="60"/>
      <c r="O62" s="60">
        <f>1/5</f>
        <v>0.2</v>
      </c>
      <c r="P62" s="60"/>
      <c r="Q62" s="60">
        <v>3</v>
      </c>
      <c r="R62" s="75"/>
      <c r="S62" s="53"/>
      <c r="T62" s="46"/>
      <c r="X62" s="60" t="s">
        <v>87</v>
      </c>
      <c r="Y62" s="60"/>
      <c r="Z62" s="60">
        <f>1/AF56</f>
        <v>7</v>
      </c>
      <c r="AA62" s="60"/>
      <c r="AB62" s="60">
        <f>1/AF58</f>
        <v>5</v>
      </c>
      <c r="AC62" s="60"/>
      <c r="AD62" s="60">
        <f>1/AF60</f>
        <v>7</v>
      </c>
      <c r="AE62" s="60"/>
      <c r="AF62" s="62">
        <v>1</v>
      </c>
      <c r="AG62" s="62"/>
      <c r="AH62" s="60">
        <v>7</v>
      </c>
      <c r="AI62" s="60"/>
      <c r="AJ62" s="60">
        <f>1/2</f>
        <v>0.5</v>
      </c>
      <c r="AK62" s="60"/>
      <c r="AL62" s="60">
        <f>1/3</f>
        <v>0.33333333333333331</v>
      </c>
      <c r="AM62" s="75"/>
      <c r="AN62" s="53"/>
      <c r="AO62" s="46"/>
      <c r="AS62" s="60" t="s">
        <v>87</v>
      </c>
      <c r="AT62" s="60"/>
      <c r="AU62" s="60">
        <f>1/BA56</f>
        <v>3</v>
      </c>
      <c r="AV62" s="60"/>
      <c r="AW62" s="60">
        <f>1/BA58</f>
        <v>7</v>
      </c>
      <c r="AX62" s="60"/>
      <c r="AY62" s="60">
        <f>1/BA60</f>
        <v>2</v>
      </c>
      <c r="AZ62" s="60"/>
      <c r="BA62" s="62">
        <v>1</v>
      </c>
      <c r="BB62" s="62"/>
      <c r="BC62" s="60">
        <v>3</v>
      </c>
      <c r="BD62" s="60"/>
      <c r="BE62" s="60">
        <f>1/5</f>
        <v>0.2</v>
      </c>
      <c r="BF62" s="60"/>
      <c r="BG62" s="60">
        <v>5</v>
      </c>
      <c r="BH62" s="75"/>
      <c r="BI62" s="53"/>
      <c r="BJ62" s="46"/>
      <c r="BN62" s="60" t="s">
        <v>87</v>
      </c>
      <c r="BO62" s="60"/>
      <c r="BP62" s="60">
        <f>1/BV56</f>
        <v>7</v>
      </c>
      <c r="BQ62" s="60"/>
      <c r="BR62" s="60">
        <f>1/BV58</f>
        <v>9</v>
      </c>
      <c r="BS62" s="60"/>
      <c r="BT62" s="60">
        <f>1/BV60</f>
        <v>9</v>
      </c>
      <c r="BU62" s="60"/>
      <c r="BV62" s="62">
        <v>1</v>
      </c>
      <c r="BW62" s="62"/>
      <c r="BX62" s="60">
        <v>7</v>
      </c>
      <c r="BY62" s="60"/>
      <c r="BZ62" s="60">
        <f>1/3</f>
        <v>0.33333333333333331</v>
      </c>
      <c r="CA62" s="60"/>
      <c r="CB62" s="60">
        <f>1/7</f>
        <v>0.14285714285714285</v>
      </c>
      <c r="CC62" s="60"/>
      <c r="CK62" s="60" t="s">
        <v>87</v>
      </c>
      <c r="CL62" s="60"/>
      <c r="CM62" s="60">
        <f>1/CS56</f>
        <v>7</v>
      </c>
      <c r="CN62" s="60"/>
      <c r="CO62" s="60">
        <f>1/CS58</f>
        <v>3</v>
      </c>
      <c r="CP62" s="60"/>
      <c r="CQ62" s="60">
        <f>1/CS60</f>
        <v>9</v>
      </c>
      <c r="CR62" s="60"/>
      <c r="CS62" s="62">
        <v>1</v>
      </c>
      <c r="CT62" s="62"/>
      <c r="CU62" s="60">
        <v>3</v>
      </c>
      <c r="CV62" s="60"/>
      <c r="CW62" s="60">
        <f>1/3</f>
        <v>0.33333333333333331</v>
      </c>
      <c r="CX62" s="60"/>
      <c r="CY62" s="60">
        <v>3</v>
      </c>
      <c r="CZ62" s="60"/>
      <c r="DF62" s="60" t="s">
        <v>87</v>
      </c>
      <c r="DG62" s="60"/>
      <c r="DH62" s="60">
        <f>1/DN56</f>
        <v>7</v>
      </c>
      <c r="DI62" s="60"/>
      <c r="DJ62" s="60">
        <f>1/DN58</f>
        <v>0.14285714285714285</v>
      </c>
      <c r="DK62" s="60"/>
      <c r="DL62" s="60">
        <f>1/DN60</f>
        <v>0.1111111111111111</v>
      </c>
      <c r="DM62" s="60"/>
      <c r="DN62" s="62">
        <v>1</v>
      </c>
      <c r="DO62" s="62"/>
      <c r="DP62" s="60">
        <v>7</v>
      </c>
      <c r="DQ62" s="60"/>
      <c r="DR62" s="60">
        <f>1/7</f>
        <v>0.14285714285714285</v>
      </c>
      <c r="DS62" s="60"/>
      <c r="DT62" s="60">
        <v>9</v>
      </c>
      <c r="DU62" s="60"/>
      <c r="EC62" s="60" t="s">
        <v>87</v>
      </c>
      <c r="ED62" s="60"/>
      <c r="EE62" s="60">
        <f>1/EK56</f>
        <v>5</v>
      </c>
      <c r="EF62" s="60"/>
      <c r="EG62" s="60">
        <f>1/EK58</f>
        <v>5</v>
      </c>
      <c r="EH62" s="60"/>
      <c r="EI62" s="60">
        <f>1/EK60</f>
        <v>9</v>
      </c>
      <c r="EJ62" s="60"/>
      <c r="EK62" s="62">
        <v>1</v>
      </c>
      <c r="EL62" s="62"/>
      <c r="EM62" s="60">
        <v>9</v>
      </c>
      <c r="EN62" s="60"/>
      <c r="EO62" s="60">
        <f>1/5</f>
        <v>0.2</v>
      </c>
      <c r="EP62" s="60"/>
      <c r="EQ62" s="60">
        <v>3</v>
      </c>
      <c r="ER62" s="60"/>
      <c r="EY62" s="60" t="s">
        <v>87</v>
      </c>
      <c r="EZ62" s="60"/>
      <c r="FA62" s="60">
        <f>1/FG56</f>
        <v>7</v>
      </c>
      <c r="FB62" s="60"/>
      <c r="FC62" s="60">
        <f>1/FG58</f>
        <v>5</v>
      </c>
      <c r="FD62" s="60"/>
      <c r="FE62" s="60">
        <f>1/FG60</f>
        <v>7</v>
      </c>
      <c r="FF62" s="60"/>
      <c r="FG62" s="62">
        <v>1</v>
      </c>
      <c r="FH62" s="62"/>
      <c r="FI62" s="60">
        <v>7</v>
      </c>
      <c r="FJ62" s="60"/>
      <c r="FK62" s="60">
        <f>1/9</f>
        <v>0.1111111111111111</v>
      </c>
      <c r="FL62" s="60"/>
      <c r="FM62" s="60">
        <v>5</v>
      </c>
      <c r="FN62" s="75"/>
      <c r="FO62" s="74"/>
      <c r="FP62" s="69"/>
      <c r="FV62" s="60" t="s">
        <v>87</v>
      </c>
      <c r="FW62" s="60"/>
      <c r="FX62" s="60">
        <f>1/GD56</f>
        <v>0.14285714285714285</v>
      </c>
      <c r="FY62" s="60"/>
      <c r="FZ62" s="60">
        <f>1/GD58</f>
        <v>5</v>
      </c>
      <c r="GA62" s="60"/>
      <c r="GB62" s="60">
        <f>1/GD60</f>
        <v>9</v>
      </c>
      <c r="GC62" s="60"/>
      <c r="GD62" s="62">
        <v>1</v>
      </c>
      <c r="GE62" s="62"/>
      <c r="GF62" s="60">
        <v>7</v>
      </c>
      <c r="GG62" s="60"/>
      <c r="GH62" s="60">
        <f>1/9</f>
        <v>0.1111111111111111</v>
      </c>
      <c r="GI62" s="60"/>
      <c r="GJ62" s="60">
        <v>5</v>
      </c>
      <c r="GK62" s="75"/>
      <c r="GL62" s="74"/>
      <c r="GM62" s="69"/>
      <c r="GR62" s="60" t="s">
        <v>87</v>
      </c>
      <c r="GS62" s="60"/>
      <c r="GT62" s="60">
        <f>1/GZ56</f>
        <v>3</v>
      </c>
      <c r="GU62" s="60"/>
      <c r="GV62" s="60">
        <f>1/GZ58</f>
        <v>5</v>
      </c>
      <c r="GW62" s="60"/>
      <c r="GX62" s="60">
        <f>1/GZ60</f>
        <v>3</v>
      </c>
      <c r="GY62" s="60"/>
      <c r="GZ62" s="62">
        <v>1</v>
      </c>
      <c r="HA62" s="62"/>
      <c r="HB62" s="60">
        <v>9</v>
      </c>
      <c r="HC62" s="60"/>
      <c r="HD62" s="60">
        <f>1/5</f>
        <v>0.2</v>
      </c>
      <c r="HE62" s="60"/>
      <c r="HF62" s="60">
        <f>1/3</f>
        <v>0.33333333333333331</v>
      </c>
      <c r="HG62" s="60"/>
      <c r="HN62" s="60" t="s">
        <v>87</v>
      </c>
      <c r="HO62" s="60"/>
      <c r="HP62" s="60">
        <f>1/HV56</f>
        <v>7</v>
      </c>
      <c r="HQ62" s="60"/>
      <c r="HR62" s="60">
        <f>1/HV58</f>
        <v>5</v>
      </c>
      <c r="HS62" s="60"/>
      <c r="HT62" s="60">
        <f>1/HV60</f>
        <v>9</v>
      </c>
      <c r="HU62" s="60"/>
      <c r="HV62" s="70">
        <v>1</v>
      </c>
      <c r="HW62" s="71"/>
      <c r="HX62" s="63">
        <v>7</v>
      </c>
      <c r="HY62" s="64"/>
      <c r="HZ62" s="63">
        <f>1/9</f>
        <v>0.1111111111111111</v>
      </c>
      <c r="IA62" s="64"/>
      <c r="IB62" s="63">
        <v>5</v>
      </c>
      <c r="IC62" s="64"/>
      <c r="IK62" s="60" t="s">
        <v>87</v>
      </c>
      <c r="IL62" s="60"/>
      <c r="IM62" s="60">
        <f>1/IS56</f>
        <v>5</v>
      </c>
      <c r="IN62" s="60"/>
      <c r="IO62" s="60">
        <f>1/IS58</f>
        <v>5</v>
      </c>
      <c r="IP62" s="60"/>
      <c r="IQ62" s="60">
        <f>1/IS60</f>
        <v>9</v>
      </c>
      <c r="IR62" s="60"/>
      <c r="IS62" s="62">
        <v>1</v>
      </c>
      <c r="IT62" s="62"/>
      <c r="IU62" s="60">
        <v>9</v>
      </c>
      <c r="IV62" s="60"/>
      <c r="IW62" s="60">
        <f>1/5</f>
        <v>0.2</v>
      </c>
      <c r="IX62" s="60"/>
      <c r="IY62" s="60">
        <v>3</v>
      </c>
      <c r="IZ62" s="60"/>
      <c r="JI62" s="60" t="s">
        <v>87</v>
      </c>
      <c r="JJ62" s="60"/>
      <c r="JK62" s="60">
        <f>1/JQ56</f>
        <v>7</v>
      </c>
      <c r="JL62" s="60"/>
      <c r="JM62" s="60">
        <f>1/JQ58</f>
        <v>9</v>
      </c>
      <c r="JN62" s="60"/>
      <c r="JO62" s="60">
        <f>1/JQ60</f>
        <v>9</v>
      </c>
      <c r="JP62" s="60"/>
      <c r="JQ62" s="62">
        <v>1</v>
      </c>
      <c r="JR62" s="62"/>
      <c r="JS62" s="60">
        <v>7</v>
      </c>
      <c r="JT62" s="60"/>
      <c r="JU62" s="60">
        <f>1/3</f>
        <v>0.33333333333333331</v>
      </c>
      <c r="JV62" s="60"/>
      <c r="JW62" s="60">
        <f>1/7</f>
        <v>0.14285714285714285</v>
      </c>
      <c r="JX62" s="60"/>
      <c r="KF62" s="60" t="s">
        <v>87</v>
      </c>
      <c r="KG62" s="60"/>
      <c r="KH62" s="60">
        <f>1/KN56</f>
        <v>7</v>
      </c>
      <c r="KI62" s="60"/>
      <c r="KJ62" s="60">
        <f>1/KN58</f>
        <v>3</v>
      </c>
      <c r="KK62" s="60"/>
      <c r="KL62" s="60">
        <f>1/KN60</f>
        <v>9</v>
      </c>
      <c r="KM62" s="60"/>
      <c r="KN62" s="62">
        <v>1</v>
      </c>
      <c r="KO62" s="62"/>
      <c r="KP62" s="60">
        <v>3</v>
      </c>
      <c r="KQ62" s="60"/>
      <c r="KR62" s="60">
        <f>1/3</f>
        <v>0.33333333333333331</v>
      </c>
      <c r="KS62" s="60"/>
      <c r="KT62" s="60">
        <v>3</v>
      </c>
      <c r="KU62" s="60"/>
      <c r="LA62" s="46"/>
      <c r="LB62" s="46"/>
      <c r="LC62" s="46"/>
      <c r="LD62" s="46"/>
      <c r="LE62" s="46"/>
      <c r="LF62" s="46"/>
      <c r="LG62" s="46"/>
      <c r="LH62" s="46"/>
      <c r="LI62" s="46"/>
      <c r="LJ62" s="46"/>
      <c r="LK62" s="46"/>
      <c r="LL62" s="46"/>
      <c r="LM62" s="46"/>
      <c r="LN62" s="46"/>
      <c r="LO62" s="46"/>
      <c r="LP62" s="46"/>
      <c r="LS62" s="46"/>
      <c r="LT62" s="46"/>
      <c r="LU62" s="46"/>
      <c r="LV62" s="46"/>
      <c r="LW62" s="46"/>
      <c r="LX62" s="46"/>
      <c r="LY62" s="46"/>
      <c r="LZ62" s="46"/>
      <c r="MA62" s="46"/>
      <c r="MB62" s="46"/>
      <c r="MC62" s="46"/>
      <c r="MD62" s="46"/>
      <c r="ME62" s="46"/>
      <c r="MF62" s="46"/>
      <c r="MG62" s="46"/>
      <c r="MH62" s="46"/>
      <c r="MI62" s="46"/>
      <c r="MJ62" s="46"/>
      <c r="MK62" s="46"/>
      <c r="ML62" s="46"/>
      <c r="MM62" s="46"/>
      <c r="MN62" s="46"/>
      <c r="MO62" s="46"/>
      <c r="MP62" s="46"/>
      <c r="MQ62" s="46"/>
      <c r="MR62" s="46"/>
      <c r="MS62" s="46"/>
      <c r="MT62" s="46"/>
      <c r="MU62" s="46"/>
      <c r="MV62" s="46"/>
      <c r="MW62" s="46"/>
      <c r="MX62" s="46"/>
      <c r="MY62" s="46"/>
      <c r="MZ62" s="46"/>
      <c r="NA62" s="46"/>
      <c r="NB62" s="46"/>
      <c r="NC62" s="46"/>
      <c r="ND62" s="46"/>
      <c r="NE62" s="46"/>
      <c r="NF62" s="46"/>
      <c r="NG62" s="46"/>
    </row>
    <row r="63" spans="3:381" ht="15" customHeight="1" x14ac:dyDescent="0.35">
      <c r="C63" s="60"/>
      <c r="D63" s="60"/>
      <c r="E63" s="60"/>
      <c r="F63" s="60"/>
      <c r="G63" s="60"/>
      <c r="H63" s="60"/>
      <c r="I63" s="60"/>
      <c r="J63" s="60"/>
      <c r="K63" s="62"/>
      <c r="L63" s="62"/>
      <c r="M63" s="60"/>
      <c r="N63" s="60"/>
      <c r="O63" s="60"/>
      <c r="P63" s="60"/>
      <c r="Q63" s="60"/>
      <c r="R63" s="75"/>
      <c r="S63" s="53"/>
      <c r="T63" s="46"/>
      <c r="X63" s="60"/>
      <c r="Y63" s="60"/>
      <c r="Z63" s="60"/>
      <c r="AA63" s="60"/>
      <c r="AB63" s="60"/>
      <c r="AC63" s="60"/>
      <c r="AD63" s="60"/>
      <c r="AE63" s="60"/>
      <c r="AF63" s="62"/>
      <c r="AG63" s="62"/>
      <c r="AH63" s="60"/>
      <c r="AI63" s="60"/>
      <c r="AJ63" s="60"/>
      <c r="AK63" s="60"/>
      <c r="AL63" s="60"/>
      <c r="AM63" s="75"/>
      <c r="AN63" s="53"/>
      <c r="AO63" s="46"/>
      <c r="AS63" s="60"/>
      <c r="AT63" s="60"/>
      <c r="AU63" s="60"/>
      <c r="AV63" s="60"/>
      <c r="AW63" s="60"/>
      <c r="AX63" s="60"/>
      <c r="AY63" s="60"/>
      <c r="AZ63" s="60"/>
      <c r="BA63" s="62"/>
      <c r="BB63" s="62"/>
      <c r="BC63" s="60"/>
      <c r="BD63" s="60"/>
      <c r="BE63" s="60"/>
      <c r="BF63" s="60"/>
      <c r="BG63" s="60"/>
      <c r="BH63" s="75"/>
      <c r="BI63" s="53"/>
      <c r="BJ63" s="46"/>
      <c r="BN63" s="60"/>
      <c r="BO63" s="60"/>
      <c r="BP63" s="60"/>
      <c r="BQ63" s="60"/>
      <c r="BR63" s="60"/>
      <c r="BS63" s="60"/>
      <c r="BT63" s="60"/>
      <c r="BU63" s="60"/>
      <c r="BV63" s="62"/>
      <c r="BW63" s="62"/>
      <c r="BX63" s="60"/>
      <c r="BY63" s="60"/>
      <c r="BZ63" s="60"/>
      <c r="CA63" s="60"/>
      <c r="CB63" s="60"/>
      <c r="CC63" s="60"/>
      <c r="CK63" s="60"/>
      <c r="CL63" s="60"/>
      <c r="CM63" s="60"/>
      <c r="CN63" s="60"/>
      <c r="CO63" s="60"/>
      <c r="CP63" s="60"/>
      <c r="CQ63" s="60"/>
      <c r="CR63" s="60"/>
      <c r="CS63" s="62"/>
      <c r="CT63" s="62"/>
      <c r="CU63" s="60"/>
      <c r="CV63" s="60"/>
      <c r="CW63" s="60"/>
      <c r="CX63" s="60"/>
      <c r="CY63" s="60"/>
      <c r="CZ63" s="60"/>
      <c r="DF63" s="60"/>
      <c r="DG63" s="60"/>
      <c r="DH63" s="60"/>
      <c r="DI63" s="60"/>
      <c r="DJ63" s="60"/>
      <c r="DK63" s="60"/>
      <c r="DL63" s="60"/>
      <c r="DM63" s="60"/>
      <c r="DN63" s="62"/>
      <c r="DO63" s="62"/>
      <c r="DP63" s="60"/>
      <c r="DQ63" s="60"/>
      <c r="DR63" s="60"/>
      <c r="DS63" s="60"/>
      <c r="DT63" s="60"/>
      <c r="DU63" s="60"/>
      <c r="EC63" s="60"/>
      <c r="ED63" s="60"/>
      <c r="EE63" s="60"/>
      <c r="EF63" s="60"/>
      <c r="EG63" s="60"/>
      <c r="EH63" s="60"/>
      <c r="EI63" s="60"/>
      <c r="EJ63" s="60"/>
      <c r="EK63" s="62"/>
      <c r="EL63" s="62"/>
      <c r="EM63" s="60"/>
      <c r="EN63" s="60"/>
      <c r="EO63" s="60"/>
      <c r="EP63" s="60"/>
      <c r="EQ63" s="60"/>
      <c r="ER63" s="60"/>
      <c r="EY63" s="60"/>
      <c r="EZ63" s="60"/>
      <c r="FA63" s="60"/>
      <c r="FB63" s="60"/>
      <c r="FC63" s="60"/>
      <c r="FD63" s="60"/>
      <c r="FE63" s="60"/>
      <c r="FF63" s="60"/>
      <c r="FG63" s="62"/>
      <c r="FH63" s="62"/>
      <c r="FI63" s="60"/>
      <c r="FJ63" s="60"/>
      <c r="FK63" s="60"/>
      <c r="FL63" s="60"/>
      <c r="FM63" s="60"/>
      <c r="FN63" s="75"/>
      <c r="FO63" s="74"/>
      <c r="FP63" s="69"/>
      <c r="FV63" s="60"/>
      <c r="FW63" s="60"/>
      <c r="FX63" s="60"/>
      <c r="FY63" s="60"/>
      <c r="FZ63" s="60"/>
      <c r="GA63" s="60"/>
      <c r="GB63" s="60"/>
      <c r="GC63" s="60"/>
      <c r="GD63" s="62"/>
      <c r="GE63" s="62"/>
      <c r="GF63" s="60"/>
      <c r="GG63" s="60"/>
      <c r="GH63" s="60"/>
      <c r="GI63" s="60"/>
      <c r="GJ63" s="60"/>
      <c r="GK63" s="75"/>
      <c r="GL63" s="74"/>
      <c r="GM63" s="69"/>
      <c r="GR63" s="60"/>
      <c r="GS63" s="60"/>
      <c r="GT63" s="60"/>
      <c r="GU63" s="60"/>
      <c r="GV63" s="60"/>
      <c r="GW63" s="60"/>
      <c r="GX63" s="60"/>
      <c r="GY63" s="60"/>
      <c r="GZ63" s="62"/>
      <c r="HA63" s="62"/>
      <c r="HB63" s="60"/>
      <c r="HC63" s="60"/>
      <c r="HD63" s="60"/>
      <c r="HE63" s="60"/>
      <c r="HF63" s="60"/>
      <c r="HG63" s="60"/>
      <c r="HN63" s="60"/>
      <c r="HO63" s="60"/>
      <c r="HP63" s="60"/>
      <c r="HQ63" s="60"/>
      <c r="HR63" s="60"/>
      <c r="HS63" s="60"/>
      <c r="HT63" s="60"/>
      <c r="HU63" s="60"/>
      <c r="HV63" s="72"/>
      <c r="HW63" s="73"/>
      <c r="HX63" s="65"/>
      <c r="HY63" s="66"/>
      <c r="HZ63" s="65"/>
      <c r="IA63" s="66"/>
      <c r="IB63" s="65"/>
      <c r="IC63" s="66"/>
      <c r="IK63" s="60"/>
      <c r="IL63" s="60"/>
      <c r="IM63" s="60"/>
      <c r="IN63" s="60"/>
      <c r="IO63" s="60"/>
      <c r="IP63" s="60"/>
      <c r="IQ63" s="60"/>
      <c r="IR63" s="60"/>
      <c r="IS63" s="62"/>
      <c r="IT63" s="62"/>
      <c r="IU63" s="60"/>
      <c r="IV63" s="60"/>
      <c r="IW63" s="60"/>
      <c r="IX63" s="60"/>
      <c r="IY63" s="60"/>
      <c r="IZ63" s="60"/>
      <c r="JI63" s="60"/>
      <c r="JJ63" s="60"/>
      <c r="JK63" s="60"/>
      <c r="JL63" s="60"/>
      <c r="JM63" s="60"/>
      <c r="JN63" s="60"/>
      <c r="JO63" s="60"/>
      <c r="JP63" s="60"/>
      <c r="JQ63" s="62"/>
      <c r="JR63" s="62"/>
      <c r="JS63" s="60"/>
      <c r="JT63" s="60"/>
      <c r="JU63" s="60"/>
      <c r="JV63" s="60"/>
      <c r="JW63" s="60"/>
      <c r="JX63" s="60"/>
      <c r="KF63" s="60"/>
      <c r="KG63" s="60"/>
      <c r="KH63" s="60"/>
      <c r="KI63" s="60"/>
      <c r="KJ63" s="60"/>
      <c r="KK63" s="60"/>
      <c r="KL63" s="60"/>
      <c r="KM63" s="60"/>
      <c r="KN63" s="62"/>
      <c r="KO63" s="62"/>
      <c r="KP63" s="60"/>
      <c r="KQ63" s="60"/>
      <c r="KR63" s="60"/>
      <c r="KS63" s="60"/>
      <c r="KT63" s="60"/>
      <c r="KU63" s="60"/>
      <c r="LA63" s="46"/>
      <c r="LB63" s="46"/>
      <c r="LC63" s="46"/>
      <c r="LD63" s="46"/>
      <c r="LE63" s="46"/>
      <c r="LF63" s="46"/>
      <c r="LG63" s="46"/>
      <c r="LH63" s="46"/>
      <c r="LI63" s="46"/>
      <c r="LJ63" s="46"/>
      <c r="LK63" s="46"/>
      <c r="LL63" s="46"/>
      <c r="LM63" s="46"/>
      <c r="LN63" s="46"/>
      <c r="LO63" s="46"/>
      <c r="LP63" s="46"/>
      <c r="LS63" s="46"/>
      <c r="LT63" s="46"/>
      <c r="LU63" s="46"/>
      <c r="LV63" s="46"/>
      <c r="LW63" s="46"/>
      <c r="LX63" s="46"/>
      <c r="LY63" s="46"/>
      <c r="LZ63" s="46"/>
      <c r="MA63" s="46"/>
      <c r="MB63" s="46"/>
      <c r="MC63" s="46"/>
      <c r="MD63" s="46"/>
      <c r="ME63" s="46"/>
      <c r="MF63" s="46"/>
      <c r="MG63" s="46"/>
      <c r="MH63" s="46"/>
      <c r="MI63" s="46"/>
      <c r="MJ63" s="46"/>
      <c r="MK63" s="46"/>
      <c r="ML63" s="46"/>
      <c r="MM63" s="46"/>
      <c r="MN63" s="46"/>
      <c r="MO63" s="46"/>
      <c r="MP63" s="46"/>
      <c r="MQ63" s="46"/>
      <c r="MR63" s="46"/>
      <c r="MS63" s="46"/>
      <c r="MT63" s="46"/>
      <c r="MU63" s="46"/>
      <c r="MV63" s="46"/>
      <c r="MW63" s="46"/>
      <c r="MX63" s="46"/>
      <c r="MY63" s="46"/>
      <c r="MZ63" s="46"/>
      <c r="NA63" s="46"/>
      <c r="NB63" s="46"/>
      <c r="NC63" s="46"/>
      <c r="ND63" s="46"/>
      <c r="NE63" s="46"/>
      <c r="NF63" s="46"/>
      <c r="NG63" s="46"/>
      <c r="NH63" s="46"/>
      <c r="NI63" s="46"/>
      <c r="NJ63" s="46"/>
      <c r="NK63" s="46"/>
      <c r="NL63" s="46"/>
      <c r="NM63" s="46"/>
      <c r="NN63" s="46"/>
      <c r="NO63" s="46"/>
      <c r="NP63" s="46"/>
      <c r="NQ63" s="46"/>
    </row>
    <row r="64" spans="3:381" x14ac:dyDescent="0.35">
      <c r="C64" s="60" t="s">
        <v>88</v>
      </c>
      <c r="D64" s="60"/>
      <c r="E64" s="60">
        <f>1/M56</f>
        <v>0.33333333333333331</v>
      </c>
      <c r="F64" s="60"/>
      <c r="G64" s="60">
        <f>1/M58</f>
        <v>7</v>
      </c>
      <c r="H64" s="60"/>
      <c r="I64" s="60">
        <f>1/M60</f>
        <v>0.2</v>
      </c>
      <c r="J64" s="60"/>
      <c r="K64" s="60">
        <f>1/M62</f>
        <v>0.33333333333333331</v>
      </c>
      <c r="L64" s="60"/>
      <c r="M64" s="62">
        <v>1</v>
      </c>
      <c r="N64" s="62"/>
      <c r="O64" s="60">
        <f>1/5</f>
        <v>0.2</v>
      </c>
      <c r="P64" s="60"/>
      <c r="Q64" s="60">
        <v>2</v>
      </c>
      <c r="R64" s="75"/>
      <c r="S64" s="53"/>
      <c r="T64" s="46"/>
      <c r="X64" s="60" t="s">
        <v>88</v>
      </c>
      <c r="Y64" s="60"/>
      <c r="Z64" s="60">
        <f>1/AH56</f>
        <v>0.2</v>
      </c>
      <c r="AA64" s="60"/>
      <c r="AB64" s="60">
        <f>1/AH58</f>
        <v>0.1111111111111111</v>
      </c>
      <c r="AC64" s="60"/>
      <c r="AD64" s="60">
        <f>1/AH60</f>
        <v>0.5</v>
      </c>
      <c r="AE64" s="60"/>
      <c r="AF64" s="60">
        <f>1/AH62</f>
        <v>0.14285714285714285</v>
      </c>
      <c r="AG64" s="60"/>
      <c r="AH64" s="62">
        <v>1</v>
      </c>
      <c r="AI64" s="62"/>
      <c r="AJ64" s="60">
        <f>1/7</f>
        <v>0.14285714285714285</v>
      </c>
      <c r="AK64" s="60"/>
      <c r="AL64" s="60">
        <f>1/2</f>
        <v>0.5</v>
      </c>
      <c r="AM64" s="75"/>
      <c r="AN64" s="53"/>
      <c r="AO64" s="46"/>
      <c r="AS64" s="60" t="s">
        <v>88</v>
      </c>
      <c r="AT64" s="60"/>
      <c r="AU64" s="60">
        <f>1/BC56</f>
        <v>0.1111111111111111</v>
      </c>
      <c r="AV64" s="60"/>
      <c r="AW64" s="60">
        <f>1/BC58</f>
        <v>0.14285714285714285</v>
      </c>
      <c r="AX64" s="60"/>
      <c r="AY64" s="60">
        <f>1/BC60</f>
        <v>0.14285714285714285</v>
      </c>
      <c r="AZ64" s="60"/>
      <c r="BA64" s="60">
        <f>1/BC62</f>
        <v>0.33333333333333331</v>
      </c>
      <c r="BB64" s="60"/>
      <c r="BC64" s="62">
        <v>1</v>
      </c>
      <c r="BD64" s="62"/>
      <c r="BE64" s="60">
        <f>1/5</f>
        <v>0.2</v>
      </c>
      <c r="BF64" s="60"/>
      <c r="BG64" s="60">
        <v>5</v>
      </c>
      <c r="BH64" s="75"/>
      <c r="BI64" s="53"/>
      <c r="BJ64" s="46"/>
      <c r="BN64" s="60" t="s">
        <v>88</v>
      </c>
      <c r="BO64" s="60"/>
      <c r="BP64" s="60">
        <f>1/BX56</f>
        <v>0.2</v>
      </c>
      <c r="BQ64" s="60"/>
      <c r="BR64" s="60">
        <f>1/BX58</f>
        <v>0.1111111111111111</v>
      </c>
      <c r="BS64" s="60"/>
      <c r="BT64" s="60">
        <f>1/BX60</f>
        <v>0.2</v>
      </c>
      <c r="BU64" s="60"/>
      <c r="BV64" s="60">
        <f>1/BX62</f>
        <v>0.14285714285714285</v>
      </c>
      <c r="BW64" s="60"/>
      <c r="BX64" s="62">
        <v>1</v>
      </c>
      <c r="BY64" s="62"/>
      <c r="BZ64" s="60">
        <f>1/5</f>
        <v>0.2</v>
      </c>
      <c r="CA64" s="60"/>
      <c r="CB64" s="60">
        <v>7</v>
      </c>
      <c r="CC64" s="60"/>
      <c r="CK64" s="60" t="s">
        <v>88</v>
      </c>
      <c r="CL64" s="60"/>
      <c r="CM64" s="60">
        <f>1/CU56</f>
        <v>0.2</v>
      </c>
      <c r="CN64" s="60"/>
      <c r="CO64" s="60">
        <f>1/CU58</f>
        <v>0.14285714285714285</v>
      </c>
      <c r="CP64" s="60"/>
      <c r="CQ64" s="60">
        <f>1/CU60</f>
        <v>0.33333333333333331</v>
      </c>
      <c r="CR64" s="60"/>
      <c r="CS64" s="60">
        <f>1/CU62</f>
        <v>0.33333333333333331</v>
      </c>
      <c r="CT64" s="60"/>
      <c r="CU64" s="62">
        <v>1</v>
      </c>
      <c r="CV64" s="62"/>
      <c r="CW64" s="60">
        <f>1/5</f>
        <v>0.2</v>
      </c>
      <c r="CX64" s="60"/>
      <c r="CY64" s="60">
        <v>3</v>
      </c>
      <c r="CZ64" s="60"/>
      <c r="DF64" s="60" t="s">
        <v>88</v>
      </c>
      <c r="DG64" s="60"/>
      <c r="DH64" s="60">
        <f>1/DP56</f>
        <v>0.2</v>
      </c>
      <c r="DI64" s="60"/>
      <c r="DJ64" s="60">
        <f>1/DP58</f>
        <v>0.14285714285714285</v>
      </c>
      <c r="DK64" s="60"/>
      <c r="DL64" s="60">
        <f>1/DP60</f>
        <v>7</v>
      </c>
      <c r="DM64" s="60"/>
      <c r="DN64" s="60">
        <f>1/DP62</f>
        <v>0.14285714285714285</v>
      </c>
      <c r="DO64" s="60"/>
      <c r="DP64" s="62">
        <v>1</v>
      </c>
      <c r="DQ64" s="62"/>
      <c r="DR64" s="60">
        <f>1/5</f>
        <v>0.2</v>
      </c>
      <c r="DS64" s="60"/>
      <c r="DT64" s="60">
        <v>3</v>
      </c>
      <c r="DU64" s="60"/>
      <c r="EC64" s="60" t="s">
        <v>88</v>
      </c>
      <c r="ED64" s="60"/>
      <c r="EE64" s="60">
        <f>1/EM56</f>
        <v>0.2</v>
      </c>
      <c r="EF64" s="60"/>
      <c r="EG64" s="60">
        <f>1/EM58</f>
        <v>0.14285714285714285</v>
      </c>
      <c r="EH64" s="60"/>
      <c r="EI64" s="60">
        <f>1/EM60</f>
        <v>0.2</v>
      </c>
      <c r="EJ64" s="60"/>
      <c r="EK64" s="60">
        <f>1/EM62</f>
        <v>0.1111111111111111</v>
      </c>
      <c r="EL64" s="60"/>
      <c r="EM64" s="62">
        <v>1</v>
      </c>
      <c r="EN64" s="62"/>
      <c r="EO64" s="60">
        <f>1/5</f>
        <v>0.2</v>
      </c>
      <c r="EP64" s="60"/>
      <c r="EQ64" s="60">
        <v>6</v>
      </c>
      <c r="ER64" s="60"/>
      <c r="EY64" s="60" t="s">
        <v>88</v>
      </c>
      <c r="EZ64" s="60"/>
      <c r="FA64" s="60">
        <f>1/FI56</f>
        <v>0.2</v>
      </c>
      <c r="FB64" s="60"/>
      <c r="FC64" s="60">
        <f>1/FI58</f>
        <v>0.1111111111111111</v>
      </c>
      <c r="FD64" s="60"/>
      <c r="FE64" s="60">
        <f>1/FI60</f>
        <v>0.1111111111111111</v>
      </c>
      <c r="FF64" s="60"/>
      <c r="FG64" s="60">
        <f>1/FI62</f>
        <v>0.14285714285714285</v>
      </c>
      <c r="FH64" s="60"/>
      <c r="FI64" s="62">
        <v>1</v>
      </c>
      <c r="FJ64" s="62"/>
      <c r="FK64" s="60">
        <f>1/7</f>
        <v>0.14285714285714285</v>
      </c>
      <c r="FL64" s="60"/>
      <c r="FM64" s="60">
        <v>7</v>
      </c>
      <c r="FN64" s="75"/>
      <c r="FO64" s="74"/>
      <c r="FP64" s="69"/>
      <c r="FV64" s="60" t="s">
        <v>88</v>
      </c>
      <c r="FW64" s="60"/>
      <c r="FX64" s="60">
        <f>1/GF56</f>
        <v>0.2</v>
      </c>
      <c r="FY64" s="60"/>
      <c r="FZ64" s="60">
        <f>1/GF58</f>
        <v>0.14285714285714285</v>
      </c>
      <c r="GA64" s="60"/>
      <c r="GB64" s="60">
        <f>1/GF60</f>
        <v>0.2</v>
      </c>
      <c r="GC64" s="60"/>
      <c r="GD64" s="60">
        <f>1/GF62</f>
        <v>0.14285714285714285</v>
      </c>
      <c r="GE64" s="60"/>
      <c r="GF64" s="62">
        <v>1</v>
      </c>
      <c r="GG64" s="62"/>
      <c r="GH64" s="60">
        <f>1/5</f>
        <v>0.2</v>
      </c>
      <c r="GI64" s="60"/>
      <c r="GJ64" s="60">
        <f>1/7</f>
        <v>0.14285714285714285</v>
      </c>
      <c r="GK64" s="75"/>
      <c r="GL64" s="74"/>
      <c r="GM64" s="69"/>
      <c r="GR64" s="60" t="s">
        <v>88</v>
      </c>
      <c r="GS64" s="60"/>
      <c r="GT64" s="60">
        <f>1/HB56</f>
        <v>0.2</v>
      </c>
      <c r="GU64" s="60"/>
      <c r="GV64" s="60">
        <f>1/HB58</f>
        <v>0.2</v>
      </c>
      <c r="GW64" s="60"/>
      <c r="GX64" s="60">
        <f>1/HB60</f>
        <v>0.33333333333333331</v>
      </c>
      <c r="GY64" s="60"/>
      <c r="GZ64" s="60">
        <f>1/HB62</f>
        <v>0.1111111111111111</v>
      </c>
      <c r="HA64" s="60"/>
      <c r="HB64" s="62">
        <v>1</v>
      </c>
      <c r="HC64" s="62"/>
      <c r="HD64" s="60">
        <f>1/7</f>
        <v>0.14285714285714285</v>
      </c>
      <c r="HE64" s="60"/>
      <c r="HF64" s="60">
        <f>1/3</f>
        <v>0.33333333333333331</v>
      </c>
      <c r="HG64" s="60"/>
      <c r="HN64" s="60" t="s">
        <v>88</v>
      </c>
      <c r="HO64" s="60"/>
      <c r="HP64" s="60">
        <f>1/HX56</f>
        <v>0.2</v>
      </c>
      <c r="HQ64" s="60"/>
      <c r="HR64" s="60">
        <f>1/HX58</f>
        <v>0.14285714285714285</v>
      </c>
      <c r="HS64" s="60"/>
      <c r="HT64" s="60">
        <f>1/HX60</f>
        <v>0.33333333333333331</v>
      </c>
      <c r="HU64" s="60"/>
      <c r="HV64" s="60">
        <f>1/HX62</f>
        <v>0.14285714285714285</v>
      </c>
      <c r="HW64" s="60"/>
      <c r="HX64" s="70">
        <v>1</v>
      </c>
      <c r="HY64" s="71"/>
      <c r="HZ64" s="63">
        <f>1/5</f>
        <v>0.2</v>
      </c>
      <c r="IA64" s="64"/>
      <c r="IB64" s="63">
        <v>3</v>
      </c>
      <c r="IC64" s="64"/>
      <c r="IK64" s="60" t="s">
        <v>88</v>
      </c>
      <c r="IL64" s="60"/>
      <c r="IM64" s="60">
        <f>1/IU56</f>
        <v>0.2</v>
      </c>
      <c r="IN64" s="60"/>
      <c r="IO64" s="60">
        <f>1/IU58</f>
        <v>0.14285714285714285</v>
      </c>
      <c r="IP64" s="60"/>
      <c r="IQ64" s="60">
        <f>1/IU60</f>
        <v>0.2</v>
      </c>
      <c r="IR64" s="60"/>
      <c r="IS64" s="60">
        <f>1/IU62</f>
        <v>0.1111111111111111</v>
      </c>
      <c r="IT64" s="60"/>
      <c r="IU64" s="62">
        <v>1</v>
      </c>
      <c r="IV64" s="62"/>
      <c r="IW64" s="60">
        <f>1/5</f>
        <v>0.2</v>
      </c>
      <c r="IX64" s="60"/>
      <c r="IY64" s="60">
        <v>6</v>
      </c>
      <c r="IZ64" s="60"/>
      <c r="JI64" s="60" t="s">
        <v>88</v>
      </c>
      <c r="JJ64" s="60"/>
      <c r="JK64" s="60">
        <f>1/JS56</f>
        <v>0.2</v>
      </c>
      <c r="JL64" s="60"/>
      <c r="JM64" s="60">
        <f>1/JS58</f>
        <v>0.1111111111111111</v>
      </c>
      <c r="JN64" s="60"/>
      <c r="JO64" s="60">
        <f>1/JS60</f>
        <v>0.2</v>
      </c>
      <c r="JP64" s="60"/>
      <c r="JQ64" s="60">
        <f>1/JS62</f>
        <v>0.14285714285714285</v>
      </c>
      <c r="JR64" s="60"/>
      <c r="JS64" s="62">
        <v>1</v>
      </c>
      <c r="JT64" s="62"/>
      <c r="JU64" s="60">
        <f>1/5</f>
        <v>0.2</v>
      </c>
      <c r="JV64" s="60"/>
      <c r="JW64" s="60">
        <v>7</v>
      </c>
      <c r="JX64" s="60"/>
      <c r="KF64" s="60" t="s">
        <v>88</v>
      </c>
      <c r="KG64" s="60"/>
      <c r="KH64" s="60">
        <f>1/KP56</f>
        <v>0.2</v>
      </c>
      <c r="KI64" s="60"/>
      <c r="KJ64" s="60">
        <f>1/KP58</f>
        <v>0.14285714285714285</v>
      </c>
      <c r="KK64" s="60"/>
      <c r="KL64" s="60">
        <f>1/KP60</f>
        <v>0.33333333333333331</v>
      </c>
      <c r="KM64" s="60"/>
      <c r="KN64" s="60">
        <f>1/KP62</f>
        <v>0.33333333333333331</v>
      </c>
      <c r="KO64" s="60"/>
      <c r="KP64" s="62">
        <v>1</v>
      </c>
      <c r="KQ64" s="62"/>
      <c r="KR64" s="60">
        <f>1/5</f>
        <v>0.2</v>
      </c>
      <c r="KS64" s="60"/>
      <c r="KT64" s="60">
        <v>3</v>
      </c>
      <c r="KU64" s="60"/>
      <c r="LA64" s="46"/>
      <c r="LB64" s="46"/>
      <c r="LC64" s="46"/>
      <c r="LD64" s="46"/>
      <c r="LE64" s="46"/>
      <c r="LF64" s="46"/>
      <c r="LG64" s="46"/>
      <c r="LH64" s="46"/>
      <c r="LI64" s="46"/>
      <c r="LJ64" s="46"/>
      <c r="LK64" s="46"/>
      <c r="LL64" s="46"/>
      <c r="LM64" s="46"/>
      <c r="LN64" s="46"/>
      <c r="LO64" s="46"/>
      <c r="LP64" s="46"/>
      <c r="LS64" s="46"/>
      <c r="LT64" s="46"/>
      <c r="LU64" s="46"/>
      <c r="LV64" s="46"/>
      <c r="LW64" s="46"/>
      <c r="LX64" s="46"/>
      <c r="LY64" s="46"/>
      <c r="LZ64" s="46"/>
      <c r="MA64" s="46"/>
      <c r="MB64" s="46"/>
      <c r="MC64" s="46"/>
      <c r="MD64" s="46"/>
      <c r="ME64" s="46"/>
      <c r="MF64" s="46"/>
      <c r="MG64" s="46"/>
      <c r="MH64" s="46"/>
      <c r="MI64" s="46"/>
      <c r="MJ64" s="46"/>
      <c r="MK64" s="46"/>
      <c r="ML64" s="46"/>
      <c r="MM64" s="46"/>
      <c r="MN64" s="46"/>
      <c r="MO64" s="46"/>
      <c r="MP64" s="46"/>
      <c r="MQ64" s="46"/>
      <c r="MR64" s="46"/>
      <c r="MS64" s="46"/>
      <c r="MT64" s="46"/>
      <c r="MU64" s="46"/>
      <c r="MV64" s="46"/>
      <c r="MW64" s="46"/>
      <c r="MX64" s="46"/>
      <c r="MY64" s="46"/>
      <c r="MZ64" s="46"/>
      <c r="NA64" s="46"/>
      <c r="NB64" s="46"/>
      <c r="NC64" s="46"/>
      <c r="ND64" s="46"/>
      <c r="NE64" s="46"/>
      <c r="NF64" s="46"/>
      <c r="NG64" s="46"/>
      <c r="NH64" s="46"/>
      <c r="NI64" s="46"/>
      <c r="NJ64" s="46"/>
      <c r="NK64" s="46"/>
      <c r="NL64" s="46"/>
      <c r="NM64" s="46"/>
      <c r="NN64" s="46"/>
      <c r="NO64" s="46"/>
      <c r="NP64" s="46"/>
      <c r="NQ64" s="46"/>
    </row>
    <row r="65" spans="3:381" ht="15" customHeight="1" x14ac:dyDescent="0.35"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2"/>
      <c r="N65" s="62"/>
      <c r="O65" s="60"/>
      <c r="P65" s="60"/>
      <c r="Q65" s="60"/>
      <c r="R65" s="75"/>
      <c r="S65" s="53"/>
      <c r="T65" s="46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2"/>
      <c r="AI65" s="62"/>
      <c r="AJ65" s="60"/>
      <c r="AK65" s="60"/>
      <c r="AL65" s="60"/>
      <c r="AM65" s="75"/>
      <c r="AN65" s="53"/>
      <c r="AO65" s="46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2"/>
      <c r="BD65" s="62"/>
      <c r="BE65" s="60"/>
      <c r="BF65" s="60"/>
      <c r="BG65" s="60"/>
      <c r="BH65" s="75"/>
      <c r="BI65" s="53"/>
      <c r="BJ65" s="46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2"/>
      <c r="BY65" s="62"/>
      <c r="BZ65" s="60"/>
      <c r="CA65" s="60"/>
      <c r="CB65" s="60"/>
      <c r="CC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2"/>
      <c r="CV65" s="62"/>
      <c r="CW65" s="60"/>
      <c r="CX65" s="60"/>
      <c r="CY65" s="60"/>
      <c r="CZ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2"/>
      <c r="DQ65" s="62"/>
      <c r="DR65" s="60"/>
      <c r="DS65" s="60"/>
      <c r="DT65" s="60"/>
      <c r="DU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2"/>
      <c r="EN65" s="62"/>
      <c r="EO65" s="60"/>
      <c r="EP65" s="60"/>
      <c r="EQ65" s="60"/>
      <c r="ER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2"/>
      <c r="FJ65" s="62"/>
      <c r="FK65" s="60"/>
      <c r="FL65" s="60"/>
      <c r="FM65" s="60"/>
      <c r="FN65" s="75"/>
      <c r="FO65" s="74"/>
      <c r="FP65" s="69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2"/>
      <c r="GG65" s="62"/>
      <c r="GH65" s="60"/>
      <c r="GI65" s="60"/>
      <c r="GJ65" s="60"/>
      <c r="GK65" s="75"/>
      <c r="GL65" s="74"/>
      <c r="GM65" s="69"/>
      <c r="GR65" s="60"/>
      <c r="GS65" s="60"/>
      <c r="GT65" s="60"/>
      <c r="GU65" s="60"/>
      <c r="GV65" s="60"/>
      <c r="GW65" s="60"/>
      <c r="GX65" s="60"/>
      <c r="GY65" s="60"/>
      <c r="GZ65" s="60"/>
      <c r="HA65" s="60"/>
      <c r="HB65" s="62"/>
      <c r="HC65" s="62"/>
      <c r="HD65" s="60"/>
      <c r="HE65" s="60"/>
      <c r="HF65" s="60"/>
      <c r="HG65" s="60"/>
      <c r="HN65" s="60"/>
      <c r="HO65" s="60"/>
      <c r="HP65" s="60"/>
      <c r="HQ65" s="60"/>
      <c r="HR65" s="60"/>
      <c r="HS65" s="60"/>
      <c r="HT65" s="60"/>
      <c r="HU65" s="60"/>
      <c r="HV65" s="60"/>
      <c r="HW65" s="60"/>
      <c r="HX65" s="72"/>
      <c r="HY65" s="73"/>
      <c r="HZ65" s="65"/>
      <c r="IA65" s="66"/>
      <c r="IB65" s="65"/>
      <c r="IC65" s="66"/>
      <c r="IK65" s="60"/>
      <c r="IL65" s="60"/>
      <c r="IM65" s="60"/>
      <c r="IN65" s="60"/>
      <c r="IO65" s="60"/>
      <c r="IP65" s="60"/>
      <c r="IQ65" s="60"/>
      <c r="IR65" s="60"/>
      <c r="IS65" s="60"/>
      <c r="IT65" s="60"/>
      <c r="IU65" s="62"/>
      <c r="IV65" s="62"/>
      <c r="IW65" s="60"/>
      <c r="IX65" s="60"/>
      <c r="IY65" s="60"/>
      <c r="IZ65" s="60"/>
      <c r="JI65" s="60"/>
      <c r="JJ65" s="60"/>
      <c r="JK65" s="60"/>
      <c r="JL65" s="60"/>
      <c r="JM65" s="60"/>
      <c r="JN65" s="60"/>
      <c r="JO65" s="60"/>
      <c r="JP65" s="60"/>
      <c r="JQ65" s="60"/>
      <c r="JR65" s="60"/>
      <c r="JS65" s="62"/>
      <c r="JT65" s="62"/>
      <c r="JU65" s="60"/>
      <c r="JV65" s="60"/>
      <c r="JW65" s="60"/>
      <c r="JX65" s="60"/>
      <c r="KF65" s="60"/>
      <c r="KG65" s="60"/>
      <c r="KH65" s="60"/>
      <c r="KI65" s="60"/>
      <c r="KJ65" s="60"/>
      <c r="KK65" s="60"/>
      <c r="KL65" s="60"/>
      <c r="KM65" s="60"/>
      <c r="KN65" s="60"/>
      <c r="KO65" s="60"/>
      <c r="KP65" s="62"/>
      <c r="KQ65" s="62"/>
      <c r="KR65" s="60"/>
      <c r="KS65" s="60"/>
      <c r="KT65" s="60"/>
      <c r="KU65" s="60"/>
      <c r="LA65" s="46"/>
      <c r="LB65" s="46"/>
      <c r="LC65" s="46"/>
      <c r="LD65" s="46"/>
      <c r="LE65" s="46"/>
      <c r="LF65" s="46"/>
      <c r="LG65" s="46"/>
      <c r="LH65" s="46"/>
      <c r="LI65" s="46"/>
      <c r="LJ65" s="46"/>
      <c r="LK65" s="46"/>
      <c r="LL65" s="46"/>
      <c r="LM65" s="46"/>
      <c r="LN65" s="46"/>
      <c r="LO65" s="46"/>
      <c r="LP65" s="46"/>
      <c r="LS65" s="46"/>
      <c r="LT65" s="46"/>
      <c r="LU65" s="46"/>
      <c r="LV65" s="46"/>
      <c r="LW65" s="46"/>
      <c r="LX65" s="46"/>
      <c r="LY65" s="46"/>
      <c r="LZ65" s="46"/>
      <c r="MA65" s="46"/>
      <c r="MB65" s="46"/>
      <c r="MC65" s="46"/>
      <c r="MD65" s="46"/>
      <c r="ME65" s="46"/>
      <c r="MF65" s="46"/>
      <c r="MG65" s="46"/>
      <c r="MH65" s="46"/>
      <c r="MI65" s="46"/>
      <c r="MJ65" s="46"/>
      <c r="MK65" s="46"/>
      <c r="ML65" s="46"/>
      <c r="MM65" s="46"/>
      <c r="MN65" s="46"/>
      <c r="MO65" s="46"/>
      <c r="MP65" s="46"/>
      <c r="MQ65" s="46"/>
      <c r="MR65" s="46"/>
      <c r="MS65" s="46"/>
      <c r="MT65" s="46"/>
      <c r="MU65" s="46"/>
      <c r="MV65" s="46"/>
      <c r="MW65" s="46"/>
      <c r="MX65" s="46"/>
      <c r="MY65" s="46"/>
      <c r="MZ65" s="46"/>
      <c r="NA65" s="46"/>
      <c r="NB65" s="46"/>
      <c r="NC65" s="46"/>
      <c r="ND65" s="46"/>
      <c r="NE65" s="46"/>
      <c r="NF65" s="46"/>
      <c r="NG65" s="46"/>
      <c r="NH65" s="47"/>
      <c r="NI65" s="47"/>
      <c r="NJ65" s="47"/>
      <c r="NK65" s="47"/>
      <c r="NL65" s="47"/>
      <c r="NM65" s="47"/>
      <c r="NN65" s="47"/>
      <c r="NO65" s="47"/>
      <c r="NP65" s="47"/>
      <c r="NQ65" s="47"/>
    </row>
    <row r="66" spans="3:381" x14ac:dyDescent="0.35">
      <c r="C66" s="60" t="s">
        <v>89</v>
      </c>
      <c r="D66" s="60"/>
      <c r="E66" s="60">
        <f>1/O56</f>
        <v>5</v>
      </c>
      <c r="F66" s="60"/>
      <c r="G66" s="60">
        <f>1/O58</f>
        <v>5</v>
      </c>
      <c r="H66" s="60"/>
      <c r="I66" s="60">
        <f>1/O60</f>
        <v>5</v>
      </c>
      <c r="J66" s="60"/>
      <c r="K66" s="60">
        <f>1/O62</f>
        <v>5</v>
      </c>
      <c r="L66" s="60"/>
      <c r="M66" s="60">
        <f>1/O64</f>
        <v>5</v>
      </c>
      <c r="N66" s="60"/>
      <c r="O66" s="62">
        <v>1</v>
      </c>
      <c r="P66" s="62"/>
      <c r="Q66" s="60">
        <v>5</v>
      </c>
      <c r="R66" s="75"/>
      <c r="S66" s="53"/>
      <c r="T66" s="46"/>
      <c r="X66" s="60" t="s">
        <v>89</v>
      </c>
      <c r="Y66" s="60"/>
      <c r="Z66" s="60">
        <f>1/AJ56</f>
        <v>0.33333333333333331</v>
      </c>
      <c r="AA66" s="60"/>
      <c r="AB66" s="60">
        <f>1/AJ58</f>
        <v>3</v>
      </c>
      <c r="AC66" s="60"/>
      <c r="AD66" s="60">
        <f>1/AJ60</f>
        <v>0.5</v>
      </c>
      <c r="AE66" s="60"/>
      <c r="AF66" s="60">
        <f>1/AJ62</f>
        <v>2</v>
      </c>
      <c r="AG66" s="60"/>
      <c r="AH66" s="60">
        <f>1/AJ64</f>
        <v>7</v>
      </c>
      <c r="AI66" s="60"/>
      <c r="AJ66" s="62">
        <v>1</v>
      </c>
      <c r="AK66" s="62"/>
      <c r="AL66" s="60">
        <v>5</v>
      </c>
      <c r="AM66" s="75"/>
      <c r="AN66" s="53"/>
      <c r="AO66" s="46"/>
      <c r="AS66" s="60" t="s">
        <v>89</v>
      </c>
      <c r="AT66" s="60"/>
      <c r="AU66" s="60">
        <f>1/BE56</f>
        <v>0.33333333333333331</v>
      </c>
      <c r="AV66" s="60"/>
      <c r="AW66" s="60">
        <f>1/BE58</f>
        <v>0.2</v>
      </c>
      <c r="AX66" s="60"/>
      <c r="AY66" s="60">
        <f>1/BE60</f>
        <v>0.2</v>
      </c>
      <c r="AZ66" s="60"/>
      <c r="BA66" s="60">
        <f>1/BE62</f>
        <v>5</v>
      </c>
      <c r="BB66" s="60"/>
      <c r="BC66" s="60">
        <f>1/BE64</f>
        <v>5</v>
      </c>
      <c r="BD66" s="60"/>
      <c r="BE66" s="62">
        <v>1</v>
      </c>
      <c r="BF66" s="62"/>
      <c r="BG66" s="60">
        <v>5</v>
      </c>
      <c r="BH66" s="75"/>
      <c r="BI66" s="53"/>
      <c r="BJ66" s="46"/>
      <c r="BN66" s="60" t="s">
        <v>89</v>
      </c>
      <c r="BO66" s="60"/>
      <c r="BP66" s="60">
        <f>1/BZ56</f>
        <v>5</v>
      </c>
      <c r="BQ66" s="60"/>
      <c r="BR66" s="60">
        <f>1/BZ58</f>
        <v>0.33333333333333331</v>
      </c>
      <c r="BS66" s="60"/>
      <c r="BT66" s="60">
        <f>1/BZ60</f>
        <v>0.33333333333333331</v>
      </c>
      <c r="BU66" s="60"/>
      <c r="BV66" s="60">
        <f>1/BZ62</f>
        <v>3</v>
      </c>
      <c r="BW66" s="60"/>
      <c r="BX66" s="60">
        <f>1/BZ64</f>
        <v>5</v>
      </c>
      <c r="BY66" s="60"/>
      <c r="BZ66" s="62">
        <v>1</v>
      </c>
      <c r="CA66" s="62"/>
      <c r="CB66" s="60">
        <v>5</v>
      </c>
      <c r="CC66" s="60"/>
      <c r="CK66" s="60" t="s">
        <v>89</v>
      </c>
      <c r="CL66" s="60"/>
      <c r="CM66" s="60">
        <f>1/CW56</f>
        <v>0.33333333333333331</v>
      </c>
      <c r="CN66" s="60"/>
      <c r="CO66" s="60">
        <f>1/CW58</f>
        <v>0.33333333333333331</v>
      </c>
      <c r="CP66" s="60"/>
      <c r="CQ66" s="60">
        <f>1/CW60</f>
        <v>0.33333333333333331</v>
      </c>
      <c r="CR66" s="60"/>
      <c r="CS66" s="60">
        <f>1/CW62</f>
        <v>3</v>
      </c>
      <c r="CT66" s="60"/>
      <c r="CU66" s="60">
        <f>1/CW64</f>
        <v>5</v>
      </c>
      <c r="CV66" s="60"/>
      <c r="CW66" s="62">
        <v>1</v>
      </c>
      <c r="CX66" s="62"/>
      <c r="CY66" s="60">
        <v>5</v>
      </c>
      <c r="CZ66" s="60"/>
      <c r="DF66" s="60" t="s">
        <v>89</v>
      </c>
      <c r="DG66" s="60"/>
      <c r="DH66" s="60">
        <f>1/DR56</f>
        <v>0.33333333333333331</v>
      </c>
      <c r="DI66" s="60"/>
      <c r="DJ66" s="60">
        <f>1/DR58</f>
        <v>0.2</v>
      </c>
      <c r="DK66" s="60"/>
      <c r="DL66" s="60">
        <f>1/DR60</f>
        <v>5</v>
      </c>
      <c r="DM66" s="60"/>
      <c r="DN66" s="60">
        <f>1/DR62</f>
        <v>7</v>
      </c>
      <c r="DO66" s="60"/>
      <c r="DP66" s="60">
        <f>1/DR64</f>
        <v>5</v>
      </c>
      <c r="DQ66" s="60"/>
      <c r="DR66" s="62">
        <v>1</v>
      </c>
      <c r="DS66" s="62"/>
      <c r="DT66" s="60">
        <v>5</v>
      </c>
      <c r="DU66" s="60"/>
      <c r="EC66" s="60" t="s">
        <v>89</v>
      </c>
      <c r="ED66" s="60"/>
      <c r="EE66" s="60">
        <f>1/EO56</f>
        <v>5</v>
      </c>
      <c r="EF66" s="60"/>
      <c r="EG66" s="60">
        <f>1/EO58</f>
        <v>5</v>
      </c>
      <c r="EH66" s="60"/>
      <c r="EI66" s="60">
        <f>1/EO60</f>
        <v>5</v>
      </c>
      <c r="EJ66" s="60"/>
      <c r="EK66" s="60">
        <f>1/EO62</f>
        <v>5</v>
      </c>
      <c r="EL66" s="60"/>
      <c r="EM66" s="60">
        <f>1/EO64</f>
        <v>5</v>
      </c>
      <c r="EN66" s="60"/>
      <c r="EO66" s="62">
        <v>1</v>
      </c>
      <c r="EP66" s="62"/>
      <c r="EQ66" s="60">
        <f>1/5</f>
        <v>0.2</v>
      </c>
      <c r="ER66" s="60"/>
      <c r="EY66" s="60" t="s">
        <v>89</v>
      </c>
      <c r="EZ66" s="60"/>
      <c r="FA66" s="60">
        <f>1/FK56</f>
        <v>0.1111111111111111</v>
      </c>
      <c r="FB66" s="60"/>
      <c r="FC66" s="60">
        <f>1/FK58</f>
        <v>0.14285714285714285</v>
      </c>
      <c r="FD66" s="60"/>
      <c r="FE66" s="60">
        <f>1/FK60</f>
        <v>0.2</v>
      </c>
      <c r="FF66" s="60"/>
      <c r="FG66" s="60">
        <f>1/FK62</f>
        <v>9</v>
      </c>
      <c r="FH66" s="60"/>
      <c r="FI66" s="60">
        <f>1/FK64</f>
        <v>7</v>
      </c>
      <c r="FJ66" s="60"/>
      <c r="FK66" s="62">
        <v>1</v>
      </c>
      <c r="FL66" s="62"/>
      <c r="FM66" s="60">
        <v>5</v>
      </c>
      <c r="FN66" s="75"/>
      <c r="FO66" s="74"/>
      <c r="FP66" s="69"/>
      <c r="FV66" s="60" t="s">
        <v>89</v>
      </c>
      <c r="FW66" s="60"/>
      <c r="FX66" s="60">
        <f>1/GH56</f>
        <v>9</v>
      </c>
      <c r="FY66" s="60"/>
      <c r="FZ66" s="60">
        <f>1/GH58</f>
        <v>0.33333333333333331</v>
      </c>
      <c r="GA66" s="60"/>
      <c r="GB66" s="60">
        <f>1/GH60</f>
        <v>7</v>
      </c>
      <c r="GC66" s="60"/>
      <c r="GD66" s="60">
        <f>1/GH62</f>
        <v>9</v>
      </c>
      <c r="GE66" s="60"/>
      <c r="GF66" s="60">
        <f>1/GH64</f>
        <v>5</v>
      </c>
      <c r="GG66" s="60"/>
      <c r="GH66" s="62">
        <v>1</v>
      </c>
      <c r="GI66" s="62"/>
      <c r="GJ66" s="60">
        <v>5</v>
      </c>
      <c r="GK66" s="75"/>
      <c r="GL66" s="74"/>
      <c r="GM66" s="69"/>
      <c r="GR66" s="60" t="s">
        <v>89</v>
      </c>
      <c r="GS66" s="60"/>
      <c r="GT66" s="60">
        <f>1/HD56</f>
        <v>0.1111111111111111</v>
      </c>
      <c r="GU66" s="60"/>
      <c r="GV66" s="60">
        <f>1/HD58</f>
        <v>7</v>
      </c>
      <c r="GW66" s="60"/>
      <c r="GX66" s="60">
        <f>1/HD60</f>
        <v>5</v>
      </c>
      <c r="GY66" s="60"/>
      <c r="GZ66" s="60">
        <f>1/HD62</f>
        <v>5</v>
      </c>
      <c r="HA66" s="60"/>
      <c r="HB66" s="60">
        <f>1/HD64</f>
        <v>7</v>
      </c>
      <c r="HC66" s="60"/>
      <c r="HD66" s="62">
        <v>1</v>
      </c>
      <c r="HE66" s="62"/>
      <c r="HF66" s="60">
        <v>3</v>
      </c>
      <c r="HG66" s="60"/>
      <c r="HN66" s="60" t="s">
        <v>89</v>
      </c>
      <c r="HO66" s="60"/>
      <c r="HP66" s="60">
        <f>1/HZ56</f>
        <v>0.33333333333333331</v>
      </c>
      <c r="HQ66" s="60"/>
      <c r="HR66" s="60">
        <f>1/HZ58</f>
        <v>0.33333333333333331</v>
      </c>
      <c r="HS66" s="60"/>
      <c r="HT66" s="60">
        <f>1/HZ60</f>
        <v>0.33333333333333331</v>
      </c>
      <c r="HU66" s="60"/>
      <c r="HV66" s="60">
        <f>1/HZ62</f>
        <v>9</v>
      </c>
      <c r="HW66" s="60"/>
      <c r="HX66" s="60">
        <f>1/HZ64</f>
        <v>5</v>
      </c>
      <c r="HY66" s="60"/>
      <c r="HZ66" s="70">
        <v>1</v>
      </c>
      <c r="IA66" s="71"/>
      <c r="IB66" s="63">
        <v>5</v>
      </c>
      <c r="IC66" s="64"/>
      <c r="IK66" s="60" t="s">
        <v>89</v>
      </c>
      <c r="IL66" s="60"/>
      <c r="IM66" s="60">
        <f>1/IW56</f>
        <v>5</v>
      </c>
      <c r="IN66" s="60"/>
      <c r="IO66" s="60">
        <f>1/IW58</f>
        <v>5</v>
      </c>
      <c r="IP66" s="60"/>
      <c r="IQ66" s="60">
        <f>1/IW60</f>
        <v>5</v>
      </c>
      <c r="IR66" s="60"/>
      <c r="IS66" s="60">
        <f>1/IW62</f>
        <v>5</v>
      </c>
      <c r="IT66" s="60"/>
      <c r="IU66" s="60">
        <f>1/IW64</f>
        <v>5</v>
      </c>
      <c r="IV66" s="60"/>
      <c r="IW66" s="62">
        <v>1</v>
      </c>
      <c r="IX66" s="62"/>
      <c r="IY66" s="60">
        <f>1/5</f>
        <v>0.2</v>
      </c>
      <c r="IZ66" s="60"/>
      <c r="JI66" s="60" t="s">
        <v>89</v>
      </c>
      <c r="JJ66" s="60"/>
      <c r="JK66" s="60">
        <f>1/JU56</f>
        <v>0.2</v>
      </c>
      <c r="JL66" s="60"/>
      <c r="JM66" s="60">
        <f>1/JU58</f>
        <v>0.33333333333333331</v>
      </c>
      <c r="JN66" s="60"/>
      <c r="JO66" s="60">
        <f>1/JU60</f>
        <v>0.33333333333333331</v>
      </c>
      <c r="JP66" s="60"/>
      <c r="JQ66" s="60">
        <f>1/JU62</f>
        <v>3</v>
      </c>
      <c r="JR66" s="60"/>
      <c r="JS66" s="60">
        <f>1/JU64</f>
        <v>5</v>
      </c>
      <c r="JT66" s="60"/>
      <c r="JU66" s="62">
        <v>1</v>
      </c>
      <c r="JV66" s="62"/>
      <c r="JW66" s="60">
        <v>5</v>
      </c>
      <c r="JX66" s="60"/>
      <c r="KF66" s="60" t="s">
        <v>89</v>
      </c>
      <c r="KG66" s="60"/>
      <c r="KH66" s="60">
        <f>1/KR56</f>
        <v>0.33333333333333331</v>
      </c>
      <c r="KI66" s="60"/>
      <c r="KJ66" s="60">
        <f>1/KR58</f>
        <v>0.33333333333333331</v>
      </c>
      <c r="KK66" s="60"/>
      <c r="KL66" s="60">
        <f>1/KR60</f>
        <v>0.33333333333333331</v>
      </c>
      <c r="KM66" s="60"/>
      <c r="KN66" s="60">
        <f>1/KR62</f>
        <v>3</v>
      </c>
      <c r="KO66" s="60"/>
      <c r="KP66" s="60">
        <f>1/KR64</f>
        <v>5</v>
      </c>
      <c r="KQ66" s="60"/>
      <c r="KR66" s="62">
        <v>1</v>
      </c>
      <c r="KS66" s="62"/>
      <c r="KT66" s="60">
        <v>5</v>
      </c>
      <c r="KU66" s="60"/>
      <c r="LA66" s="46"/>
      <c r="LB66" s="46"/>
      <c r="LC66" s="46"/>
      <c r="LD66" s="46"/>
      <c r="LE66" s="46"/>
      <c r="LF66" s="46"/>
      <c r="LG66" s="46"/>
      <c r="LH66" s="46"/>
      <c r="LI66" s="46"/>
      <c r="LJ66" s="46"/>
      <c r="LK66" s="46"/>
      <c r="LL66" s="46"/>
      <c r="LM66" s="46"/>
      <c r="LN66" s="46"/>
      <c r="LO66" s="46"/>
      <c r="LP66" s="46"/>
      <c r="LS66" s="46"/>
      <c r="LT66" s="46"/>
      <c r="LU66" s="46"/>
      <c r="LV66" s="46"/>
      <c r="LW66" s="46"/>
      <c r="LX66" s="46"/>
      <c r="LY66" s="46"/>
      <c r="LZ66" s="46"/>
      <c r="MA66" s="46"/>
      <c r="MB66" s="46"/>
      <c r="MC66" s="46"/>
      <c r="MD66" s="46"/>
      <c r="ME66" s="46"/>
      <c r="MF66" s="46"/>
      <c r="MG66" s="46"/>
      <c r="MH66" s="46"/>
      <c r="MI66" s="46"/>
      <c r="MJ66" s="46"/>
      <c r="MK66" s="46"/>
      <c r="ML66" s="46"/>
      <c r="MM66" s="46"/>
      <c r="MN66" s="46"/>
      <c r="MO66" s="46"/>
      <c r="MP66" s="46"/>
      <c r="MQ66" s="46"/>
      <c r="MR66" s="46"/>
      <c r="MS66" s="46"/>
      <c r="MT66" s="46"/>
      <c r="MU66" s="46"/>
      <c r="MV66" s="46"/>
      <c r="MW66" s="46"/>
      <c r="MX66" s="46"/>
      <c r="MY66" s="46"/>
      <c r="MZ66" s="46"/>
      <c r="NA66" s="46"/>
      <c r="NB66" s="46"/>
      <c r="NC66" s="46"/>
      <c r="ND66" s="46"/>
      <c r="NE66" s="46"/>
      <c r="NF66" s="46"/>
      <c r="NG66" s="46"/>
      <c r="NH66" s="47"/>
      <c r="NI66" s="47"/>
      <c r="NJ66" s="47"/>
      <c r="NK66" s="47"/>
      <c r="NL66" s="47"/>
      <c r="NM66" s="47"/>
      <c r="NN66" s="47"/>
      <c r="NO66" s="47"/>
      <c r="NP66" s="47"/>
      <c r="NQ66" s="47"/>
    </row>
    <row r="67" spans="3:381" ht="15" customHeight="1" x14ac:dyDescent="0.35"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2"/>
      <c r="P67" s="62"/>
      <c r="Q67" s="60"/>
      <c r="R67" s="75"/>
      <c r="S67" s="53"/>
      <c r="T67" s="46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2"/>
      <c r="AK67" s="62"/>
      <c r="AL67" s="60"/>
      <c r="AM67" s="75"/>
      <c r="AN67" s="53"/>
      <c r="AO67" s="46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2"/>
      <c r="BF67" s="62"/>
      <c r="BG67" s="60"/>
      <c r="BH67" s="75"/>
      <c r="BI67" s="53"/>
      <c r="BJ67" s="46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2"/>
      <c r="CA67" s="62"/>
      <c r="CB67" s="60"/>
      <c r="CC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2"/>
      <c r="CX67" s="62"/>
      <c r="CY67" s="60"/>
      <c r="CZ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2"/>
      <c r="DS67" s="62"/>
      <c r="DT67" s="60"/>
      <c r="DU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2"/>
      <c r="EP67" s="62"/>
      <c r="EQ67" s="60"/>
      <c r="ER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  <c r="FK67" s="62"/>
      <c r="FL67" s="62"/>
      <c r="FM67" s="60"/>
      <c r="FN67" s="75"/>
      <c r="FO67" s="74"/>
      <c r="FP67" s="69"/>
      <c r="FV67" s="60"/>
      <c r="FW67" s="60"/>
      <c r="FX67" s="60"/>
      <c r="FY67" s="60"/>
      <c r="FZ67" s="60"/>
      <c r="GA67" s="60"/>
      <c r="GB67" s="60"/>
      <c r="GC67" s="60"/>
      <c r="GD67" s="60"/>
      <c r="GE67" s="60"/>
      <c r="GF67" s="60"/>
      <c r="GG67" s="60"/>
      <c r="GH67" s="62"/>
      <c r="GI67" s="62"/>
      <c r="GJ67" s="60"/>
      <c r="GK67" s="75"/>
      <c r="GL67" s="74"/>
      <c r="GM67" s="69"/>
      <c r="GR67" s="60"/>
      <c r="GS67" s="60"/>
      <c r="GT67" s="60"/>
      <c r="GU67" s="60"/>
      <c r="GV67" s="60"/>
      <c r="GW67" s="60"/>
      <c r="GX67" s="60"/>
      <c r="GY67" s="60"/>
      <c r="GZ67" s="60"/>
      <c r="HA67" s="60"/>
      <c r="HB67" s="60"/>
      <c r="HC67" s="60"/>
      <c r="HD67" s="62"/>
      <c r="HE67" s="62"/>
      <c r="HF67" s="60"/>
      <c r="HG67" s="60"/>
      <c r="HN67" s="60"/>
      <c r="HO67" s="60"/>
      <c r="HP67" s="60"/>
      <c r="HQ67" s="60"/>
      <c r="HR67" s="60"/>
      <c r="HS67" s="60"/>
      <c r="HT67" s="60"/>
      <c r="HU67" s="60"/>
      <c r="HV67" s="60"/>
      <c r="HW67" s="60"/>
      <c r="HX67" s="60"/>
      <c r="HY67" s="60"/>
      <c r="HZ67" s="72"/>
      <c r="IA67" s="73"/>
      <c r="IB67" s="65"/>
      <c r="IC67" s="66"/>
      <c r="IK67" s="60"/>
      <c r="IL67" s="60"/>
      <c r="IM67" s="60"/>
      <c r="IN67" s="60"/>
      <c r="IO67" s="60"/>
      <c r="IP67" s="60"/>
      <c r="IQ67" s="60"/>
      <c r="IR67" s="60"/>
      <c r="IS67" s="60"/>
      <c r="IT67" s="60"/>
      <c r="IU67" s="60"/>
      <c r="IV67" s="60"/>
      <c r="IW67" s="62"/>
      <c r="IX67" s="62"/>
      <c r="IY67" s="60"/>
      <c r="IZ67" s="60"/>
      <c r="JI67" s="60"/>
      <c r="JJ67" s="60"/>
      <c r="JK67" s="60"/>
      <c r="JL67" s="60"/>
      <c r="JM67" s="60"/>
      <c r="JN67" s="60"/>
      <c r="JO67" s="60"/>
      <c r="JP67" s="60"/>
      <c r="JQ67" s="60"/>
      <c r="JR67" s="60"/>
      <c r="JS67" s="60"/>
      <c r="JT67" s="60"/>
      <c r="JU67" s="62"/>
      <c r="JV67" s="62"/>
      <c r="JW67" s="60"/>
      <c r="JX67" s="60"/>
      <c r="KF67" s="60"/>
      <c r="KG67" s="60"/>
      <c r="KH67" s="60"/>
      <c r="KI67" s="60"/>
      <c r="KJ67" s="60"/>
      <c r="KK67" s="60"/>
      <c r="KL67" s="60"/>
      <c r="KM67" s="60"/>
      <c r="KN67" s="60"/>
      <c r="KO67" s="60"/>
      <c r="KP67" s="60"/>
      <c r="KQ67" s="60"/>
      <c r="KR67" s="62"/>
      <c r="KS67" s="62"/>
      <c r="KT67" s="60"/>
      <c r="KU67" s="60"/>
      <c r="LA67" s="46"/>
      <c r="LB67" s="46"/>
      <c r="LC67" s="46"/>
      <c r="LD67" s="46"/>
      <c r="LE67" s="46"/>
      <c r="LF67" s="46"/>
      <c r="LG67" s="46"/>
      <c r="LH67" s="46"/>
      <c r="LI67" s="46"/>
      <c r="LJ67" s="46"/>
      <c r="LK67" s="46"/>
      <c r="LL67" s="46"/>
      <c r="LM67" s="46"/>
      <c r="LN67" s="46"/>
      <c r="LO67" s="46"/>
      <c r="LP67" s="46"/>
      <c r="LS67" s="46"/>
      <c r="LT67" s="46"/>
      <c r="LU67" s="46"/>
      <c r="LV67" s="46"/>
      <c r="LW67" s="46"/>
      <c r="LX67" s="46"/>
      <c r="LY67" s="46"/>
      <c r="LZ67" s="46"/>
      <c r="MA67" s="46"/>
      <c r="MB67" s="46"/>
      <c r="MC67" s="46"/>
      <c r="MD67" s="46"/>
      <c r="ME67" s="46"/>
      <c r="MF67" s="46"/>
      <c r="MG67" s="46"/>
      <c r="MH67" s="46"/>
      <c r="MI67" s="46"/>
      <c r="MJ67" s="46"/>
      <c r="MK67" s="46"/>
      <c r="ML67" s="46"/>
      <c r="MM67" s="46"/>
      <c r="MN67" s="46"/>
      <c r="MO67" s="46"/>
      <c r="MP67" s="46"/>
      <c r="MQ67" s="46"/>
      <c r="MR67" s="46"/>
      <c r="MS67" s="46"/>
      <c r="MT67" s="46"/>
      <c r="MU67" s="46"/>
      <c r="MV67" s="46"/>
      <c r="MW67" s="46"/>
      <c r="MX67" s="46"/>
      <c r="MY67" s="46"/>
      <c r="MZ67" s="46"/>
      <c r="NA67" s="46"/>
      <c r="NB67" s="46"/>
      <c r="NC67" s="46"/>
      <c r="ND67" s="46"/>
      <c r="NE67" s="46"/>
      <c r="NF67" s="46"/>
      <c r="NG67" s="46"/>
      <c r="NH67" s="47"/>
      <c r="NI67" s="47"/>
      <c r="NJ67" s="47"/>
      <c r="NK67" s="47"/>
      <c r="NL67" s="47"/>
      <c r="NM67" s="47"/>
      <c r="NN67" s="47"/>
      <c r="NO67" s="47"/>
      <c r="NP67" s="47"/>
      <c r="NQ67" s="47"/>
    </row>
    <row r="68" spans="3:381" x14ac:dyDescent="0.35">
      <c r="C68" s="60" t="s">
        <v>91</v>
      </c>
      <c r="D68" s="60"/>
      <c r="E68" s="60">
        <f>1/Q56</f>
        <v>5</v>
      </c>
      <c r="F68" s="60"/>
      <c r="G68" s="60">
        <f>1/Q58</f>
        <v>3</v>
      </c>
      <c r="H68" s="60"/>
      <c r="I68" s="60">
        <f>1/Q60</f>
        <v>0.14285714285714285</v>
      </c>
      <c r="J68" s="60"/>
      <c r="K68" s="60">
        <f>1/Q62</f>
        <v>0.33333333333333331</v>
      </c>
      <c r="L68" s="60"/>
      <c r="M68" s="60">
        <f>1/Q64</f>
        <v>0.5</v>
      </c>
      <c r="N68" s="60"/>
      <c r="O68" s="60">
        <f>1/Q66</f>
        <v>0.2</v>
      </c>
      <c r="P68" s="60"/>
      <c r="Q68" s="62">
        <v>1</v>
      </c>
      <c r="R68" s="76"/>
      <c r="S68" s="53"/>
      <c r="T68" s="46"/>
      <c r="X68" s="60" t="s">
        <v>91</v>
      </c>
      <c r="Y68" s="60"/>
      <c r="Z68" s="60">
        <f>1/AL56</f>
        <v>0.14285714285714285</v>
      </c>
      <c r="AA68" s="60"/>
      <c r="AB68" s="60">
        <f>1/AL58</f>
        <v>9</v>
      </c>
      <c r="AC68" s="60"/>
      <c r="AD68" s="60">
        <f>1/AL60</f>
        <v>7</v>
      </c>
      <c r="AE68" s="60"/>
      <c r="AF68" s="60">
        <f>1/AL62</f>
        <v>3</v>
      </c>
      <c r="AG68" s="60"/>
      <c r="AH68" s="60">
        <f>1/AL64</f>
        <v>2</v>
      </c>
      <c r="AI68" s="60"/>
      <c r="AJ68" s="60">
        <f>1/AL66</f>
        <v>0.2</v>
      </c>
      <c r="AK68" s="60"/>
      <c r="AL68" s="62">
        <v>1</v>
      </c>
      <c r="AM68" s="76"/>
      <c r="AN68" s="53"/>
      <c r="AO68" s="46"/>
      <c r="AS68" s="60" t="s">
        <v>91</v>
      </c>
      <c r="AT68" s="60"/>
      <c r="AU68" s="60">
        <f>1/BG56</f>
        <v>5</v>
      </c>
      <c r="AV68" s="60"/>
      <c r="AW68" s="60">
        <f>1/BG58</f>
        <v>3</v>
      </c>
      <c r="AX68" s="60"/>
      <c r="AY68" s="60">
        <f>1/BG60</f>
        <v>5</v>
      </c>
      <c r="AZ68" s="60"/>
      <c r="BA68" s="60">
        <f>1/BG62</f>
        <v>0.2</v>
      </c>
      <c r="BB68" s="60"/>
      <c r="BC68" s="60">
        <f>1/BG64</f>
        <v>0.2</v>
      </c>
      <c r="BD68" s="60"/>
      <c r="BE68" s="60">
        <f>1/BG66</f>
        <v>0.2</v>
      </c>
      <c r="BF68" s="60"/>
      <c r="BG68" s="62">
        <v>1</v>
      </c>
      <c r="BH68" s="76"/>
      <c r="BI68" s="53"/>
      <c r="BJ68" s="46"/>
      <c r="BN68" s="60" t="s">
        <v>91</v>
      </c>
      <c r="BO68" s="60"/>
      <c r="BP68" s="60">
        <f>1/CB56</f>
        <v>5</v>
      </c>
      <c r="BQ68" s="60"/>
      <c r="BR68" s="60">
        <f>1/CB58</f>
        <v>5</v>
      </c>
      <c r="BS68" s="60"/>
      <c r="BT68" s="60">
        <f>1/CB60</f>
        <v>5</v>
      </c>
      <c r="BU68" s="60"/>
      <c r="BV68" s="60">
        <f>1/CB62</f>
        <v>7</v>
      </c>
      <c r="BW68" s="60"/>
      <c r="BX68" s="60">
        <f>1/CB64</f>
        <v>0.14285714285714285</v>
      </c>
      <c r="BY68" s="60"/>
      <c r="BZ68" s="60">
        <f>1/CB66</f>
        <v>0.2</v>
      </c>
      <c r="CA68" s="60"/>
      <c r="CB68" s="62">
        <v>1</v>
      </c>
      <c r="CC68" s="62"/>
      <c r="CK68" s="60" t="s">
        <v>91</v>
      </c>
      <c r="CL68" s="60"/>
      <c r="CM68" s="60">
        <f>1/CY56</f>
        <v>5</v>
      </c>
      <c r="CN68" s="60"/>
      <c r="CO68" s="60">
        <f>1/CY58</f>
        <v>3</v>
      </c>
      <c r="CP68" s="60"/>
      <c r="CQ68" s="60">
        <f>1/CY60</f>
        <v>5</v>
      </c>
      <c r="CR68" s="60"/>
      <c r="CS68" s="60">
        <f>1/CY62</f>
        <v>0.33333333333333331</v>
      </c>
      <c r="CT68" s="60"/>
      <c r="CU68" s="60">
        <f>1/CY64</f>
        <v>0.33333333333333331</v>
      </c>
      <c r="CV68" s="60"/>
      <c r="CW68" s="60">
        <f>1/CY66</f>
        <v>0.2</v>
      </c>
      <c r="CX68" s="60"/>
      <c r="CY68" s="62">
        <v>1</v>
      </c>
      <c r="CZ68" s="62"/>
      <c r="DF68" s="60" t="s">
        <v>91</v>
      </c>
      <c r="DG68" s="60"/>
      <c r="DH68" s="60">
        <f>1/DT56</f>
        <v>9</v>
      </c>
      <c r="DI68" s="60"/>
      <c r="DJ68" s="60">
        <f>1/DT58</f>
        <v>7</v>
      </c>
      <c r="DK68" s="60"/>
      <c r="DL68" s="60">
        <f>1/DT60</f>
        <v>0.33333333333333331</v>
      </c>
      <c r="DM68" s="60"/>
      <c r="DN68" s="60">
        <f>1/DT62</f>
        <v>0.1111111111111111</v>
      </c>
      <c r="DO68" s="60"/>
      <c r="DP68" s="60">
        <f>1/DT64</f>
        <v>0.33333333333333331</v>
      </c>
      <c r="DQ68" s="60"/>
      <c r="DR68" s="60">
        <f>1/DT66</f>
        <v>0.2</v>
      </c>
      <c r="DS68" s="60"/>
      <c r="DT68" s="62">
        <v>1</v>
      </c>
      <c r="DU68" s="62"/>
      <c r="EC68" s="60" t="s">
        <v>91</v>
      </c>
      <c r="ED68" s="60"/>
      <c r="EE68" s="60">
        <f>1/EQ56</f>
        <v>5</v>
      </c>
      <c r="EF68" s="60"/>
      <c r="EG68" s="60">
        <f>1/EQ58</f>
        <v>3</v>
      </c>
      <c r="EH68" s="60"/>
      <c r="EI68" s="60">
        <f>1/EQ60</f>
        <v>0.14285714285714285</v>
      </c>
      <c r="EJ68" s="60"/>
      <c r="EK68" s="60">
        <f>1/EQ62</f>
        <v>0.33333333333333331</v>
      </c>
      <c r="EL68" s="60"/>
      <c r="EM68" s="60">
        <f>1/EQ64</f>
        <v>0.16666666666666666</v>
      </c>
      <c r="EN68" s="60"/>
      <c r="EO68" s="60">
        <f>1/EQ66</f>
        <v>5</v>
      </c>
      <c r="EP68" s="60"/>
      <c r="EQ68" s="62">
        <v>1</v>
      </c>
      <c r="ER68" s="62"/>
      <c r="EY68" s="60" t="s">
        <v>91</v>
      </c>
      <c r="EZ68" s="60"/>
      <c r="FA68" s="60">
        <f>1/FM56</f>
        <v>0.14285714285714285</v>
      </c>
      <c r="FB68" s="60"/>
      <c r="FC68" s="60">
        <f>1/FM58</f>
        <v>9</v>
      </c>
      <c r="FD68" s="60"/>
      <c r="FE68" s="60">
        <f>1/FM60</f>
        <v>7</v>
      </c>
      <c r="FF68" s="60"/>
      <c r="FG68" s="60">
        <f>1/FM62</f>
        <v>0.2</v>
      </c>
      <c r="FH68" s="60"/>
      <c r="FI68" s="60">
        <f>1/FM64</f>
        <v>0.14285714285714285</v>
      </c>
      <c r="FJ68" s="60"/>
      <c r="FK68" s="60">
        <f>1/FM66</f>
        <v>0.2</v>
      </c>
      <c r="FL68" s="60"/>
      <c r="FM68" s="62">
        <v>1</v>
      </c>
      <c r="FN68" s="76"/>
      <c r="FO68" s="74"/>
      <c r="FP68" s="69"/>
      <c r="FV68" s="60" t="s">
        <v>91</v>
      </c>
      <c r="FW68" s="60"/>
      <c r="FX68" s="60">
        <f>1/GJ56</f>
        <v>5</v>
      </c>
      <c r="FY68" s="60"/>
      <c r="FZ68" s="60">
        <f>1/GJ58</f>
        <v>0.33333333333333331</v>
      </c>
      <c r="GA68" s="60"/>
      <c r="GB68" s="60">
        <f>1/GJ60</f>
        <v>6</v>
      </c>
      <c r="GC68" s="60"/>
      <c r="GD68" s="60">
        <f>1/GJ62</f>
        <v>0.2</v>
      </c>
      <c r="GE68" s="60"/>
      <c r="GF68" s="60">
        <f>1/GJ64</f>
        <v>7</v>
      </c>
      <c r="GG68" s="60"/>
      <c r="GH68" s="60">
        <f>1/GJ66</f>
        <v>0.2</v>
      </c>
      <c r="GI68" s="60"/>
      <c r="GJ68" s="62">
        <v>1</v>
      </c>
      <c r="GK68" s="76"/>
      <c r="GL68" s="74"/>
      <c r="GM68" s="69"/>
      <c r="GR68" s="60" t="s">
        <v>91</v>
      </c>
      <c r="GS68" s="60"/>
      <c r="GT68" s="60">
        <f>1/HF56</f>
        <v>5</v>
      </c>
      <c r="GU68" s="60"/>
      <c r="GV68" s="60">
        <f>1/HF58</f>
        <v>3</v>
      </c>
      <c r="GW68" s="60"/>
      <c r="GX68" s="60">
        <f>1/HF60</f>
        <v>0.2</v>
      </c>
      <c r="GY68" s="60"/>
      <c r="GZ68" s="60">
        <f>1/HF62</f>
        <v>3</v>
      </c>
      <c r="HA68" s="60"/>
      <c r="HB68" s="60">
        <f>1/HF64</f>
        <v>3</v>
      </c>
      <c r="HC68" s="60"/>
      <c r="HD68" s="60">
        <f>1/HF66</f>
        <v>0.33333333333333331</v>
      </c>
      <c r="HE68" s="60"/>
      <c r="HF68" s="62">
        <v>1</v>
      </c>
      <c r="HG68" s="62"/>
      <c r="HN68" s="60" t="s">
        <v>91</v>
      </c>
      <c r="HO68" s="60"/>
      <c r="HP68" s="60">
        <f>1/IB56</f>
        <v>5</v>
      </c>
      <c r="HQ68" s="60"/>
      <c r="HR68" s="60">
        <f>1/IB58</f>
        <v>3</v>
      </c>
      <c r="HS68" s="60"/>
      <c r="HT68" s="60">
        <f>1/IB60</f>
        <v>5</v>
      </c>
      <c r="HU68" s="60"/>
      <c r="HV68" s="60">
        <f>1/IB62</f>
        <v>0.2</v>
      </c>
      <c r="HW68" s="60"/>
      <c r="HX68" s="60">
        <f>1/IB64</f>
        <v>0.33333333333333331</v>
      </c>
      <c r="HY68" s="60"/>
      <c r="HZ68" s="60">
        <f>1/IB66</f>
        <v>0.2</v>
      </c>
      <c r="IA68" s="60"/>
      <c r="IB68" s="70">
        <v>1</v>
      </c>
      <c r="IC68" s="71"/>
      <c r="IK68" s="60" t="s">
        <v>91</v>
      </c>
      <c r="IL68" s="60"/>
      <c r="IM68" s="60">
        <f>1/IY56</f>
        <v>5</v>
      </c>
      <c r="IN68" s="60"/>
      <c r="IO68" s="60">
        <f>1/IY58</f>
        <v>3</v>
      </c>
      <c r="IP68" s="60"/>
      <c r="IQ68" s="60">
        <f>1/IY60</f>
        <v>0.14285714285714285</v>
      </c>
      <c r="IR68" s="60"/>
      <c r="IS68" s="60">
        <f>1/IY62</f>
        <v>0.33333333333333331</v>
      </c>
      <c r="IT68" s="60"/>
      <c r="IU68" s="60">
        <f>1/IY64</f>
        <v>0.16666666666666666</v>
      </c>
      <c r="IV68" s="60"/>
      <c r="IW68" s="60">
        <f>1/IY66</f>
        <v>5</v>
      </c>
      <c r="IX68" s="60"/>
      <c r="IY68" s="62">
        <v>1</v>
      </c>
      <c r="IZ68" s="62"/>
      <c r="JI68" s="60" t="s">
        <v>91</v>
      </c>
      <c r="JJ68" s="60"/>
      <c r="JK68" s="60">
        <f>1/JW56</f>
        <v>0.2</v>
      </c>
      <c r="JL68" s="60"/>
      <c r="JM68" s="60">
        <f>1/JW58</f>
        <v>5</v>
      </c>
      <c r="JN68" s="60"/>
      <c r="JO68" s="60">
        <f>1/JW60</f>
        <v>5</v>
      </c>
      <c r="JP68" s="60"/>
      <c r="JQ68" s="60">
        <f>1/JW62</f>
        <v>7</v>
      </c>
      <c r="JR68" s="60"/>
      <c r="JS68" s="60">
        <f>1/JW64</f>
        <v>0.14285714285714285</v>
      </c>
      <c r="JT68" s="60"/>
      <c r="JU68" s="60">
        <f>1/JW66</f>
        <v>0.2</v>
      </c>
      <c r="JV68" s="60"/>
      <c r="JW68" s="62">
        <v>1</v>
      </c>
      <c r="JX68" s="62"/>
      <c r="KF68" s="60" t="s">
        <v>91</v>
      </c>
      <c r="KG68" s="60"/>
      <c r="KH68" s="60">
        <f>1/KT56</f>
        <v>5</v>
      </c>
      <c r="KI68" s="60"/>
      <c r="KJ68" s="60">
        <f>1/KT58</f>
        <v>3</v>
      </c>
      <c r="KK68" s="60"/>
      <c r="KL68" s="60">
        <f>1/KT60</f>
        <v>5</v>
      </c>
      <c r="KM68" s="60"/>
      <c r="KN68" s="60">
        <f>1/KT62</f>
        <v>0.33333333333333331</v>
      </c>
      <c r="KO68" s="60"/>
      <c r="KP68" s="60">
        <f>1/KT64</f>
        <v>0.33333333333333331</v>
      </c>
      <c r="KQ68" s="60"/>
      <c r="KR68" s="60">
        <f>1/KT66</f>
        <v>0.2</v>
      </c>
      <c r="KS68" s="60"/>
      <c r="KT68" s="62">
        <v>1</v>
      </c>
      <c r="KU68" s="62"/>
      <c r="LA68" s="46"/>
      <c r="LB68" s="46"/>
      <c r="LC68" s="46"/>
      <c r="LD68" s="46"/>
      <c r="LE68" s="46"/>
      <c r="LF68" s="46"/>
      <c r="LG68" s="46"/>
      <c r="LH68" s="46"/>
      <c r="LI68" s="46"/>
      <c r="LJ68" s="46"/>
      <c r="LK68" s="46"/>
      <c r="LL68" s="46"/>
      <c r="LM68" s="46"/>
      <c r="LN68" s="46"/>
      <c r="LO68" s="46"/>
      <c r="LP68" s="46"/>
      <c r="LS68" s="46"/>
      <c r="LT68" s="46"/>
      <c r="LU68" s="46"/>
      <c r="LV68" s="46"/>
      <c r="LW68" s="46"/>
      <c r="LX68" s="46"/>
      <c r="LY68" s="46"/>
      <c r="LZ68" s="46"/>
      <c r="MA68" s="46"/>
      <c r="MB68" s="46"/>
      <c r="MC68" s="46"/>
      <c r="MD68" s="46"/>
      <c r="ME68" s="46"/>
      <c r="MF68" s="46"/>
      <c r="MG68" s="46"/>
      <c r="MH68" s="46"/>
      <c r="MI68" s="46"/>
      <c r="MJ68" s="46"/>
      <c r="MK68" s="46"/>
      <c r="ML68" s="46"/>
      <c r="MM68" s="46"/>
      <c r="MN68" s="46"/>
      <c r="MO68" s="46"/>
      <c r="MP68" s="46"/>
      <c r="MQ68" s="46"/>
      <c r="MR68" s="46"/>
      <c r="MS68" s="46"/>
      <c r="MT68" s="46"/>
      <c r="MU68" s="46"/>
      <c r="MV68" s="46"/>
      <c r="MW68" s="46"/>
      <c r="MX68" s="46"/>
      <c r="MY68" s="46"/>
      <c r="MZ68" s="46"/>
      <c r="NA68" s="46"/>
      <c r="NB68" s="46"/>
      <c r="NC68" s="46"/>
      <c r="ND68" s="46"/>
      <c r="NE68" s="46"/>
      <c r="NF68" s="46"/>
      <c r="NG68" s="46"/>
      <c r="NH68" s="47"/>
      <c r="NI68" s="47"/>
      <c r="NJ68" s="47"/>
      <c r="NK68" s="47"/>
      <c r="NL68" s="47"/>
      <c r="NM68" s="47"/>
      <c r="NN68" s="47"/>
      <c r="NO68" s="47"/>
      <c r="NP68" s="47"/>
      <c r="NQ68" s="47"/>
    </row>
    <row r="69" spans="3:381" ht="15" customHeight="1" x14ac:dyDescent="0.35">
      <c r="C69" s="67"/>
      <c r="D69" s="67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77"/>
      <c r="R69" s="70"/>
      <c r="S69" s="53"/>
      <c r="T69" s="46"/>
      <c r="X69" s="67"/>
      <c r="Y69" s="67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77"/>
      <c r="AM69" s="70"/>
      <c r="AN69" s="53"/>
      <c r="AO69" s="46"/>
      <c r="AS69" s="67"/>
      <c r="AT69" s="67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77"/>
      <c r="BH69" s="70"/>
      <c r="BI69" s="53"/>
      <c r="BJ69" s="46"/>
      <c r="BN69" s="67"/>
      <c r="BO69" s="67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2"/>
      <c r="CC69" s="62"/>
      <c r="CK69" s="67"/>
      <c r="CL69" s="67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2"/>
      <c r="CZ69" s="62"/>
      <c r="DF69" s="67"/>
      <c r="DG69" s="67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2"/>
      <c r="DU69" s="62"/>
      <c r="EC69" s="67"/>
      <c r="ED69" s="67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2"/>
      <c r="ER69" s="62"/>
      <c r="EY69" s="67"/>
      <c r="EZ69" s="67"/>
      <c r="FA69" s="60"/>
      <c r="FB69" s="60"/>
      <c r="FC69" s="60"/>
      <c r="FD69" s="60"/>
      <c r="FE69" s="60"/>
      <c r="FF69" s="60"/>
      <c r="FG69" s="60"/>
      <c r="FH69" s="60"/>
      <c r="FI69" s="60"/>
      <c r="FJ69" s="60"/>
      <c r="FK69" s="60"/>
      <c r="FL69" s="60"/>
      <c r="FM69" s="77"/>
      <c r="FN69" s="70"/>
      <c r="FO69" s="74"/>
      <c r="FP69" s="69"/>
      <c r="FV69" s="67"/>
      <c r="FW69" s="67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77"/>
      <c r="GK69" s="70"/>
      <c r="GL69" s="74"/>
      <c r="GM69" s="69"/>
      <c r="GR69" s="67"/>
      <c r="GS69" s="67"/>
      <c r="GT69" s="60"/>
      <c r="GU69" s="60"/>
      <c r="GV69" s="60"/>
      <c r="GW69" s="60"/>
      <c r="GX69" s="60"/>
      <c r="GY69" s="60"/>
      <c r="GZ69" s="60"/>
      <c r="HA69" s="60"/>
      <c r="HB69" s="60"/>
      <c r="HC69" s="60"/>
      <c r="HD69" s="60"/>
      <c r="HE69" s="60"/>
      <c r="HF69" s="62"/>
      <c r="HG69" s="62"/>
      <c r="HN69" s="67"/>
      <c r="HO69" s="67"/>
      <c r="HP69" s="60"/>
      <c r="HQ69" s="60"/>
      <c r="HR69" s="60"/>
      <c r="HS69" s="60"/>
      <c r="HT69" s="60"/>
      <c r="HU69" s="60"/>
      <c r="HV69" s="60"/>
      <c r="HW69" s="60"/>
      <c r="HX69" s="60"/>
      <c r="HY69" s="60"/>
      <c r="HZ69" s="60"/>
      <c r="IA69" s="60"/>
      <c r="IB69" s="72"/>
      <c r="IC69" s="73"/>
      <c r="IK69" s="67"/>
      <c r="IL69" s="67"/>
      <c r="IM69" s="60"/>
      <c r="IN69" s="60"/>
      <c r="IO69" s="60"/>
      <c r="IP69" s="60"/>
      <c r="IQ69" s="60"/>
      <c r="IR69" s="60"/>
      <c r="IS69" s="60"/>
      <c r="IT69" s="60"/>
      <c r="IU69" s="60"/>
      <c r="IV69" s="60"/>
      <c r="IW69" s="60"/>
      <c r="IX69" s="60"/>
      <c r="IY69" s="62"/>
      <c r="IZ69" s="62"/>
      <c r="JI69" s="67"/>
      <c r="JJ69" s="67"/>
      <c r="JK69" s="60"/>
      <c r="JL69" s="60"/>
      <c r="JM69" s="60"/>
      <c r="JN69" s="60"/>
      <c r="JO69" s="60"/>
      <c r="JP69" s="60"/>
      <c r="JQ69" s="60"/>
      <c r="JR69" s="60"/>
      <c r="JS69" s="60"/>
      <c r="JT69" s="60"/>
      <c r="JU69" s="60"/>
      <c r="JV69" s="60"/>
      <c r="JW69" s="62"/>
      <c r="JX69" s="62"/>
      <c r="KF69" s="67"/>
      <c r="KG69" s="67"/>
      <c r="KH69" s="60"/>
      <c r="KI69" s="60"/>
      <c r="KJ69" s="60"/>
      <c r="KK69" s="60"/>
      <c r="KL69" s="60"/>
      <c r="KM69" s="60"/>
      <c r="KN69" s="60"/>
      <c r="KO69" s="60"/>
      <c r="KP69" s="60"/>
      <c r="KQ69" s="60"/>
      <c r="KR69" s="60"/>
      <c r="KS69" s="60"/>
      <c r="KT69" s="62"/>
      <c r="KU69" s="62"/>
      <c r="LA69" s="46"/>
      <c r="LB69" s="46"/>
      <c r="LC69" s="46"/>
      <c r="LD69" s="46"/>
      <c r="LE69" s="46"/>
      <c r="LF69" s="46"/>
      <c r="LG69" s="46"/>
      <c r="LH69" s="46"/>
      <c r="LI69" s="46"/>
      <c r="LJ69" s="46"/>
      <c r="LK69" s="46"/>
      <c r="LL69" s="46"/>
      <c r="LM69" s="46"/>
      <c r="LN69" s="46"/>
      <c r="LO69" s="46"/>
      <c r="LP69" s="46"/>
      <c r="LS69" s="46"/>
      <c r="LT69" s="46"/>
      <c r="LU69" s="46"/>
      <c r="LV69" s="46"/>
      <c r="LW69" s="46"/>
      <c r="LX69" s="46"/>
      <c r="LY69" s="46"/>
      <c r="LZ69" s="46"/>
      <c r="MA69" s="46"/>
      <c r="MB69" s="46"/>
      <c r="MC69" s="46"/>
      <c r="MD69" s="46"/>
      <c r="ME69" s="46"/>
      <c r="MF69" s="46"/>
      <c r="MG69" s="46"/>
      <c r="MH69" s="46"/>
      <c r="MI69" s="46"/>
      <c r="MJ69" s="46"/>
      <c r="MK69" s="46"/>
      <c r="ML69" s="46"/>
      <c r="MM69" s="46"/>
      <c r="MN69" s="46"/>
      <c r="MO69" s="46"/>
      <c r="MP69" s="46"/>
      <c r="MQ69" s="46"/>
      <c r="MR69" s="46"/>
      <c r="MS69" s="46"/>
      <c r="MT69" s="46"/>
      <c r="MU69" s="46"/>
      <c r="MV69" s="46"/>
      <c r="MW69" s="46"/>
      <c r="MX69" s="46"/>
      <c r="MY69" s="46"/>
      <c r="MZ69" s="46"/>
      <c r="NA69" s="46"/>
      <c r="NB69" s="46"/>
      <c r="NC69" s="46"/>
      <c r="ND69" s="46"/>
      <c r="NE69" s="46"/>
      <c r="NF69" s="46"/>
      <c r="NG69" s="46"/>
      <c r="NH69" s="47"/>
      <c r="NI69" s="47"/>
      <c r="NJ69" s="47"/>
      <c r="NK69" s="47"/>
      <c r="NL69" s="47"/>
      <c r="NM69" s="47"/>
      <c r="NN69" s="47"/>
      <c r="NO69" s="47"/>
      <c r="NP69" s="47"/>
      <c r="NQ69" s="47"/>
    </row>
    <row r="70" spans="3:381" x14ac:dyDescent="0.35"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46"/>
      <c r="T70" s="46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69"/>
      <c r="AO70" s="69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9"/>
      <c r="BJ70" s="69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EC70" s="68"/>
      <c r="ED70" s="68"/>
      <c r="EE70" s="68"/>
      <c r="EF70" s="68"/>
      <c r="EG70" s="68"/>
      <c r="EH70" s="68"/>
      <c r="EI70" s="68"/>
      <c r="EJ70" s="68"/>
      <c r="EK70" s="68"/>
      <c r="EL70" s="68"/>
      <c r="EM70" s="68"/>
      <c r="EN70" s="68"/>
      <c r="EO70" s="68"/>
      <c r="EP70" s="68"/>
      <c r="EQ70" s="68"/>
      <c r="ER70" s="68"/>
      <c r="EY70" s="68"/>
      <c r="EZ70" s="68"/>
      <c r="FA70" s="68"/>
      <c r="FB70" s="68"/>
      <c r="FC70" s="68"/>
      <c r="FD70" s="68"/>
      <c r="FE70" s="68"/>
      <c r="FF70" s="68"/>
      <c r="FG70" s="68"/>
      <c r="FH70" s="68"/>
      <c r="FI70" s="68"/>
      <c r="FJ70" s="68"/>
      <c r="FK70" s="68"/>
      <c r="FL70" s="68"/>
      <c r="FM70" s="68"/>
      <c r="FN70" s="68"/>
      <c r="FO70" s="69"/>
      <c r="FP70" s="69"/>
      <c r="FV70" s="68"/>
      <c r="FW70" s="68"/>
      <c r="FX70" s="68"/>
      <c r="FY70" s="68"/>
      <c r="FZ70" s="68"/>
      <c r="GA70" s="68"/>
      <c r="GB70" s="68"/>
      <c r="GC70" s="68"/>
      <c r="GD70" s="68"/>
      <c r="GE70" s="68"/>
      <c r="GF70" s="68"/>
      <c r="GG70" s="68"/>
      <c r="GH70" s="68"/>
      <c r="GI70" s="68"/>
      <c r="GJ70" s="68"/>
      <c r="GK70" s="68"/>
      <c r="GL70" s="69"/>
      <c r="GM70" s="69"/>
      <c r="GR70" s="68"/>
      <c r="GS70" s="68"/>
      <c r="GT70" s="68"/>
      <c r="GU70" s="68"/>
      <c r="GV70" s="68"/>
      <c r="GW70" s="68"/>
      <c r="GX70" s="68"/>
      <c r="GY70" s="68"/>
      <c r="GZ70" s="68"/>
      <c r="HA70" s="68"/>
      <c r="HB70" s="68"/>
      <c r="HC70" s="68"/>
      <c r="HD70" s="68"/>
      <c r="HE70" s="68"/>
      <c r="HF70" s="68"/>
      <c r="HG70" s="68"/>
      <c r="HN70" s="68"/>
      <c r="HO70" s="68"/>
      <c r="HP70" s="68"/>
      <c r="HQ70" s="68"/>
      <c r="HR70" s="68"/>
      <c r="HS70" s="68"/>
      <c r="HT70" s="68"/>
      <c r="HU70" s="68"/>
      <c r="HV70" s="68"/>
      <c r="HW70" s="68"/>
      <c r="HX70" s="68"/>
      <c r="HY70" s="68"/>
      <c r="HZ70" s="68"/>
      <c r="IA70" s="68"/>
      <c r="IB70" s="68"/>
      <c r="IC70" s="68"/>
      <c r="IK70" s="68"/>
      <c r="IL70" s="68"/>
      <c r="IM70" s="68"/>
      <c r="IN70" s="68"/>
      <c r="IO70" s="68"/>
      <c r="IP70" s="68"/>
      <c r="IQ70" s="68"/>
      <c r="IR70" s="68"/>
      <c r="IS70" s="68"/>
      <c r="IT70" s="68"/>
      <c r="IU70" s="68"/>
      <c r="IV70" s="68"/>
      <c r="IW70" s="68"/>
      <c r="IX70" s="68"/>
      <c r="IY70" s="68"/>
      <c r="IZ70" s="68"/>
      <c r="JI70" s="68"/>
      <c r="JJ70" s="68"/>
      <c r="JK70" s="68"/>
      <c r="JL70" s="68"/>
      <c r="JM70" s="68"/>
      <c r="JN70" s="68"/>
      <c r="JO70" s="68"/>
      <c r="JP70" s="68"/>
      <c r="JQ70" s="68"/>
      <c r="JR70" s="68"/>
      <c r="JS70" s="68"/>
      <c r="JT70" s="68"/>
      <c r="JU70" s="68"/>
      <c r="JV70" s="68"/>
      <c r="JW70" s="68"/>
      <c r="JX70" s="68"/>
      <c r="KF70" s="68"/>
      <c r="KG70" s="68"/>
      <c r="KH70" s="68"/>
      <c r="KI70" s="68"/>
      <c r="KJ70" s="68"/>
      <c r="KK70" s="68"/>
      <c r="KL70" s="68"/>
      <c r="KM70" s="68"/>
      <c r="KN70" s="68"/>
      <c r="KO70" s="68"/>
      <c r="KP70" s="68"/>
      <c r="KQ70" s="68"/>
      <c r="KR70" s="68"/>
      <c r="KS70" s="68"/>
      <c r="KT70" s="68"/>
      <c r="KU70" s="68"/>
      <c r="LA70" s="69"/>
      <c r="LB70" s="69"/>
      <c r="LC70" s="69"/>
      <c r="LD70" s="69"/>
      <c r="LE70" s="69"/>
      <c r="LF70" s="69"/>
      <c r="LG70" s="69"/>
      <c r="LH70" s="69"/>
      <c r="LI70" s="69"/>
      <c r="LJ70" s="69"/>
      <c r="LK70" s="69"/>
      <c r="LL70" s="69"/>
      <c r="LM70" s="69"/>
      <c r="LN70" s="69"/>
      <c r="LO70" s="69"/>
      <c r="LP70" s="69"/>
      <c r="LS70" s="46"/>
      <c r="LT70" s="46"/>
      <c r="LU70" s="46"/>
      <c r="LV70" s="46"/>
      <c r="LW70" s="46"/>
      <c r="LX70" s="46"/>
      <c r="LY70" s="46"/>
      <c r="LZ70" s="46"/>
      <c r="MA70" s="46"/>
      <c r="MB70" s="46"/>
      <c r="MC70" s="46"/>
      <c r="MD70" s="46"/>
      <c r="ME70" s="46"/>
      <c r="MF70" s="46"/>
      <c r="MG70" s="46"/>
      <c r="MH70" s="46"/>
      <c r="MI70" s="46"/>
      <c r="MJ70" s="46"/>
      <c r="MK70" s="46"/>
      <c r="ML70" s="46"/>
      <c r="MM70" s="46"/>
      <c r="MN70" s="46"/>
      <c r="MO70" s="46"/>
      <c r="MP70" s="46"/>
      <c r="MQ70" s="46"/>
      <c r="MR70" s="46"/>
      <c r="MS70" s="46"/>
      <c r="MT70" s="46"/>
      <c r="MU70" s="46"/>
      <c r="MV70" s="46"/>
      <c r="MW70" s="46"/>
      <c r="MX70" s="46"/>
      <c r="MY70" s="46"/>
      <c r="MZ70" s="46"/>
      <c r="NA70" s="46"/>
      <c r="NB70" s="46"/>
      <c r="NC70" s="46"/>
      <c r="ND70" s="46"/>
      <c r="NE70" s="46"/>
      <c r="NF70" s="46"/>
      <c r="NG70" s="46"/>
      <c r="NH70" s="47"/>
      <c r="NI70" s="47"/>
      <c r="NJ70" s="47"/>
      <c r="NK70" s="47"/>
      <c r="NL70" s="47"/>
      <c r="NM70" s="47"/>
      <c r="NN70" s="47"/>
      <c r="NO70" s="47"/>
      <c r="NP70" s="47"/>
      <c r="NQ70" s="47"/>
    </row>
    <row r="71" spans="3:381" ht="15" customHeight="1" x14ac:dyDescent="0.35"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69"/>
      <c r="AO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K71" s="69"/>
      <c r="CL71" s="69"/>
      <c r="CM71" s="69"/>
      <c r="CN71" s="69"/>
      <c r="CO71" s="69"/>
      <c r="CP71" s="69"/>
      <c r="CQ71" s="69"/>
      <c r="CR71" s="69"/>
      <c r="CS71" s="69"/>
      <c r="CT71" s="69"/>
      <c r="CU71" s="69"/>
      <c r="CV71" s="69"/>
      <c r="CW71" s="69"/>
      <c r="CX71" s="69"/>
      <c r="CY71" s="69"/>
      <c r="CZ71" s="69"/>
      <c r="DF71" s="69"/>
      <c r="DG71" s="69"/>
      <c r="DH71" s="69"/>
      <c r="DI71" s="69"/>
      <c r="DJ71" s="69"/>
      <c r="DK71" s="69"/>
      <c r="DL71" s="69"/>
      <c r="DM71" s="69"/>
      <c r="DN71" s="69"/>
      <c r="DO71" s="69"/>
      <c r="DP71" s="69"/>
      <c r="DQ71" s="69"/>
      <c r="DR71" s="69"/>
      <c r="DS71" s="69"/>
      <c r="DT71" s="69"/>
      <c r="DU71" s="69"/>
      <c r="EC71" s="69"/>
      <c r="ED71" s="69"/>
      <c r="EE71" s="69"/>
      <c r="EF71" s="69"/>
      <c r="EG71" s="69"/>
      <c r="EH71" s="69"/>
      <c r="EI71" s="69"/>
      <c r="EJ71" s="69"/>
      <c r="EK71" s="69"/>
      <c r="EL71" s="69"/>
      <c r="EM71" s="69"/>
      <c r="EN71" s="69"/>
      <c r="EO71" s="69"/>
      <c r="EP71" s="69"/>
      <c r="EQ71" s="69"/>
      <c r="ER71" s="69"/>
      <c r="EY71" s="69"/>
      <c r="EZ71" s="69"/>
      <c r="FA71" s="69"/>
      <c r="FB71" s="69"/>
      <c r="FC71" s="69"/>
      <c r="FD71" s="69"/>
      <c r="FE71" s="69"/>
      <c r="FF71" s="69"/>
      <c r="FG71" s="69"/>
      <c r="FH71" s="69"/>
      <c r="FI71" s="69"/>
      <c r="FJ71" s="69"/>
      <c r="FK71" s="69"/>
      <c r="FL71" s="69"/>
      <c r="FM71" s="69"/>
      <c r="FN71" s="69"/>
      <c r="FO71" s="69"/>
      <c r="FP71" s="69"/>
      <c r="FV71" s="69"/>
      <c r="FW71" s="69"/>
      <c r="FX71" s="69"/>
      <c r="FY71" s="69"/>
      <c r="FZ71" s="69"/>
      <c r="GA71" s="69"/>
      <c r="GB71" s="69"/>
      <c r="GC71" s="69"/>
      <c r="GD71" s="69"/>
      <c r="GE71" s="69"/>
      <c r="GF71" s="69"/>
      <c r="GG71" s="69"/>
      <c r="GH71" s="69"/>
      <c r="GI71" s="69"/>
      <c r="GJ71" s="69"/>
      <c r="GK71" s="69"/>
      <c r="GL71" s="69"/>
      <c r="GM71" s="69"/>
      <c r="GR71" s="69"/>
      <c r="GS71" s="69"/>
      <c r="GT71" s="69"/>
      <c r="GU71" s="69"/>
      <c r="GV71" s="69"/>
      <c r="GW71" s="69"/>
      <c r="GX71" s="69"/>
      <c r="GY71" s="69"/>
      <c r="GZ71" s="69"/>
      <c r="HA71" s="69"/>
      <c r="HB71" s="69"/>
      <c r="HC71" s="69"/>
      <c r="HD71" s="69"/>
      <c r="HE71" s="69"/>
      <c r="HF71" s="69"/>
      <c r="HG71" s="69"/>
      <c r="HN71" s="69"/>
      <c r="HO71" s="69"/>
      <c r="HP71" s="69"/>
      <c r="HQ71" s="69"/>
      <c r="HR71" s="69"/>
      <c r="HS71" s="69"/>
      <c r="HT71" s="69"/>
      <c r="HU71" s="69"/>
      <c r="HV71" s="69"/>
      <c r="HW71" s="69"/>
      <c r="HX71" s="69"/>
      <c r="HY71" s="69"/>
      <c r="HZ71" s="69"/>
      <c r="IA71" s="69"/>
      <c r="IB71" s="69"/>
      <c r="IC71" s="69"/>
      <c r="IK71" s="69"/>
      <c r="IL71" s="69"/>
      <c r="IM71" s="69"/>
      <c r="IN71" s="69"/>
      <c r="IO71" s="69"/>
      <c r="IP71" s="69"/>
      <c r="IQ71" s="69"/>
      <c r="IR71" s="69"/>
      <c r="IS71" s="69"/>
      <c r="IT71" s="69"/>
      <c r="IU71" s="69"/>
      <c r="IV71" s="69"/>
      <c r="IW71" s="69"/>
      <c r="IX71" s="69"/>
      <c r="IY71" s="69"/>
      <c r="IZ71" s="69"/>
      <c r="JI71" s="69"/>
      <c r="JJ71" s="69"/>
      <c r="JK71" s="69"/>
      <c r="JL71" s="69"/>
      <c r="JM71" s="69"/>
      <c r="JN71" s="69"/>
      <c r="JO71" s="69"/>
      <c r="JP71" s="69"/>
      <c r="JQ71" s="69"/>
      <c r="JR71" s="69"/>
      <c r="JS71" s="69"/>
      <c r="JT71" s="69"/>
      <c r="JU71" s="69"/>
      <c r="JV71" s="69"/>
      <c r="JW71" s="69"/>
      <c r="JX71" s="69"/>
      <c r="KF71" s="69"/>
      <c r="KG71" s="69"/>
      <c r="KH71" s="69"/>
      <c r="KI71" s="69"/>
      <c r="KJ71" s="69"/>
      <c r="KK71" s="69"/>
      <c r="KL71" s="69"/>
      <c r="KM71" s="69"/>
      <c r="KN71" s="69"/>
      <c r="KO71" s="69"/>
      <c r="KP71" s="69"/>
      <c r="KQ71" s="69"/>
      <c r="KR71" s="69"/>
      <c r="KS71" s="69"/>
      <c r="KT71" s="69"/>
      <c r="KU71" s="69"/>
      <c r="LA71" s="69"/>
      <c r="LB71" s="69"/>
      <c r="LC71" s="69"/>
      <c r="LD71" s="69"/>
      <c r="LE71" s="69"/>
      <c r="LF71" s="69"/>
      <c r="LG71" s="69"/>
      <c r="LH71" s="69"/>
      <c r="LI71" s="69"/>
      <c r="LJ71" s="69"/>
      <c r="LK71" s="69"/>
      <c r="LL71" s="69"/>
      <c r="LM71" s="69"/>
      <c r="LN71" s="69"/>
      <c r="LO71" s="69"/>
      <c r="LP71" s="69"/>
      <c r="LS71" s="46"/>
      <c r="LT71" s="46"/>
      <c r="LU71" s="46"/>
      <c r="LV71" s="46"/>
      <c r="LW71" s="46"/>
      <c r="LX71" s="46"/>
      <c r="LY71" s="46"/>
      <c r="LZ71" s="46"/>
      <c r="MA71" s="46"/>
      <c r="MB71" s="46"/>
      <c r="MC71" s="46"/>
      <c r="MD71" s="46"/>
      <c r="ME71" s="46"/>
      <c r="MF71" s="46"/>
      <c r="MG71" s="46"/>
      <c r="MH71" s="46"/>
      <c r="MI71" s="46"/>
      <c r="MJ71" s="46"/>
      <c r="MK71" s="46"/>
      <c r="ML71" s="46"/>
      <c r="MM71" s="46"/>
      <c r="MN71" s="46"/>
      <c r="MO71" s="46"/>
      <c r="MP71" s="46"/>
      <c r="MQ71" s="46"/>
      <c r="MR71" s="46"/>
      <c r="MS71" s="46"/>
      <c r="MT71" s="46"/>
      <c r="MU71" s="46"/>
      <c r="MV71" s="46"/>
      <c r="MW71" s="46"/>
      <c r="MX71" s="46"/>
      <c r="MY71" s="46"/>
      <c r="MZ71" s="46"/>
      <c r="NA71" s="46"/>
      <c r="NB71" s="46"/>
      <c r="NC71" s="46"/>
      <c r="ND71" s="46"/>
      <c r="NE71" s="46"/>
      <c r="NF71" s="46"/>
      <c r="NG71" s="46"/>
      <c r="NH71" s="47"/>
      <c r="NI71" s="47"/>
      <c r="NJ71" s="47"/>
      <c r="NK71" s="47"/>
      <c r="NL71" s="47"/>
      <c r="NM71" s="47"/>
      <c r="NN71" s="47"/>
      <c r="NO71" s="47"/>
      <c r="NP71" s="47"/>
      <c r="NQ71" s="47"/>
    </row>
    <row r="72" spans="3:381" x14ac:dyDescent="0.35">
      <c r="C72" s="60"/>
      <c r="D72" s="60"/>
      <c r="E72" s="60" t="s">
        <v>11</v>
      </c>
      <c r="F72" s="60"/>
      <c r="G72" s="60" t="s">
        <v>81</v>
      </c>
      <c r="H72" s="60"/>
      <c r="I72" s="60" t="s">
        <v>27</v>
      </c>
      <c r="J72" s="60"/>
      <c r="K72" s="60" t="s">
        <v>87</v>
      </c>
      <c r="L72" s="60"/>
      <c r="M72" s="60" t="s">
        <v>90</v>
      </c>
      <c r="N72" s="60"/>
      <c r="O72" s="60" t="s">
        <v>89</v>
      </c>
      <c r="P72" s="60"/>
      <c r="Q72" s="60" t="s">
        <v>91</v>
      </c>
      <c r="R72" s="60"/>
      <c r="X72" s="60"/>
      <c r="Y72" s="60"/>
      <c r="Z72" s="60" t="s">
        <v>11</v>
      </c>
      <c r="AA72" s="60"/>
      <c r="AB72" s="60" t="s">
        <v>81</v>
      </c>
      <c r="AC72" s="60"/>
      <c r="AD72" s="60" t="s">
        <v>27</v>
      </c>
      <c r="AE72" s="60"/>
      <c r="AF72" s="60" t="s">
        <v>87</v>
      </c>
      <c r="AG72" s="60"/>
      <c r="AH72" s="60" t="s">
        <v>90</v>
      </c>
      <c r="AI72" s="60"/>
      <c r="AJ72" s="60" t="s">
        <v>89</v>
      </c>
      <c r="AK72" s="60"/>
      <c r="AL72" s="60" t="s">
        <v>91</v>
      </c>
      <c r="AM72" s="60"/>
      <c r="AN72" s="62" t="s">
        <v>99</v>
      </c>
      <c r="AO72" s="62"/>
      <c r="AP72" s="62" t="s">
        <v>100</v>
      </c>
      <c r="AQ72" s="62"/>
      <c r="AR72" s="62" t="s">
        <v>105</v>
      </c>
      <c r="AS72" s="62"/>
      <c r="LS72" s="46"/>
      <c r="LT72" s="46"/>
      <c r="LU72" s="46"/>
      <c r="LV72" s="46"/>
      <c r="LW72" s="46"/>
      <c r="LX72" s="46"/>
      <c r="LY72" s="46"/>
      <c r="LZ72" s="46"/>
      <c r="MA72" s="46"/>
      <c r="MB72" s="46"/>
      <c r="MC72" s="46"/>
      <c r="MD72" s="46"/>
      <c r="ME72" s="46"/>
      <c r="MF72" s="46"/>
      <c r="MG72" s="46"/>
      <c r="MH72" s="46"/>
      <c r="MI72" s="46"/>
      <c r="MJ72" s="46"/>
      <c r="MK72" s="46"/>
      <c r="ML72" s="46"/>
      <c r="MM72" s="46"/>
      <c r="MN72" s="46"/>
      <c r="MO72" s="46"/>
      <c r="MP72" s="46"/>
      <c r="MQ72" s="46"/>
      <c r="MR72" s="46"/>
      <c r="MS72" s="46"/>
      <c r="MT72" s="46"/>
      <c r="MU72" s="46"/>
      <c r="MV72" s="46"/>
      <c r="MW72" s="46"/>
      <c r="MX72" s="46"/>
      <c r="MY72" s="46"/>
      <c r="MZ72" s="46"/>
      <c r="NA72" s="46"/>
      <c r="NB72" s="46"/>
      <c r="NC72" s="46"/>
      <c r="ND72" s="46"/>
      <c r="NE72" s="46"/>
      <c r="NF72" s="46"/>
      <c r="NG72" s="46"/>
      <c r="NH72" s="47"/>
      <c r="NI72" s="47"/>
      <c r="NJ72" s="47"/>
      <c r="NK72" s="47"/>
      <c r="NL72" s="47"/>
      <c r="NM72" s="47"/>
      <c r="NN72" s="47"/>
      <c r="NO72" s="47"/>
      <c r="NP72" s="47"/>
      <c r="NQ72" s="47"/>
    </row>
    <row r="73" spans="3:381" ht="15" customHeight="1" x14ac:dyDescent="0.35"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2"/>
      <c r="AO73" s="62"/>
      <c r="AP73" s="62"/>
      <c r="AQ73" s="62"/>
      <c r="AR73" s="62"/>
      <c r="AS73" s="62"/>
      <c r="LS73" s="46"/>
      <c r="LT73" s="46"/>
      <c r="LU73" s="46"/>
      <c r="LV73" s="46"/>
      <c r="LW73" s="46"/>
      <c r="LX73" s="46"/>
      <c r="LY73" s="46"/>
      <c r="LZ73" s="46"/>
      <c r="MA73" s="46"/>
      <c r="MB73" s="46"/>
      <c r="MC73" s="46"/>
      <c r="MD73" s="46"/>
      <c r="ME73" s="46"/>
      <c r="MF73" s="46"/>
      <c r="MG73" s="46"/>
      <c r="MH73" s="46"/>
      <c r="MI73" s="46"/>
      <c r="MJ73" s="46"/>
      <c r="MK73" s="46"/>
      <c r="ML73" s="46"/>
      <c r="MM73" s="46"/>
      <c r="MN73" s="46"/>
      <c r="MO73" s="46"/>
      <c r="MP73" s="46"/>
      <c r="MQ73" s="46"/>
      <c r="MR73" s="46"/>
      <c r="MS73" s="46"/>
      <c r="MT73" s="46"/>
      <c r="MU73" s="46"/>
      <c r="MV73" s="46"/>
      <c r="MW73" s="46"/>
      <c r="MX73" s="46"/>
      <c r="MY73" s="46"/>
      <c r="MZ73" s="46"/>
      <c r="NA73" s="46"/>
      <c r="NB73" s="46"/>
      <c r="NC73" s="46"/>
      <c r="ND73" s="46"/>
      <c r="NE73" s="46"/>
      <c r="NF73" s="46"/>
      <c r="NG73" s="46"/>
      <c r="NH73" s="47"/>
      <c r="NI73" s="47"/>
      <c r="NJ73" s="47"/>
      <c r="NK73" s="47"/>
      <c r="NL73" s="47"/>
      <c r="NM73" s="47"/>
      <c r="NN73" s="47"/>
      <c r="NO73" s="47"/>
      <c r="NP73" s="47"/>
      <c r="NQ73" s="47"/>
    </row>
    <row r="74" spans="3:381" x14ac:dyDescent="0.35">
      <c r="C74" s="60" t="s">
        <v>11</v>
      </c>
      <c r="D74" s="60"/>
      <c r="E74" s="87">
        <f>AVERAGE(E56,Z56,AU56,BP56,CM56,DH56,EE56,FA56,FX56,GT56,HP56,IM56,JK56,KH56,LC56)</f>
        <v>1</v>
      </c>
      <c r="F74" s="87"/>
      <c r="G74" s="87">
        <v>3</v>
      </c>
      <c r="H74" s="87"/>
      <c r="I74" s="87">
        <f>ROUND(AVERAGE(I56,AD56,AY56,BT56,CQ56,DL56,EI56,FE56,GB56,GX56,HT56,IQ56,JO56,KL56,LG56),0)</f>
        <v>4</v>
      </c>
      <c r="J74" s="87"/>
      <c r="K74" s="87">
        <v>4</v>
      </c>
      <c r="L74" s="87"/>
      <c r="M74" s="87">
        <v>9</v>
      </c>
      <c r="N74" s="87"/>
      <c r="O74" s="87">
        <v>7</v>
      </c>
      <c r="P74" s="87"/>
      <c r="Q74" s="87">
        <v>9</v>
      </c>
      <c r="R74" s="87"/>
      <c r="X74" s="60" t="s">
        <v>11</v>
      </c>
      <c r="Y74" s="60"/>
      <c r="Z74" s="95">
        <f>E74/$E$88</f>
        <v>0.45487364620938625</v>
      </c>
      <c r="AA74" s="95"/>
      <c r="AB74" s="95">
        <f>G74/$G$88</f>
        <v>0.56208178438661716</v>
      </c>
      <c r="AC74" s="95"/>
      <c r="AD74" s="95">
        <f>I74/$I$88</f>
        <v>0.38277511961722488</v>
      </c>
      <c r="AE74" s="95"/>
      <c r="AF74" s="95">
        <f>K74/$K$88</f>
        <v>0.40540540540540548</v>
      </c>
      <c r="AG74" s="95"/>
      <c r="AH74" s="95">
        <f>M74/$M$88</f>
        <v>0.31858407079646017</v>
      </c>
      <c r="AI74" s="95"/>
      <c r="AJ74" s="95">
        <f>O74/$O$88</f>
        <v>0.43076923076923079</v>
      </c>
      <c r="AK74" s="95"/>
      <c r="AL74" s="95">
        <f>Q74/$Q$88</f>
        <v>0.24324324324324326</v>
      </c>
      <c r="AM74" s="95"/>
      <c r="AN74" s="87">
        <f>SUM(Z74:AM75)</f>
        <v>2.7977325004275682</v>
      </c>
      <c r="AO74" s="87"/>
      <c r="AP74" s="94">
        <f>AN74/7</f>
        <v>0.39967607148965262</v>
      </c>
      <c r="AQ74" s="94"/>
      <c r="AR74" s="94">
        <f>AP74*E88</f>
        <v>0.87865295081455386</v>
      </c>
      <c r="AS74" s="94"/>
      <c r="AU74" t="s">
        <v>101</v>
      </c>
      <c r="AV74">
        <f>(AR88-7)/(7-1)</f>
        <v>0.11797477420020419</v>
      </c>
      <c r="LS74" s="46"/>
      <c r="LT74" s="46"/>
      <c r="LU74" s="46"/>
      <c r="LV74" s="46"/>
      <c r="LW74" s="46"/>
      <c r="LX74" s="46"/>
      <c r="LY74" s="46"/>
      <c r="LZ74" s="46"/>
      <c r="MA74" s="46"/>
      <c r="MB74" s="46"/>
      <c r="MC74" s="46"/>
      <c r="MD74" s="46"/>
      <c r="ME74" s="46"/>
      <c r="MF74" s="46"/>
      <c r="MG74" s="46"/>
      <c r="MH74" s="46"/>
      <c r="MI74" s="46"/>
      <c r="MJ74" s="46"/>
      <c r="MK74" s="46"/>
      <c r="ML74" s="46"/>
      <c r="MM74" s="46"/>
      <c r="MN74" s="46"/>
      <c r="MO74" s="46"/>
      <c r="MP74" s="46"/>
      <c r="MQ74" s="46"/>
      <c r="MR74" s="46"/>
      <c r="MS74" s="46"/>
      <c r="MT74" s="46"/>
      <c r="MU74" s="46"/>
      <c r="MV74" s="46"/>
      <c r="MW74" s="46"/>
      <c r="MX74" s="46"/>
      <c r="MY74" s="46"/>
      <c r="MZ74" s="46"/>
      <c r="NA74" s="46"/>
      <c r="NB74" s="46"/>
      <c r="NC74" s="46"/>
      <c r="ND74" s="46"/>
      <c r="NE74" s="46"/>
      <c r="NF74" s="46"/>
      <c r="NG74" s="46"/>
      <c r="NH74" s="47"/>
      <c r="NI74" s="47"/>
      <c r="NJ74" s="47"/>
      <c r="NK74" s="47"/>
      <c r="NL74" s="47"/>
      <c r="NM74" s="47"/>
      <c r="NN74" s="47"/>
      <c r="NO74" s="47"/>
      <c r="NP74" s="47"/>
      <c r="NQ74" s="47"/>
    </row>
    <row r="75" spans="3:381" ht="15" customHeight="1" x14ac:dyDescent="0.35">
      <c r="C75" s="60"/>
      <c r="D75" s="60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X75" s="60"/>
      <c r="Y75" s="60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87"/>
      <c r="AO75" s="87"/>
      <c r="AP75" s="94"/>
      <c r="AQ75" s="94"/>
      <c r="AR75" s="94"/>
      <c r="AS75" s="94"/>
      <c r="AU75" t="s">
        <v>102</v>
      </c>
      <c r="AV75">
        <v>1.32</v>
      </c>
      <c r="LS75" s="46"/>
      <c r="LT75" s="46"/>
      <c r="LU75" s="46"/>
      <c r="LV75" s="46"/>
      <c r="LW75" s="46"/>
      <c r="LX75" s="46"/>
      <c r="LY75" s="46"/>
      <c r="LZ75" s="46"/>
      <c r="MA75" s="46"/>
      <c r="MB75" s="46"/>
      <c r="MC75" s="46"/>
      <c r="MD75" s="46"/>
      <c r="ME75" s="46"/>
      <c r="MF75" s="46"/>
      <c r="MG75" s="46"/>
      <c r="MH75" s="46"/>
      <c r="MI75" s="46"/>
      <c r="MJ75" s="46"/>
      <c r="MK75" s="46"/>
      <c r="ML75" s="46"/>
      <c r="MM75" s="46"/>
      <c r="MN75" s="46"/>
      <c r="MO75" s="46"/>
      <c r="MP75" s="46"/>
      <c r="MQ75" s="46"/>
      <c r="MR75" s="46"/>
      <c r="MS75" s="46"/>
      <c r="MT75" s="46"/>
      <c r="MU75" s="46"/>
      <c r="MV75" s="46"/>
      <c r="MW75" s="46"/>
      <c r="MX75" s="46"/>
      <c r="MY75" s="46"/>
      <c r="MZ75" s="46"/>
      <c r="NA75" s="46"/>
      <c r="NB75" s="46"/>
      <c r="NC75" s="46"/>
      <c r="ND75" s="46"/>
      <c r="NE75" s="46"/>
      <c r="NF75" s="46"/>
      <c r="NG75" s="46"/>
      <c r="NH75" s="47"/>
      <c r="NI75" s="47"/>
      <c r="NJ75" s="47"/>
      <c r="NK75" s="47"/>
      <c r="NL75" s="47"/>
      <c r="NM75" s="47"/>
      <c r="NN75" s="47"/>
      <c r="NO75" s="47"/>
      <c r="NP75" s="47"/>
      <c r="NQ75" s="47"/>
    </row>
    <row r="76" spans="3:381" ht="15" customHeight="1" x14ac:dyDescent="0.35">
      <c r="C76" s="60" t="s">
        <v>81</v>
      </c>
      <c r="D76" s="60"/>
      <c r="E76" s="60">
        <f>1/G74</f>
        <v>0.33333333333333331</v>
      </c>
      <c r="F76" s="60"/>
      <c r="G76" s="87">
        <f t="shared" ref="G76" si="101">AVERAGE(G58,AB58,AW58,BR58,CO58,DJ58,EG58,FC58,FZ58,GV58,HR58,IO58,JM58,KJ58,LE58)</f>
        <v>1</v>
      </c>
      <c r="H76" s="87"/>
      <c r="I76" s="87">
        <f>ROUND(AVERAGE(I58,AD58,AY58,BT58,CQ58,DL58,EI58,FE58,GB58,GX58,HT58,IQ58,JO58,KL58,LG58),0)</f>
        <v>4</v>
      </c>
      <c r="J76" s="87"/>
      <c r="K76" s="87">
        <v>2</v>
      </c>
      <c r="L76" s="87"/>
      <c r="M76" s="87">
        <f>ROUND(AVERAGE(M58,AH58,BC58,BX58,CU58,DP58,EM58,FI58,GF58,HB58,HX58,IU58,JS58,KP58,LK58),0)</f>
        <v>7</v>
      </c>
      <c r="N76" s="87"/>
      <c r="O76" s="87">
        <f>ROUND(AVERAGE(O58,AJ58,BE58,BZ58,CW58,DR58,EO58,FK58,GH58,HD58,HZ58,IW58,JU58,KR58,LM58),0)</f>
        <v>3</v>
      </c>
      <c r="P76" s="87"/>
      <c r="Q76" s="87">
        <v>9</v>
      </c>
      <c r="R76" s="87"/>
      <c r="X76" s="60" t="s">
        <v>81</v>
      </c>
      <c r="Y76" s="60"/>
      <c r="Z76" s="95">
        <f t="shared" ref="Z76" si="102">E76/$E$88</f>
        <v>0.15162454873646208</v>
      </c>
      <c r="AA76" s="95"/>
      <c r="AB76" s="95">
        <f t="shared" ref="AB76" si="103">G76/$G$88</f>
        <v>0.18736059479553904</v>
      </c>
      <c r="AC76" s="95"/>
      <c r="AD76" s="95">
        <f t="shared" ref="AD76" si="104">I76/$I$88</f>
        <v>0.38277511961722488</v>
      </c>
      <c r="AE76" s="95"/>
      <c r="AF76" s="95">
        <f t="shared" ref="AF76" si="105">K76/$K$88</f>
        <v>0.20270270270270274</v>
      </c>
      <c r="AG76" s="95"/>
      <c r="AH76" s="95">
        <f>M76/$M$88</f>
        <v>0.24778761061946902</v>
      </c>
      <c r="AI76" s="95"/>
      <c r="AJ76" s="95">
        <f t="shared" ref="AJ76" si="106">O76/$O$88</f>
        <v>0.18461538461538463</v>
      </c>
      <c r="AK76" s="95"/>
      <c r="AL76" s="95">
        <f t="shared" ref="AL76" si="107">Q76/$Q$88</f>
        <v>0.24324324324324326</v>
      </c>
      <c r="AM76" s="95"/>
      <c r="AN76" s="87">
        <f t="shared" ref="AN76" si="108">SUM(Z76:AM77)</f>
        <v>1.6001092043300256</v>
      </c>
      <c r="AO76" s="87"/>
      <c r="AP76" s="94">
        <f>AN76/7</f>
        <v>0.22858702919000365</v>
      </c>
      <c r="AQ76" s="94"/>
      <c r="AR76" s="94">
        <f>AP76*G88</f>
        <v>1.2200379137323607</v>
      </c>
      <c r="AS76" s="94"/>
      <c r="AU76" t="s">
        <v>103</v>
      </c>
      <c r="AV76">
        <f>AV74/AV75</f>
        <v>8.9374828939548623E-2</v>
      </c>
      <c r="LS76" s="46"/>
      <c r="LT76" s="46"/>
      <c r="LU76" s="46"/>
      <c r="LV76" s="46"/>
      <c r="LW76" s="46"/>
      <c r="LX76" s="46"/>
      <c r="LY76" s="46"/>
      <c r="LZ76" s="46"/>
      <c r="MA76" s="46"/>
      <c r="MB76" s="46"/>
      <c r="MC76" s="46"/>
      <c r="MD76" s="46"/>
      <c r="ME76" s="46"/>
      <c r="MF76" s="46"/>
      <c r="MG76" s="46"/>
      <c r="MH76" s="46"/>
      <c r="MI76" s="46"/>
      <c r="MJ76" s="46"/>
      <c r="MK76" s="46"/>
      <c r="ML76" s="46"/>
      <c r="MM76" s="46"/>
      <c r="MN76" s="46"/>
      <c r="MO76" s="46"/>
      <c r="MP76" s="46"/>
      <c r="MQ76" s="46"/>
      <c r="MR76" s="46"/>
      <c r="MS76" s="46"/>
      <c r="MT76" s="46"/>
      <c r="MU76" s="46"/>
      <c r="MV76" s="46"/>
      <c r="MW76" s="46"/>
      <c r="MX76" s="46"/>
      <c r="MY76" s="46"/>
      <c r="MZ76" s="46"/>
      <c r="NA76" s="46"/>
      <c r="NB76" s="46"/>
      <c r="NC76" s="46"/>
      <c r="ND76" s="46"/>
      <c r="NE76" s="46"/>
      <c r="NF76" s="46"/>
      <c r="NG76" s="46"/>
      <c r="NH76" s="47"/>
      <c r="NI76" s="47"/>
      <c r="NJ76" s="47"/>
      <c r="NK76" s="47"/>
      <c r="NL76" s="47"/>
      <c r="NM76" s="47"/>
      <c r="NN76" s="47"/>
      <c r="NO76" s="47"/>
      <c r="NP76" s="47"/>
      <c r="NQ76" s="47"/>
    </row>
    <row r="77" spans="3:381" ht="15" customHeight="1" x14ac:dyDescent="0.35">
      <c r="C77" s="60"/>
      <c r="D77" s="60"/>
      <c r="E77" s="60"/>
      <c r="F77" s="60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X77" s="60"/>
      <c r="Y77" s="60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87"/>
      <c r="AO77" s="87"/>
      <c r="AP77" s="94"/>
      <c r="AQ77" s="94"/>
      <c r="AR77" s="94"/>
      <c r="AS77" s="94"/>
      <c r="LS77" s="46"/>
      <c r="LT77" s="46"/>
      <c r="LU77" s="46"/>
      <c r="LV77" s="46"/>
      <c r="LW77" s="46"/>
      <c r="LX77" s="46"/>
      <c r="LY77" s="46"/>
      <c r="LZ77" s="46"/>
      <c r="MA77" s="46"/>
      <c r="MB77" s="46"/>
      <c r="MC77" s="46"/>
      <c r="MD77" s="46"/>
      <c r="ME77" s="46"/>
      <c r="MF77" s="46"/>
      <c r="MG77" s="46"/>
      <c r="MH77" s="46"/>
      <c r="MI77" s="46"/>
      <c r="MJ77" s="46"/>
      <c r="MK77" s="46"/>
      <c r="ML77" s="46"/>
      <c r="MM77" s="46"/>
      <c r="MN77" s="46"/>
      <c r="MO77" s="46"/>
      <c r="MP77" s="46"/>
      <c r="MQ77" s="46"/>
      <c r="MR77" s="46"/>
      <c r="MS77" s="46"/>
      <c r="MT77" s="46"/>
      <c r="MU77" s="46"/>
      <c r="MV77" s="46"/>
      <c r="MW77" s="46"/>
      <c r="MX77" s="46"/>
      <c r="MY77" s="46"/>
      <c r="MZ77" s="46"/>
      <c r="NA77" s="46"/>
      <c r="NB77" s="46"/>
      <c r="NC77" s="46"/>
      <c r="ND77" s="46"/>
      <c r="NE77" s="46"/>
      <c r="NF77" s="46"/>
      <c r="NG77" s="46"/>
      <c r="NH77" s="47"/>
      <c r="NI77" s="47"/>
      <c r="NJ77" s="47"/>
      <c r="NK77" s="47"/>
      <c r="NL77" s="47"/>
      <c r="NM77" s="47"/>
      <c r="NN77" s="47"/>
      <c r="NO77" s="47"/>
      <c r="NP77" s="47"/>
      <c r="NQ77" s="47"/>
    </row>
    <row r="78" spans="3:381" ht="15" customHeight="1" x14ac:dyDescent="0.35">
      <c r="C78" s="60" t="s">
        <v>27</v>
      </c>
      <c r="D78" s="60"/>
      <c r="E78" s="60">
        <f>1/I74</f>
        <v>0.25</v>
      </c>
      <c r="F78" s="60"/>
      <c r="G78" s="60">
        <f>1/I76</f>
        <v>0.25</v>
      </c>
      <c r="H78" s="60"/>
      <c r="I78" s="87">
        <f>ROUND(AVERAGE(I60,AD60,AY60,BT60,CQ60,DL60,EI60,FE60,GB60,GX60,HT60,IQ60,JO60,KL60,LG60),0)</f>
        <v>1</v>
      </c>
      <c r="J78" s="87"/>
      <c r="K78" s="87">
        <v>2</v>
      </c>
      <c r="L78" s="87"/>
      <c r="M78" s="87">
        <f>ROUND(AVERAGE(M60,AH60,BC60,BX60,CU60,DP60,EM60,FI60,GF60,HB60,HX60,IU60,JS60,KP60,LK60),0)</f>
        <v>4</v>
      </c>
      <c r="N78" s="87"/>
      <c r="O78" s="87">
        <f>ROUND(AVERAGE(O60,AJ60,BE60,BZ60,CW60,DR60,EO60,FK60,GH60,HD60,HZ60,IW60,JU60,KR60,LM60),0)</f>
        <v>2</v>
      </c>
      <c r="P78" s="87"/>
      <c r="Q78" s="87">
        <v>5</v>
      </c>
      <c r="R78" s="87"/>
      <c r="X78" s="60" t="s">
        <v>27</v>
      </c>
      <c r="Y78" s="60"/>
      <c r="Z78" s="95">
        <f t="shared" ref="Z78" si="109">E78/$E$88</f>
        <v>0.11371841155234656</v>
      </c>
      <c r="AA78" s="95"/>
      <c r="AB78" s="95">
        <f t="shared" ref="AB78" si="110">G78/$G$88</f>
        <v>4.6840148698884761E-2</v>
      </c>
      <c r="AC78" s="95"/>
      <c r="AD78" s="95">
        <f t="shared" ref="AD78" si="111">I78/$I$88</f>
        <v>9.569377990430622E-2</v>
      </c>
      <c r="AE78" s="95"/>
      <c r="AF78" s="95">
        <f t="shared" ref="AF78" si="112">K78/$K$88</f>
        <v>0.20270270270270274</v>
      </c>
      <c r="AG78" s="95"/>
      <c r="AH78" s="95">
        <f t="shared" ref="AH78" si="113">M78/$M$88</f>
        <v>0.1415929203539823</v>
      </c>
      <c r="AI78" s="95"/>
      <c r="AJ78" s="95">
        <f t="shared" ref="AJ78" si="114">O78/$O$88</f>
        <v>0.12307692307692308</v>
      </c>
      <c r="AK78" s="95"/>
      <c r="AL78" s="95">
        <f t="shared" ref="AL78" si="115">Q78/$Q$88</f>
        <v>0.13513513513513514</v>
      </c>
      <c r="AM78" s="95"/>
      <c r="AN78" s="87">
        <f>SUM(Z78:AM79)</f>
        <v>0.85876002142428076</v>
      </c>
      <c r="AO78" s="87"/>
      <c r="AP78" s="94">
        <f>AN78/7</f>
        <v>0.12268000306061154</v>
      </c>
      <c r="AQ78" s="94"/>
      <c r="AR78" s="94">
        <f>AP78*I88</f>
        <v>1.2820060319833906</v>
      </c>
      <c r="AS78" s="94"/>
      <c r="LS78" s="46"/>
      <c r="LT78" s="46"/>
      <c r="LU78" s="46"/>
      <c r="LV78" s="46"/>
      <c r="LW78" s="46"/>
      <c r="LX78" s="46"/>
      <c r="LY78" s="46"/>
      <c r="LZ78" s="46"/>
      <c r="MA78" s="46"/>
      <c r="MB78" s="46"/>
      <c r="MC78" s="46"/>
      <c r="MD78" s="46"/>
      <c r="ME78" s="46"/>
      <c r="MF78" s="46"/>
      <c r="MG78" s="46"/>
      <c r="MH78" s="46"/>
      <c r="MI78" s="46"/>
      <c r="MJ78" s="46"/>
      <c r="MK78" s="46"/>
      <c r="ML78" s="46"/>
      <c r="MM78" s="46"/>
      <c r="MN78" s="46"/>
      <c r="MO78" s="46"/>
      <c r="MP78" s="46"/>
      <c r="MQ78" s="46"/>
      <c r="MR78" s="46"/>
      <c r="MS78" s="46"/>
      <c r="MT78" s="46"/>
      <c r="MU78" s="46"/>
      <c r="MV78" s="46"/>
      <c r="MW78" s="46"/>
      <c r="MX78" s="46"/>
      <c r="MY78" s="46"/>
      <c r="MZ78" s="46"/>
      <c r="NA78" s="46"/>
      <c r="NB78" s="46"/>
      <c r="NC78" s="46"/>
      <c r="ND78" s="46"/>
      <c r="NE78" s="46"/>
      <c r="NF78" s="46"/>
      <c r="NG78" s="46"/>
      <c r="NH78" s="47"/>
      <c r="NI78" s="47"/>
      <c r="NJ78" s="47"/>
      <c r="NK78" s="47"/>
      <c r="NL78" s="47"/>
      <c r="NM78" s="47"/>
      <c r="NN78" s="47"/>
      <c r="NO78" s="47"/>
      <c r="NP78" s="47"/>
      <c r="NQ78" s="47"/>
    </row>
    <row r="79" spans="3:381" x14ac:dyDescent="0.35">
      <c r="C79" s="60"/>
      <c r="D79" s="60"/>
      <c r="E79" s="60"/>
      <c r="F79" s="60"/>
      <c r="G79" s="60"/>
      <c r="H79" s="60"/>
      <c r="I79" s="87"/>
      <c r="J79" s="87"/>
      <c r="K79" s="87"/>
      <c r="L79" s="87"/>
      <c r="M79" s="87"/>
      <c r="N79" s="87"/>
      <c r="O79" s="87"/>
      <c r="P79" s="87"/>
      <c r="Q79" s="87"/>
      <c r="R79" s="87"/>
      <c r="X79" s="60"/>
      <c r="Y79" s="60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87"/>
      <c r="AO79" s="87"/>
      <c r="AP79" s="94"/>
      <c r="AQ79" s="94"/>
      <c r="AR79" s="94"/>
      <c r="AS79" s="94"/>
      <c r="LS79" s="46"/>
      <c r="LT79" s="46"/>
      <c r="LU79" s="46"/>
      <c r="LV79" s="46"/>
      <c r="LW79" s="46"/>
      <c r="LX79" s="46"/>
      <c r="LY79" s="46"/>
      <c r="LZ79" s="46"/>
      <c r="MA79" s="46"/>
      <c r="MB79" s="46"/>
      <c r="MC79" s="46"/>
      <c r="MD79" s="46"/>
      <c r="ME79" s="46"/>
      <c r="MF79" s="46"/>
      <c r="MG79" s="46"/>
      <c r="MH79" s="46"/>
      <c r="MI79" s="46"/>
      <c r="MJ79" s="46"/>
      <c r="MK79" s="46"/>
      <c r="ML79" s="46"/>
      <c r="MM79" s="46"/>
      <c r="MN79" s="46"/>
      <c r="MO79" s="46"/>
      <c r="MP79" s="46"/>
      <c r="MQ79" s="46"/>
      <c r="MR79" s="46"/>
      <c r="MS79" s="46"/>
      <c r="MT79" s="46"/>
      <c r="MU79" s="46"/>
      <c r="MV79" s="46"/>
      <c r="MW79" s="46"/>
      <c r="MX79" s="46"/>
      <c r="MY79" s="46"/>
      <c r="MZ79" s="46"/>
      <c r="NA79" s="46"/>
      <c r="NB79" s="46"/>
      <c r="NC79" s="46"/>
      <c r="ND79" s="46"/>
      <c r="NE79" s="46"/>
      <c r="NF79" s="46"/>
      <c r="NG79" s="46"/>
      <c r="NH79" s="47"/>
      <c r="NI79" s="47"/>
      <c r="NJ79" s="47"/>
      <c r="NK79" s="47"/>
      <c r="NL79" s="47"/>
      <c r="NM79" s="47"/>
      <c r="NN79" s="47"/>
      <c r="NO79" s="47"/>
      <c r="NP79" s="47"/>
      <c r="NQ79" s="47"/>
    </row>
    <row r="80" spans="3:381" ht="15" customHeight="1" x14ac:dyDescent="0.35">
      <c r="C80" s="60" t="s">
        <v>87</v>
      </c>
      <c r="D80" s="60"/>
      <c r="E80" s="60">
        <f>1/K74</f>
        <v>0.25</v>
      </c>
      <c r="F80" s="60"/>
      <c r="G80" s="60">
        <f>1/K76</f>
        <v>0.5</v>
      </c>
      <c r="H80" s="60"/>
      <c r="I80" s="60">
        <f>1/K78</f>
        <v>0.5</v>
      </c>
      <c r="J80" s="60"/>
      <c r="K80" s="87">
        <f t="shared" ref="K80" si="116">AVERAGE(K62,AF62,BA62,BV62,CS62,DN62,EK62,FG62,GD62,GZ62,HV62,IS62,JQ62,KN62,LI62)</f>
        <v>1</v>
      </c>
      <c r="L80" s="87"/>
      <c r="M80" s="87">
        <f>ROUND(AVERAGE(M62,AH62,BC62,BX62,CU62,DP62,EM62,FI62,GF62,HB62,HX62,IU62,JS62,KP62,LK62),0)</f>
        <v>6</v>
      </c>
      <c r="N80" s="87"/>
      <c r="O80" s="87">
        <v>2</v>
      </c>
      <c r="P80" s="87"/>
      <c r="Q80" s="87">
        <v>5</v>
      </c>
      <c r="R80" s="87"/>
      <c r="X80" s="60" t="s">
        <v>87</v>
      </c>
      <c r="Y80" s="60"/>
      <c r="Z80" s="95">
        <f t="shared" ref="Z80" si="117">E80/$E$88</f>
        <v>0.11371841155234656</v>
      </c>
      <c r="AA80" s="95"/>
      <c r="AB80" s="95">
        <f t="shared" ref="AB80" si="118">G80/$G$88</f>
        <v>9.3680297397769521E-2</v>
      </c>
      <c r="AC80" s="95"/>
      <c r="AD80" s="95">
        <f t="shared" ref="AD80" si="119">I80/$I$88</f>
        <v>4.784688995215311E-2</v>
      </c>
      <c r="AE80" s="95"/>
      <c r="AF80" s="95">
        <f t="shared" ref="AF80" si="120">K80/$K$88</f>
        <v>0.10135135135135137</v>
      </c>
      <c r="AG80" s="95"/>
      <c r="AH80" s="95">
        <f t="shared" ref="AH80" si="121">M80/$M$88</f>
        <v>0.21238938053097345</v>
      </c>
      <c r="AI80" s="95"/>
      <c r="AJ80" s="95">
        <f t="shared" ref="AJ80" si="122">O80/$O$88</f>
        <v>0.12307692307692308</v>
      </c>
      <c r="AK80" s="95"/>
      <c r="AL80" s="95">
        <f t="shared" ref="AL80" si="123">Q80/$Q$88</f>
        <v>0.13513513513513514</v>
      </c>
      <c r="AM80" s="95"/>
      <c r="AN80" s="87">
        <f t="shared" ref="AN80" si="124">SUM(Z80:AM81)</f>
        <v>0.8271983889966521</v>
      </c>
      <c r="AO80" s="87"/>
      <c r="AP80" s="94">
        <f>AN80/7</f>
        <v>0.11817119842809316</v>
      </c>
      <c r="AQ80" s="94"/>
      <c r="AR80" s="94">
        <f>AP80*K88</f>
        <v>1.165955824490519</v>
      </c>
      <c r="AS80" s="94"/>
      <c r="LS80" s="46"/>
      <c r="LT80" s="46"/>
      <c r="LU80" s="46"/>
      <c r="LV80" s="46"/>
      <c r="LW80" s="46"/>
      <c r="LX80" s="46"/>
      <c r="LY80" s="46"/>
      <c r="LZ80" s="46"/>
      <c r="MA80" s="46"/>
      <c r="MB80" s="46"/>
      <c r="MC80" s="46"/>
      <c r="MD80" s="46"/>
      <c r="ME80" s="46"/>
      <c r="MF80" s="46"/>
      <c r="MG80" s="46"/>
      <c r="MH80" s="46"/>
      <c r="MI80" s="46"/>
      <c r="MJ80" s="46"/>
      <c r="MK80" s="46"/>
      <c r="ML80" s="46"/>
      <c r="MM80" s="46"/>
      <c r="MN80" s="46"/>
      <c r="MO80" s="46"/>
      <c r="MP80" s="46"/>
      <c r="MQ80" s="46"/>
      <c r="MR80" s="46"/>
      <c r="MS80" s="46"/>
      <c r="MT80" s="46"/>
      <c r="MU80" s="46"/>
      <c r="MV80" s="46"/>
      <c r="MW80" s="46"/>
      <c r="MX80" s="46"/>
      <c r="MY80" s="46"/>
      <c r="MZ80" s="46"/>
      <c r="NA80" s="46"/>
      <c r="NB80" s="46"/>
      <c r="NC80" s="46"/>
      <c r="ND80" s="46"/>
      <c r="NE80" s="46"/>
      <c r="NF80" s="46"/>
      <c r="NG80" s="46"/>
      <c r="NH80" s="47"/>
      <c r="NI80" s="47"/>
      <c r="NJ80" s="47"/>
      <c r="NK80" s="47"/>
      <c r="NL80" s="47"/>
      <c r="NM80" s="47"/>
      <c r="NN80" s="47"/>
      <c r="NO80" s="47"/>
      <c r="NP80" s="47"/>
      <c r="NQ80" s="47"/>
    </row>
    <row r="81" spans="3:381" x14ac:dyDescent="0.35">
      <c r="C81" s="60"/>
      <c r="D81" s="60"/>
      <c r="E81" s="60"/>
      <c r="F81" s="60"/>
      <c r="G81" s="60"/>
      <c r="H81" s="60"/>
      <c r="I81" s="60"/>
      <c r="J81" s="60"/>
      <c r="K81" s="87"/>
      <c r="L81" s="87"/>
      <c r="M81" s="87"/>
      <c r="N81" s="87"/>
      <c r="O81" s="87"/>
      <c r="P81" s="87"/>
      <c r="Q81" s="87"/>
      <c r="R81" s="87"/>
      <c r="X81" s="60"/>
      <c r="Y81" s="60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87"/>
      <c r="AO81" s="87"/>
      <c r="AP81" s="94"/>
      <c r="AQ81" s="94"/>
      <c r="AR81" s="94"/>
      <c r="AS81" s="94"/>
      <c r="LS81" s="46"/>
      <c r="LT81" s="46"/>
      <c r="LU81" s="46"/>
      <c r="LV81" s="46"/>
      <c r="LW81" s="46"/>
      <c r="LX81" s="46"/>
      <c r="LY81" s="46"/>
      <c r="LZ81" s="46"/>
      <c r="MA81" s="46"/>
      <c r="MB81" s="46"/>
      <c r="MC81" s="46"/>
      <c r="MD81" s="46"/>
      <c r="ME81" s="46"/>
      <c r="MF81" s="46"/>
      <c r="MG81" s="46"/>
      <c r="MH81" s="46"/>
      <c r="MI81" s="46"/>
      <c r="MJ81" s="46"/>
      <c r="MK81" s="46"/>
      <c r="ML81" s="46"/>
      <c r="MM81" s="46"/>
      <c r="MN81" s="46"/>
      <c r="MO81" s="46"/>
      <c r="MP81" s="46"/>
      <c r="MQ81" s="46"/>
      <c r="MR81" s="46"/>
      <c r="MS81" s="46"/>
      <c r="MT81" s="46"/>
      <c r="MU81" s="46"/>
      <c r="MV81" s="46"/>
      <c r="MW81" s="46"/>
      <c r="MX81" s="46"/>
      <c r="MY81" s="46"/>
      <c r="MZ81" s="46"/>
      <c r="NA81" s="46"/>
      <c r="NB81" s="46"/>
      <c r="NC81" s="46"/>
      <c r="ND81" s="46"/>
      <c r="NE81" s="46"/>
      <c r="NF81" s="46"/>
      <c r="NG81" s="46"/>
      <c r="NH81" s="47"/>
      <c r="NI81" s="47"/>
      <c r="NJ81" s="47"/>
      <c r="NK81" s="47"/>
      <c r="NL81" s="47"/>
      <c r="NM81" s="47"/>
      <c r="NN81" s="47"/>
      <c r="NO81" s="47"/>
      <c r="NP81" s="47"/>
      <c r="NQ81" s="47"/>
    </row>
    <row r="82" spans="3:381" ht="15" customHeight="1" x14ac:dyDescent="0.35">
      <c r="C82" s="60" t="s">
        <v>88</v>
      </c>
      <c r="D82" s="60"/>
      <c r="E82" s="60">
        <f>1/M74</f>
        <v>0.1111111111111111</v>
      </c>
      <c r="F82" s="60"/>
      <c r="G82" s="60">
        <f>1/M76</f>
        <v>0.14285714285714285</v>
      </c>
      <c r="H82" s="60"/>
      <c r="I82" s="60">
        <f>1/M78</f>
        <v>0.25</v>
      </c>
      <c r="J82" s="60"/>
      <c r="K82" s="60">
        <f>1/M80</f>
        <v>0.16666666666666666</v>
      </c>
      <c r="L82" s="60"/>
      <c r="M82" s="87">
        <f t="shared" ref="M82" si="125">AVERAGE(M64,AH64,BC64,BX64,CU64,DP64,EM64,FI64,GF64,HB64,HX64,IU64,JS64,KP64,LK64)</f>
        <v>1</v>
      </c>
      <c r="N82" s="87"/>
      <c r="O82" s="87">
        <v>1</v>
      </c>
      <c r="P82" s="87"/>
      <c r="Q82" s="87">
        <f>ROUND(AVERAGE(Q64,AL64,BG64,CB64,CY64,DT64,EQ64,FM64,GJ64,HF64,IB64,IY64,JW64,KT64,LO64),0)</f>
        <v>4</v>
      </c>
      <c r="R82" s="87"/>
      <c r="X82" s="60" t="s">
        <v>88</v>
      </c>
      <c r="Y82" s="60"/>
      <c r="Z82" s="95">
        <f t="shared" ref="Z82" si="126">E82/$E$88</f>
        <v>5.0541516245487354E-2</v>
      </c>
      <c r="AA82" s="95"/>
      <c r="AB82" s="95">
        <f t="shared" ref="AB82" si="127">G82/$G$88</f>
        <v>2.6765799256505577E-2</v>
      </c>
      <c r="AC82" s="95"/>
      <c r="AD82" s="95">
        <f t="shared" ref="AD82" si="128">I82/$I$88</f>
        <v>2.3923444976076555E-2</v>
      </c>
      <c r="AE82" s="95"/>
      <c r="AF82" s="95">
        <f t="shared" ref="AF82" si="129">K82/$K$88</f>
        <v>1.6891891891891893E-2</v>
      </c>
      <c r="AG82" s="95"/>
      <c r="AH82" s="95">
        <f t="shared" ref="AH82" si="130">M82/$M$88</f>
        <v>3.5398230088495575E-2</v>
      </c>
      <c r="AI82" s="95"/>
      <c r="AJ82" s="95">
        <f t="shared" ref="AJ82" si="131">O82/$O$88</f>
        <v>6.1538461538461542E-2</v>
      </c>
      <c r="AK82" s="95"/>
      <c r="AL82" s="95">
        <f>Q82/$Q$88</f>
        <v>0.10810810810810811</v>
      </c>
      <c r="AM82" s="95"/>
      <c r="AN82" s="87">
        <f>SUM(Z82:AM83)</f>
        <v>0.32316745210502662</v>
      </c>
      <c r="AO82" s="87"/>
      <c r="AP82" s="94">
        <f>AN82/7</f>
        <v>4.6166778872146659E-2</v>
      </c>
      <c r="AQ82" s="94"/>
      <c r="AR82" s="94">
        <f>AP82*M88</f>
        <v>1.3042115031381432</v>
      </c>
      <c r="AS82" s="94"/>
      <c r="LS82" s="46"/>
      <c r="LT82" s="46"/>
      <c r="LU82" s="46"/>
      <c r="LV82" s="46"/>
      <c r="LW82" s="46"/>
      <c r="LX82" s="46"/>
      <c r="LY82" s="46"/>
      <c r="LZ82" s="46"/>
      <c r="MA82" s="46"/>
      <c r="MB82" s="46"/>
      <c r="MC82" s="46"/>
      <c r="MD82" s="46"/>
      <c r="ME82" s="46"/>
      <c r="MF82" s="46"/>
      <c r="MG82" s="46"/>
      <c r="MH82" s="46"/>
      <c r="MI82" s="46"/>
      <c r="MJ82" s="46"/>
      <c r="MK82" s="46"/>
      <c r="ML82" s="46"/>
      <c r="MM82" s="46"/>
      <c r="MN82" s="46"/>
      <c r="MO82" s="46"/>
      <c r="MP82" s="46"/>
      <c r="MQ82" s="46"/>
      <c r="MR82" s="46"/>
      <c r="MS82" s="46"/>
      <c r="MT82" s="46"/>
      <c r="MU82" s="46"/>
      <c r="MV82" s="46"/>
      <c r="MW82" s="46"/>
      <c r="MX82" s="46"/>
      <c r="MY82" s="46"/>
      <c r="MZ82" s="46"/>
      <c r="NA82" s="46"/>
      <c r="NB82" s="46"/>
      <c r="NC82" s="46"/>
      <c r="ND82" s="46"/>
      <c r="NE82" s="46"/>
      <c r="NF82" s="46"/>
      <c r="NG82" s="46"/>
      <c r="NH82" s="47"/>
      <c r="NI82" s="47"/>
      <c r="NJ82" s="47"/>
      <c r="NK82" s="47"/>
      <c r="NL82" s="47"/>
      <c r="NM82" s="47"/>
      <c r="NN82" s="47"/>
      <c r="NO82" s="47"/>
      <c r="NP82" s="47"/>
      <c r="NQ82" s="47"/>
    </row>
    <row r="83" spans="3:381" x14ac:dyDescent="0.35"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87"/>
      <c r="N83" s="87"/>
      <c r="O83" s="87"/>
      <c r="P83" s="87"/>
      <c r="Q83" s="87"/>
      <c r="R83" s="87"/>
      <c r="X83" s="60"/>
      <c r="Y83" s="60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87"/>
      <c r="AO83" s="87"/>
      <c r="AP83" s="94"/>
      <c r="AQ83" s="94"/>
      <c r="AR83" s="94"/>
      <c r="AS83" s="94"/>
      <c r="LS83" s="46"/>
      <c r="LT83" s="46"/>
      <c r="LU83" s="46"/>
      <c r="LV83" s="46"/>
      <c r="LW83" s="46"/>
      <c r="LX83" s="46"/>
      <c r="LY83" s="46"/>
      <c r="LZ83" s="46"/>
      <c r="MA83" s="46"/>
      <c r="MB83" s="46"/>
      <c r="MC83" s="46"/>
      <c r="MD83" s="46"/>
      <c r="ME83" s="46"/>
      <c r="MF83" s="46"/>
      <c r="MG83" s="46"/>
      <c r="MH83" s="46"/>
      <c r="MI83" s="46"/>
      <c r="MJ83" s="46"/>
      <c r="MK83" s="46"/>
      <c r="ML83" s="46"/>
      <c r="MM83" s="46"/>
      <c r="MN83" s="46"/>
      <c r="MO83" s="46"/>
      <c r="MP83" s="46"/>
      <c r="MQ83" s="46"/>
      <c r="MR83" s="46"/>
      <c r="MS83" s="46"/>
      <c r="MT83" s="46"/>
      <c r="MU83" s="46"/>
      <c r="MV83" s="46"/>
      <c r="MW83" s="46"/>
      <c r="MX83" s="46"/>
      <c r="MY83" s="46"/>
      <c r="MZ83" s="46"/>
      <c r="NA83" s="46"/>
      <c r="NB83" s="46"/>
      <c r="NC83" s="46"/>
      <c r="ND83" s="46"/>
      <c r="NE83" s="46"/>
      <c r="NF83" s="46"/>
      <c r="NG83" s="46"/>
    </row>
    <row r="84" spans="3:381" ht="15" customHeight="1" x14ac:dyDescent="0.35">
      <c r="C84" s="60" t="s">
        <v>89</v>
      </c>
      <c r="D84" s="60"/>
      <c r="E84" s="60">
        <f>1/O74</f>
        <v>0.14285714285714285</v>
      </c>
      <c r="F84" s="60"/>
      <c r="G84" s="60">
        <f>1/O76</f>
        <v>0.33333333333333331</v>
      </c>
      <c r="H84" s="60"/>
      <c r="I84" s="60">
        <f>1/O78</f>
        <v>0.5</v>
      </c>
      <c r="J84" s="60"/>
      <c r="K84" s="60">
        <f>1/O80</f>
        <v>0.5</v>
      </c>
      <c r="L84" s="60"/>
      <c r="M84" s="60">
        <f>1/O82</f>
        <v>1</v>
      </c>
      <c r="N84" s="60"/>
      <c r="O84" s="87">
        <f t="shared" ref="O84" si="132">AVERAGE(O66,AJ66,BE66,BZ66,CW66,DR66,EO66,FK66,GH66,HD66,HZ66,IW66,JU66,KR66,LM66)</f>
        <v>1</v>
      </c>
      <c r="P84" s="87"/>
      <c r="Q84" s="87">
        <f>ROUND(AVERAGE(Q66,AL66,BG66,CB66,CY66,DT66,EQ66,FM66,GJ66,HF66,IB66,IY66,JW66,KT66,LO66),0)</f>
        <v>4</v>
      </c>
      <c r="R84" s="87"/>
      <c r="X84" s="60" t="s">
        <v>89</v>
      </c>
      <c r="Y84" s="60"/>
      <c r="Z84" s="95">
        <f t="shared" ref="Z84" si="133">E84/$E$88</f>
        <v>6.4981949458483748E-2</v>
      </c>
      <c r="AA84" s="95"/>
      <c r="AB84" s="95">
        <f t="shared" ref="AB84" si="134">G84/$G$88</f>
        <v>6.245353159851301E-2</v>
      </c>
      <c r="AC84" s="95"/>
      <c r="AD84" s="95">
        <f t="shared" ref="AD84" si="135">I84/$I$88</f>
        <v>4.784688995215311E-2</v>
      </c>
      <c r="AE84" s="95"/>
      <c r="AF84" s="95">
        <f t="shared" ref="AF84" si="136">K84/$K$88</f>
        <v>5.0675675675675685E-2</v>
      </c>
      <c r="AG84" s="95"/>
      <c r="AH84" s="95">
        <f t="shared" ref="AH84" si="137">M84/$M$88</f>
        <v>3.5398230088495575E-2</v>
      </c>
      <c r="AI84" s="95"/>
      <c r="AJ84" s="95">
        <f t="shared" ref="AJ84" si="138">O84/$O$88</f>
        <v>6.1538461538461542E-2</v>
      </c>
      <c r="AK84" s="95"/>
      <c r="AL84" s="95">
        <f t="shared" ref="AL84" si="139">Q84/$Q$88</f>
        <v>0.10810810810810811</v>
      </c>
      <c r="AM84" s="95"/>
      <c r="AN84" s="87">
        <f t="shared" ref="AN84" si="140">SUM(Z84:AM85)</f>
        <v>0.43100284641989078</v>
      </c>
      <c r="AO84" s="87"/>
      <c r="AP84" s="94">
        <f>AN84/7</f>
        <v>6.1571835202841541E-2</v>
      </c>
      <c r="AQ84" s="94"/>
      <c r="AR84" s="94">
        <f>AP84*O88</f>
        <v>1.0005423220461751</v>
      </c>
      <c r="AS84" s="94"/>
      <c r="LS84" s="46"/>
      <c r="LT84" s="46"/>
      <c r="LU84" s="46"/>
      <c r="LV84" s="46"/>
      <c r="LW84" s="46"/>
      <c r="LX84" s="46"/>
      <c r="LY84" s="46"/>
      <c r="LZ84" s="46"/>
      <c r="MA84" s="46"/>
      <c r="MB84" s="46"/>
      <c r="MC84" s="46"/>
      <c r="MD84" s="46"/>
      <c r="ME84" s="46"/>
      <c r="MF84" s="46"/>
      <c r="MG84" s="46"/>
      <c r="MH84" s="46"/>
      <c r="MI84" s="46"/>
      <c r="MJ84" s="46"/>
      <c r="MK84" s="46"/>
      <c r="ML84" s="46"/>
      <c r="MM84" s="46"/>
      <c r="MN84" s="46"/>
      <c r="MO84" s="46"/>
      <c r="MP84" s="46"/>
      <c r="MQ84" s="46"/>
      <c r="MR84" s="46"/>
      <c r="MS84" s="46"/>
      <c r="MT84" s="46"/>
      <c r="MU84" s="46"/>
      <c r="MV84" s="46"/>
      <c r="MW84" s="46"/>
      <c r="MX84" s="46"/>
      <c r="MY84" s="46"/>
      <c r="MZ84" s="46"/>
      <c r="NA84" s="46"/>
      <c r="NB84" s="46"/>
      <c r="NC84" s="46"/>
      <c r="ND84" s="46"/>
      <c r="NE84" s="46"/>
      <c r="NF84" s="46"/>
      <c r="NG84" s="46"/>
    </row>
    <row r="85" spans="3:381" x14ac:dyDescent="0.35"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87"/>
      <c r="P85" s="87"/>
      <c r="Q85" s="87"/>
      <c r="R85" s="87"/>
      <c r="X85" s="60"/>
      <c r="Y85" s="60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N85" s="87"/>
      <c r="AO85" s="87"/>
      <c r="AP85" s="94"/>
      <c r="AQ85" s="94"/>
      <c r="AR85" s="94"/>
      <c r="AS85" s="94"/>
      <c r="LS85" s="46"/>
      <c r="LT85" s="46"/>
      <c r="LU85" s="46"/>
      <c r="LV85" s="46"/>
      <c r="LW85" s="46"/>
      <c r="LX85" s="46"/>
      <c r="LY85" s="46"/>
      <c r="LZ85" s="46"/>
      <c r="MA85" s="46"/>
      <c r="MB85" s="46"/>
      <c r="MC85" s="46"/>
      <c r="MD85" s="46"/>
      <c r="ME85" s="46"/>
      <c r="MF85" s="46"/>
      <c r="MG85" s="46"/>
      <c r="MH85" s="46"/>
      <c r="MI85" s="46"/>
      <c r="MJ85" s="46"/>
      <c r="MK85" s="46"/>
      <c r="ML85" s="46"/>
      <c r="MM85" s="46"/>
      <c r="MN85" s="46"/>
      <c r="MO85" s="46"/>
      <c r="MP85" s="46"/>
      <c r="MQ85" s="46"/>
      <c r="MR85" s="46"/>
      <c r="MS85" s="46"/>
      <c r="MT85" s="46"/>
      <c r="MU85" s="46"/>
      <c r="MV85" s="46"/>
      <c r="MW85" s="46"/>
      <c r="MX85" s="46"/>
      <c r="MY85" s="46"/>
      <c r="MZ85" s="46"/>
      <c r="NA85" s="46"/>
      <c r="NB85" s="46"/>
      <c r="NC85" s="46"/>
      <c r="ND85" s="46"/>
      <c r="NE85" s="46"/>
      <c r="NF85" s="46"/>
      <c r="NG85" s="46"/>
    </row>
    <row r="86" spans="3:381" ht="15" customHeight="1" x14ac:dyDescent="0.35">
      <c r="C86" s="60" t="s">
        <v>91</v>
      </c>
      <c r="D86" s="60"/>
      <c r="E86" s="60">
        <f>1/Q74</f>
        <v>0.1111111111111111</v>
      </c>
      <c r="F86" s="60"/>
      <c r="G86" s="60">
        <f>1/Q76</f>
        <v>0.1111111111111111</v>
      </c>
      <c r="H86" s="60"/>
      <c r="I86" s="60">
        <f>1/Q78</f>
        <v>0.2</v>
      </c>
      <c r="J86" s="60"/>
      <c r="K86" s="60">
        <f>1/Q80</f>
        <v>0.2</v>
      </c>
      <c r="L86" s="60"/>
      <c r="M86" s="60">
        <f>1/Q82</f>
        <v>0.25</v>
      </c>
      <c r="N86" s="60"/>
      <c r="O86" s="60">
        <f>1/Q84</f>
        <v>0.25</v>
      </c>
      <c r="P86" s="60"/>
      <c r="Q86" s="87">
        <f t="shared" ref="Q86" si="141">AVERAGE(Q68,AL68,BG68,CB68,CY68,DT68,EQ68,FM68,GJ68,HF68,IB68,IY68,JW68,KT68,LO68)</f>
        <v>1</v>
      </c>
      <c r="R86" s="87"/>
      <c r="X86" s="60" t="s">
        <v>91</v>
      </c>
      <c r="Y86" s="60"/>
      <c r="Z86" s="95">
        <f t="shared" ref="Z86" si="142">E86/$E$88</f>
        <v>5.0541516245487354E-2</v>
      </c>
      <c r="AA86" s="95"/>
      <c r="AB86" s="95">
        <f t="shared" ref="AB86" si="143">G86/$G$88</f>
        <v>2.0817843866171002E-2</v>
      </c>
      <c r="AC86" s="95"/>
      <c r="AD86" s="95">
        <f t="shared" ref="AD86" si="144">I86/$I$88</f>
        <v>1.9138755980861247E-2</v>
      </c>
      <c r="AE86" s="95"/>
      <c r="AF86" s="95">
        <f t="shared" ref="AF86" si="145">K86/$K$88</f>
        <v>2.0270270270270275E-2</v>
      </c>
      <c r="AG86" s="95"/>
      <c r="AH86" s="95">
        <f t="shared" ref="AH86" si="146">M86/$M$88</f>
        <v>8.8495575221238937E-3</v>
      </c>
      <c r="AI86" s="95"/>
      <c r="AJ86" s="95">
        <f t="shared" ref="AJ86" si="147">O86/$O$88</f>
        <v>1.5384615384615385E-2</v>
      </c>
      <c r="AK86" s="95"/>
      <c r="AL86" s="95">
        <f t="shared" ref="AL86" si="148">Q86/$Q$88</f>
        <v>2.7027027027027029E-2</v>
      </c>
      <c r="AM86" s="95"/>
      <c r="AN86" s="87">
        <f t="shared" ref="AN86" si="149">SUM(Z86:AM87)</f>
        <v>0.16202958629655617</v>
      </c>
      <c r="AO86" s="87"/>
      <c r="AP86" s="94">
        <f>AN86/7</f>
        <v>2.3147083756650883E-2</v>
      </c>
      <c r="AQ86" s="94"/>
      <c r="AR86" s="94">
        <f>AP86*Q88</f>
        <v>0.8564420989960827</v>
      </c>
      <c r="AS86" s="94"/>
      <c r="LS86" s="46"/>
      <c r="LT86" s="46"/>
      <c r="LU86" s="46"/>
      <c r="LV86" s="46"/>
      <c r="LW86" s="46"/>
      <c r="LX86" s="46"/>
      <c r="LY86" s="46"/>
      <c r="LZ86" s="46"/>
      <c r="MA86" s="46"/>
      <c r="MB86" s="46"/>
      <c r="MC86" s="46"/>
      <c r="MD86" s="46"/>
      <c r="ME86" s="46"/>
      <c r="MF86" s="46"/>
      <c r="MG86" s="46"/>
      <c r="MH86" s="46"/>
      <c r="MI86" s="46"/>
      <c r="MJ86" s="46"/>
      <c r="MK86" s="46"/>
      <c r="ML86" s="46"/>
      <c r="MM86" s="46"/>
      <c r="MN86" s="46"/>
      <c r="MO86" s="46"/>
      <c r="MP86" s="46"/>
      <c r="MQ86" s="46"/>
      <c r="MR86" s="46"/>
      <c r="MS86" s="46"/>
      <c r="MT86" s="46"/>
      <c r="MU86" s="46"/>
      <c r="MV86" s="46"/>
      <c r="MW86" s="46"/>
      <c r="MX86" s="46"/>
      <c r="MY86" s="46"/>
      <c r="MZ86" s="46"/>
      <c r="NA86" s="46"/>
      <c r="NB86" s="46"/>
      <c r="NC86" s="46"/>
      <c r="ND86" s="46"/>
      <c r="NE86" s="46"/>
      <c r="NF86" s="46"/>
      <c r="NG86" s="46"/>
    </row>
    <row r="87" spans="3:381" x14ac:dyDescent="0.35"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87"/>
      <c r="R87" s="87"/>
      <c r="X87" s="60"/>
      <c r="Y87" s="60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  <c r="AN87" s="87"/>
      <c r="AO87" s="87"/>
      <c r="AP87" s="94"/>
      <c r="AQ87" s="94"/>
      <c r="AR87" s="94"/>
      <c r="AS87" s="94"/>
      <c r="LS87" s="46"/>
      <c r="LT87" s="46"/>
      <c r="LU87" s="46"/>
      <c r="LV87" s="46"/>
      <c r="LW87" s="46"/>
      <c r="LX87" s="46"/>
      <c r="LY87" s="46"/>
      <c r="LZ87" s="46"/>
      <c r="MA87" s="46"/>
      <c r="MB87" s="46"/>
      <c r="MC87" s="46"/>
      <c r="MD87" s="46"/>
      <c r="ME87" s="46"/>
      <c r="MF87" s="46"/>
      <c r="MG87" s="46"/>
      <c r="MH87" s="46"/>
      <c r="MI87" s="46"/>
      <c r="MJ87" s="46"/>
      <c r="MK87" s="46"/>
      <c r="ML87" s="46"/>
      <c r="MM87" s="46"/>
      <c r="MN87" s="46"/>
      <c r="MO87" s="46"/>
      <c r="MP87" s="46"/>
      <c r="MQ87" s="46"/>
      <c r="MR87" s="46"/>
      <c r="MS87" s="46"/>
      <c r="MT87" s="46"/>
      <c r="MU87" s="46"/>
      <c r="MV87" s="46"/>
      <c r="MW87" s="46"/>
      <c r="MX87" s="46"/>
      <c r="MY87" s="46"/>
      <c r="MZ87" s="46"/>
      <c r="NA87" s="46"/>
      <c r="NB87" s="46"/>
      <c r="NC87" s="46"/>
      <c r="ND87" s="46"/>
      <c r="NE87" s="46"/>
      <c r="NF87" s="46"/>
      <c r="NG87" s="46"/>
    </row>
    <row r="88" spans="3:381" ht="15" customHeight="1" x14ac:dyDescent="0.35">
      <c r="C88" s="60" t="s">
        <v>104</v>
      </c>
      <c r="D88" s="60"/>
      <c r="E88" s="87">
        <f>SUM(E74:F87)</f>
        <v>2.1984126984126986</v>
      </c>
      <c r="F88" s="87"/>
      <c r="G88" s="87">
        <f t="shared" ref="G88" si="150">SUM(G74:H87)</f>
        <v>5.337301587301587</v>
      </c>
      <c r="H88" s="87"/>
      <c r="I88" s="87">
        <f t="shared" ref="I88" si="151">SUM(I74:J87)</f>
        <v>10.45</v>
      </c>
      <c r="J88" s="87"/>
      <c r="K88" s="87">
        <f t="shared" ref="K88" si="152">SUM(K74:L87)</f>
        <v>9.8666666666666654</v>
      </c>
      <c r="L88" s="87"/>
      <c r="M88" s="87">
        <f t="shared" ref="M88" si="153">SUM(M74:N87)</f>
        <v>28.25</v>
      </c>
      <c r="N88" s="87"/>
      <c r="O88" s="87">
        <f t="shared" ref="O88" si="154">SUM(O74:P87)</f>
        <v>16.25</v>
      </c>
      <c r="P88" s="87"/>
      <c r="Q88" s="87">
        <f>SUM(Q74:R87)</f>
        <v>37</v>
      </c>
      <c r="R88" s="87"/>
      <c r="X88" s="60" t="s">
        <v>104</v>
      </c>
      <c r="Y88" s="60"/>
      <c r="Z88" s="87">
        <f>SUM(Z74:AA87)</f>
        <v>0.99999999999999978</v>
      </c>
      <c r="AA88" s="87"/>
      <c r="AB88" s="87">
        <f t="shared" ref="AB88" si="155">SUM(AB74:AC87)</f>
        <v>1</v>
      </c>
      <c r="AC88" s="87"/>
      <c r="AD88" s="87">
        <f t="shared" ref="AD88" si="156">SUM(AD74:AE87)</f>
        <v>1.0000000000000002</v>
      </c>
      <c r="AE88" s="87"/>
      <c r="AF88" s="87">
        <f t="shared" ref="AF88" si="157">SUM(AF74:AG87)</f>
        <v>1</v>
      </c>
      <c r="AG88" s="87"/>
      <c r="AH88" s="87">
        <f t="shared" ref="AH88" si="158">SUM(AH74:AI87)</f>
        <v>1</v>
      </c>
      <c r="AI88" s="87"/>
      <c r="AJ88" s="87">
        <f t="shared" ref="AJ88" si="159">SUM(AJ74:AK87)</f>
        <v>1</v>
      </c>
      <c r="AK88" s="87"/>
      <c r="AL88" s="87">
        <f t="shared" ref="AL88" si="160">SUM(AL74:AM87)</f>
        <v>1</v>
      </c>
      <c r="AM88" s="87"/>
      <c r="AN88" s="87">
        <f t="shared" ref="AN88" si="161">SUM(Z88:AM89)</f>
        <v>7</v>
      </c>
      <c r="AO88" s="87"/>
      <c r="AP88" s="87">
        <f t="shared" ref="AP88" si="162">AN88/$AN$88</f>
        <v>1</v>
      </c>
      <c r="AQ88" s="87"/>
      <c r="AR88" s="94">
        <f>SUM(AR74:AS87)</f>
        <v>7.7078486452012251</v>
      </c>
      <c r="AS88" s="94"/>
      <c r="LS88" s="46"/>
      <c r="LT88" s="46"/>
      <c r="LU88" s="46"/>
      <c r="LV88" s="46"/>
      <c r="LW88" s="46"/>
      <c r="LX88" s="46"/>
      <c r="LY88" s="46"/>
      <c r="LZ88" s="46"/>
      <c r="MA88" s="46"/>
      <c r="MB88" s="46"/>
      <c r="MC88" s="46"/>
      <c r="MD88" s="46"/>
      <c r="ME88" s="46"/>
      <c r="MF88" s="46"/>
      <c r="MG88" s="46"/>
      <c r="MH88" s="46"/>
      <c r="MI88" s="46"/>
      <c r="MJ88" s="46"/>
      <c r="MK88" s="46"/>
      <c r="ML88" s="46"/>
      <c r="MM88" s="46"/>
      <c r="MN88" s="46"/>
      <c r="MO88" s="46"/>
      <c r="MP88" s="46"/>
      <c r="MQ88" s="46"/>
      <c r="MR88" s="46"/>
      <c r="MS88" s="46"/>
      <c r="MT88" s="46"/>
      <c r="MU88" s="46"/>
      <c r="MV88" s="46"/>
      <c r="MW88" s="46"/>
      <c r="MX88" s="46"/>
      <c r="MY88" s="46"/>
      <c r="MZ88" s="46"/>
      <c r="NA88" s="46"/>
      <c r="NB88" s="46"/>
      <c r="NC88" s="46"/>
      <c r="ND88" s="46"/>
      <c r="NE88" s="46"/>
      <c r="NF88" s="46"/>
      <c r="NG88" s="46"/>
    </row>
    <row r="89" spans="3:381" x14ac:dyDescent="0.35">
      <c r="C89" s="60"/>
      <c r="D89" s="60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X89" s="60"/>
      <c r="Y89" s="60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94"/>
      <c r="AS89" s="94"/>
      <c r="LS89" s="46"/>
      <c r="LT89" s="46"/>
      <c r="LU89" s="46"/>
      <c r="LV89" s="46"/>
      <c r="LW89" s="46"/>
      <c r="LX89" s="46"/>
      <c r="LY89" s="46"/>
      <c r="LZ89" s="46"/>
      <c r="MA89" s="46"/>
      <c r="MB89" s="46"/>
      <c r="MC89" s="46"/>
      <c r="MD89" s="46"/>
      <c r="ME89" s="46"/>
      <c r="MF89" s="46"/>
      <c r="MG89" s="46"/>
      <c r="MH89" s="46"/>
      <c r="MI89" s="46"/>
      <c r="MJ89" s="46"/>
      <c r="MK89" s="46"/>
      <c r="ML89" s="46"/>
      <c r="MM89" s="46"/>
      <c r="MN89" s="46"/>
      <c r="MO89" s="46"/>
      <c r="MP89" s="46"/>
      <c r="MQ89" s="46"/>
      <c r="MR89" s="46"/>
      <c r="MS89" s="46"/>
      <c r="MT89" s="46"/>
      <c r="MU89" s="46"/>
      <c r="MV89" s="46"/>
      <c r="MW89" s="46"/>
      <c r="MX89" s="46"/>
      <c r="MY89" s="46"/>
      <c r="MZ89" s="46"/>
      <c r="NA89" s="46"/>
      <c r="NB89" s="46"/>
      <c r="NC89" s="46"/>
      <c r="ND89" s="46"/>
      <c r="NE89" s="46"/>
      <c r="NF89" s="46"/>
      <c r="NG89" s="46"/>
    </row>
    <row r="90" spans="3:381" ht="15" customHeight="1" x14ac:dyDescent="0.35">
      <c r="LS90" s="46"/>
      <c r="LT90" s="46"/>
      <c r="LU90" s="46"/>
      <c r="LV90" s="46"/>
      <c r="LW90" s="46"/>
      <c r="LX90" s="46"/>
      <c r="LY90" s="46"/>
      <c r="LZ90" s="46"/>
      <c r="MA90" s="46"/>
      <c r="MB90" s="46"/>
      <c r="MC90" s="46"/>
      <c r="MD90" s="46"/>
      <c r="ME90" s="46"/>
      <c r="MF90" s="46"/>
      <c r="MG90" s="46"/>
      <c r="MH90" s="46"/>
      <c r="MI90" s="46"/>
      <c r="MJ90" s="46"/>
      <c r="MK90" s="46"/>
      <c r="ML90" s="46"/>
      <c r="MM90" s="46"/>
      <c r="MN90" s="46"/>
      <c r="MO90" s="46"/>
      <c r="MP90" s="46"/>
      <c r="MQ90" s="46"/>
      <c r="MR90" s="46"/>
      <c r="MS90" s="46"/>
      <c r="MT90" s="46"/>
      <c r="MU90" s="46"/>
      <c r="MV90" s="46"/>
      <c r="MW90" s="46"/>
      <c r="MX90" s="46"/>
      <c r="MY90" s="46"/>
      <c r="MZ90" s="46"/>
      <c r="NA90" s="46"/>
      <c r="NB90" s="46"/>
      <c r="NC90" s="46"/>
      <c r="ND90" s="46"/>
      <c r="NE90" s="46"/>
      <c r="NF90" s="46"/>
      <c r="NG90" s="46"/>
    </row>
    <row r="91" spans="3:381" x14ac:dyDescent="0.35">
      <c r="LS91" s="46"/>
      <c r="LT91" s="46"/>
      <c r="LU91" s="46"/>
      <c r="LV91" s="46"/>
      <c r="LW91" s="46"/>
      <c r="LX91" s="46"/>
      <c r="LY91" s="46"/>
      <c r="LZ91" s="46"/>
      <c r="MA91" s="46"/>
      <c r="MB91" s="46"/>
      <c r="MC91" s="46"/>
      <c r="MD91" s="46"/>
      <c r="ME91" s="46"/>
      <c r="MF91" s="46"/>
      <c r="MG91" s="46"/>
      <c r="MH91" s="46"/>
      <c r="MI91" s="46"/>
      <c r="MJ91" s="46"/>
      <c r="MK91" s="46"/>
      <c r="ML91" s="46"/>
      <c r="MM91" s="46"/>
      <c r="MN91" s="46"/>
      <c r="MO91" s="46"/>
      <c r="MP91" s="46"/>
      <c r="MQ91" s="46"/>
      <c r="MR91" s="46"/>
      <c r="MS91" s="46"/>
      <c r="MT91" s="46"/>
      <c r="MU91" s="46"/>
      <c r="MV91" s="46"/>
      <c r="MW91" s="46"/>
      <c r="MX91" s="46"/>
      <c r="MY91" s="46"/>
      <c r="MZ91" s="46"/>
      <c r="NA91" s="46"/>
      <c r="NB91" s="46"/>
      <c r="NC91" s="46"/>
      <c r="ND91" s="46"/>
      <c r="NE91" s="46"/>
      <c r="NF91" s="46"/>
      <c r="NG91" s="46"/>
    </row>
    <row r="92" spans="3:381" x14ac:dyDescent="0.35">
      <c r="LS92" s="46"/>
      <c r="LT92" s="46"/>
      <c r="LU92" s="46"/>
      <c r="LV92" s="46"/>
      <c r="LW92" s="46"/>
      <c r="LX92" s="46"/>
      <c r="LY92" s="46"/>
      <c r="LZ92" s="46"/>
      <c r="MA92" s="46"/>
      <c r="MB92" s="46"/>
      <c r="MC92" s="46"/>
      <c r="MD92" s="46"/>
      <c r="ME92" s="46"/>
      <c r="MF92" s="46"/>
      <c r="MG92" s="46"/>
      <c r="MH92" s="46"/>
      <c r="MI92" s="46"/>
      <c r="MJ92" s="46"/>
      <c r="MK92" s="46"/>
      <c r="ML92" s="46"/>
      <c r="MM92" s="46"/>
      <c r="MN92" s="46"/>
      <c r="MO92" s="46"/>
      <c r="MP92" s="46"/>
      <c r="MQ92" s="46"/>
      <c r="MR92" s="46"/>
      <c r="MS92" s="46"/>
      <c r="MT92" s="46"/>
      <c r="MU92" s="46"/>
      <c r="MV92" s="46"/>
      <c r="MW92" s="46"/>
      <c r="MX92" s="46"/>
      <c r="MY92" s="46"/>
      <c r="MZ92" s="46"/>
      <c r="NA92" s="46"/>
      <c r="NB92" s="46"/>
      <c r="NC92" s="46"/>
      <c r="ND92" s="46"/>
      <c r="NE92" s="46"/>
      <c r="NF92" s="46"/>
      <c r="NG92" s="46"/>
    </row>
    <row r="93" spans="3:381" x14ac:dyDescent="0.35">
      <c r="LS93" s="46"/>
      <c r="LT93" s="46"/>
      <c r="LU93" s="46"/>
      <c r="LV93" s="46"/>
      <c r="LW93" s="46"/>
      <c r="LX93" s="46"/>
      <c r="LY93" s="46"/>
      <c r="LZ93" s="46"/>
      <c r="MA93" s="46"/>
      <c r="MB93" s="46"/>
      <c r="MC93" s="46"/>
      <c r="MD93" s="46"/>
      <c r="ME93" s="46"/>
      <c r="MF93" s="46"/>
      <c r="MG93" s="46"/>
      <c r="MH93" s="46"/>
      <c r="MI93" s="46"/>
      <c r="MJ93" s="46"/>
      <c r="MK93" s="46"/>
      <c r="ML93" s="46"/>
      <c r="MM93" s="46"/>
      <c r="MN93" s="46"/>
      <c r="MO93" s="46"/>
      <c r="MP93" s="46"/>
      <c r="MQ93" s="46"/>
      <c r="MR93" s="46"/>
      <c r="MS93" s="46"/>
      <c r="MT93" s="46"/>
      <c r="MU93" s="46"/>
      <c r="MV93" s="46"/>
      <c r="MW93" s="46"/>
      <c r="MX93" s="46"/>
      <c r="MY93" s="46"/>
      <c r="MZ93" s="46"/>
      <c r="NA93" s="46"/>
      <c r="NB93" s="46"/>
      <c r="NC93" s="46"/>
      <c r="ND93" s="46"/>
      <c r="NE93" s="46"/>
      <c r="NF93" s="46"/>
      <c r="NG93" s="46"/>
    </row>
    <row r="94" spans="3:381" x14ac:dyDescent="0.35">
      <c r="C94" s="60"/>
      <c r="D94" s="60"/>
      <c r="E94" s="60" t="s">
        <v>13</v>
      </c>
      <c r="F94" s="60"/>
      <c r="G94" s="60" t="s">
        <v>14</v>
      </c>
      <c r="H94" s="60"/>
      <c r="I94" s="60" t="s">
        <v>15</v>
      </c>
      <c r="J94" s="60"/>
      <c r="X94" s="60"/>
      <c r="Y94" s="60"/>
      <c r="Z94" s="60" t="s">
        <v>13</v>
      </c>
      <c r="AA94" s="60"/>
      <c r="AB94" s="60" t="s">
        <v>14</v>
      </c>
      <c r="AC94" s="60"/>
      <c r="AD94" s="60" t="s">
        <v>15</v>
      </c>
      <c r="AE94" s="60"/>
      <c r="AS94" s="60"/>
      <c r="AT94" s="60"/>
      <c r="AU94" s="60" t="s">
        <v>13</v>
      </c>
      <c r="AV94" s="60"/>
      <c r="AW94" s="60" t="s">
        <v>14</v>
      </c>
      <c r="AX94" s="60"/>
      <c r="AY94" s="60" t="s">
        <v>15</v>
      </c>
      <c r="AZ94" s="60"/>
      <c r="BN94" s="60"/>
      <c r="BO94" s="60"/>
      <c r="BP94" s="60" t="s">
        <v>13</v>
      </c>
      <c r="BQ94" s="60"/>
      <c r="BR94" s="60" t="s">
        <v>14</v>
      </c>
      <c r="BS94" s="60"/>
      <c r="BT94" s="60" t="s">
        <v>15</v>
      </c>
      <c r="BU94" s="60"/>
      <c r="CK94" s="60"/>
      <c r="CL94" s="60"/>
      <c r="CM94" s="60" t="s">
        <v>13</v>
      </c>
      <c r="CN94" s="60"/>
      <c r="CO94" s="60" t="s">
        <v>14</v>
      </c>
      <c r="CP94" s="60"/>
      <c r="CQ94" s="60" t="s">
        <v>15</v>
      </c>
      <c r="CR94" s="60"/>
      <c r="DF94" s="60"/>
      <c r="DG94" s="60"/>
      <c r="DH94" s="60" t="s">
        <v>13</v>
      </c>
      <c r="DI94" s="60"/>
      <c r="DJ94" s="60" t="s">
        <v>14</v>
      </c>
      <c r="DK94" s="60"/>
      <c r="DL94" s="60" t="s">
        <v>15</v>
      </c>
      <c r="DM94" s="60"/>
      <c r="EC94" s="60"/>
      <c r="ED94" s="60"/>
      <c r="EE94" s="60" t="s">
        <v>13</v>
      </c>
      <c r="EF94" s="60"/>
      <c r="EG94" s="60" t="s">
        <v>14</v>
      </c>
      <c r="EH94" s="60"/>
      <c r="EI94" s="60" t="s">
        <v>15</v>
      </c>
      <c r="EJ94" s="60"/>
      <c r="EY94" s="60"/>
      <c r="EZ94" s="60"/>
      <c r="FA94" s="60" t="s">
        <v>13</v>
      </c>
      <c r="FB94" s="60"/>
      <c r="FC94" s="60" t="s">
        <v>14</v>
      </c>
      <c r="FD94" s="60"/>
      <c r="FE94" s="60" t="s">
        <v>15</v>
      </c>
      <c r="FF94" s="60"/>
      <c r="FV94" s="60"/>
      <c r="FW94" s="60"/>
      <c r="FX94" s="60" t="s">
        <v>13</v>
      </c>
      <c r="FY94" s="60"/>
      <c r="FZ94" s="60" t="s">
        <v>14</v>
      </c>
      <c r="GA94" s="60"/>
      <c r="GB94" s="60" t="s">
        <v>15</v>
      </c>
      <c r="GC94" s="60"/>
      <c r="GR94" s="60"/>
      <c r="GS94" s="60"/>
      <c r="GT94" s="60" t="s">
        <v>13</v>
      </c>
      <c r="GU94" s="60"/>
      <c r="GV94" s="60" t="s">
        <v>14</v>
      </c>
      <c r="GW94" s="60"/>
      <c r="GX94" s="60" t="s">
        <v>15</v>
      </c>
      <c r="GY94" s="60"/>
      <c r="HN94" s="60"/>
      <c r="HO94" s="60"/>
      <c r="HP94" s="60" t="s">
        <v>13</v>
      </c>
      <c r="HQ94" s="60"/>
      <c r="HR94" s="60" t="s">
        <v>14</v>
      </c>
      <c r="HS94" s="60"/>
      <c r="HT94" s="60" t="s">
        <v>15</v>
      </c>
      <c r="HU94" s="60"/>
      <c r="IK94" s="60"/>
      <c r="IL94" s="60"/>
      <c r="IM94" s="60" t="s">
        <v>13</v>
      </c>
      <c r="IN94" s="60"/>
      <c r="IO94" s="60" t="s">
        <v>14</v>
      </c>
      <c r="IP94" s="60"/>
      <c r="IQ94" s="60" t="s">
        <v>15</v>
      </c>
      <c r="IR94" s="60"/>
      <c r="JI94" s="60"/>
      <c r="JJ94" s="60"/>
      <c r="JK94" s="60" t="s">
        <v>13</v>
      </c>
      <c r="JL94" s="60"/>
      <c r="JM94" s="60" t="s">
        <v>14</v>
      </c>
      <c r="JN94" s="60"/>
      <c r="JO94" s="60" t="s">
        <v>15</v>
      </c>
      <c r="JP94" s="60"/>
      <c r="KF94" s="60"/>
      <c r="KG94" s="60"/>
      <c r="KH94" s="60" t="s">
        <v>13</v>
      </c>
      <c r="KI94" s="60"/>
      <c r="KJ94" s="60" t="s">
        <v>14</v>
      </c>
      <c r="KK94" s="60"/>
      <c r="KL94" s="60" t="s">
        <v>15</v>
      </c>
      <c r="KM94" s="60"/>
      <c r="LA94" s="46"/>
      <c r="LB94" s="46"/>
      <c r="LC94" s="46"/>
      <c r="LD94" s="46"/>
      <c r="LE94" s="46"/>
      <c r="LF94" s="46"/>
      <c r="LG94" s="46"/>
      <c r="LH94" s="46"/>
      <c r="LS94" s="46"/>
      <c r="LT94" s="46"/>
      <c r="LU94" s="46"/>
      <c r="LV94" s="46"/>
      <c r="LW94" s="46"/>
      <c r="LX94" s="46"/>
      <c r="LY94" s="46"/>
      <c r="LZ94" s="46"/>
      <c r="MA94" s="46"/>
      <c r="MB94" s="46"/>
      <c r="MC94" s="46"/>
      <c r="MD94" s="46"/>
      <c r="ME94" s="46"/>
      <c r="MF94" s="46"/>
      <c r="MG94" s="46"/>
      <c r="MH94" s="46"/>
      <c r="MI94" s="46"/>
      <c r="MJ94" s="46"/>
      <c r="MK94" s="46"/>
      <c r="ML94" s="46"/>
      <c r="MM94" s="46"/>
      <c r="MN94" s="46"/>
      <c r="MO94" s="46"/>
      <c r="MP94" s="46"/>
      <c r="MQ94" s="46"/>
      <c r="MR94" s="46"/>
      <c r="MS94" s="46"/>
      <c r="MT94" s="46"/>
      <c r="MU94" s="46"/>
      <c r="MV94" s="46"/>
      <c r="MW94" s="46"/>
      <c r="MX94" s="46"/>
      <c r="MY94" s="46"/>
      <c r="MZ94" s="46"/>
      <c r="NA94" s="46"/>
      <c r="NB94" s="46"/>
      <c r="NC94" s="46"/>
      <c r="ND94" s="46"/>
      <c r="NE94" s="46"/>
      <c r="NF94" s="46"/>
      <c r="NG94" s="46"/>
    </row>
    <row r="95" spans="3:381" ht="15" customHeight="1" x14ac:dyDescent="0.35">
      <c r="C95" s="60"/>
      <c r="D95" s="60"/>
      <c r="E95" s="60"/>
      <c r="F95" s="60"/>
      <c r="G95" s="60"/>
      <c r="H95" s="60"/>
      <c r="I95" s="60"/>
      <c r="J95" s="60"/>
      <c r="X95" s="60"/>
      <c r="Y95" s="60"/>
      <c r="Z95" s="60"/>
      <c r="AA95" s="60"/>
      <c r="AB95" s="60"/>
      <c r="AC95" s="60"/>
      <c r="AD95" s="60"/>
      <c r="AE95" s="60"/>
      <c r="AS95" s="60"/>
      <c r="AT95" s="60"/>
      <c r="AU95" s="60"/>
      <c r="AV95" s="60"/>
      <c r="AW95" s="60"/>
      <c r="AX95" s="60"/>
      <c r="AY95" s="60"/>
      <c r="AZ95" s="60"/>
      <c r="BN95" s="60"/>
      <c r="BO95" s="60"/>
      <c r="BP95" s="60"/>
      <c r="BQ95" s="60"/>
      <c r="BR95" s="60"/>
      <c r="BS95" s="60"/>
      <c r="BT95" s="60"/>
      <c r="BU95" s="60"/>
      <c r="CK95" s="60"/>
      <c r="CL95" s="60"/>
      <c r="CM95" s="60"/>
      <c r="CN95" s="60"/>
      <c r="CO95" s="60"/>
      <c r="CP95" s="60"/>
      <c r="CQ95" s="60"/>
      <c r="CR95" s="60"/>
      <c r="DF95" s="60"/>
      <c r="DG95" s="60"/>
      <c r="DH95" s="60"/>
      <c r="DI95" s="60"/>
      <c r="DJ95" s="60"/>
      <c r="DK95" s="60"/>
      <c r="DL95" s="60"/>
      <c r="DM95" s="60"/>
      <c r="EC95" s="60"/>
      <c r="ED95" s="60"/>
      <c r="EE95" s="60"/>
      <c r="EF95" s="60"/>
      <c r="EG95" s="60"/>
      <c r="EH95" s="60"/>
      <c r="EI95" s="60"/>
      <c r="EJ95" s="60"/>
      <c r="EY95" s="60"/>
      <c r="EZ95" s="60"/>
      <c r="FA95" s="60"/>
      <c r="FB95" s="60"/>
      <c r="FC95" s="60"/>
      <c r="FD95" s="60"/>
      <c r="FE95" s="60"/>
      <c r="FF95" s="60"/>
      <c r="FV95" s="60"/>
      <c r="FW95" s="60"/>
      <c r="FX95" s="60"/>
      <c r="FY95" s="60"/>
      <c r="FZ95" s="60"/>
      <c r="GA95" s="60"/>
      <c r="GB95" s="60"/>
      <c r="GC95" s="60"/>
      <c r="GR95" s="60"/>
      <c r="GS95" s="60"/>
      <c r="GT95" s="60"/>
      <c r="GU95" s="60"/>
      <c r="GV95" s="60"/>
      <c r="GW95" s="60"/>
      <c r="GX95" s="60"/>
      <c r="GY95" s="60"/>
      <c r="HN95" s="60"/>
      <c r="HO95" s="60"/>
      <c r="HP95" s="60"/>
      <c r="HQ95" s="60"/>
      <c r="HR95" s="60"/>
      <c r="HS95" s="60"/>
      <c r="HT95" s="60"/>
      <c r="HU95" s="60"/>
      <c r="IK95" s="60"/>
      <c r="IL95" s="60"/>
      <c r="IM95" s="60"/>
      <c r="IN95" s="60"/>
      <c r="IO95" s="60"/>
      <c r="IP95" s="60"/>
      <c r="IQ95" s="60"/>
      <c r="IR95" s="60"/>
      <c r="JI95" s="60"/>
      <c r="JJ95" s="60"/>
      <c r="JK95" s="60"/>
      <c r="JL95" s="60"/>
      <c r="JM95" s="60"/>
      <c r="JN95" s="60"/>
      <c r="JO95" s="60"/>
      <c r="JP95" s="60"/>
      <c r="KF95" s="60"/>
      <c r="KG95" s="60"/>
      <c r="KH95" s="60"/>
      <c r="KI95" s="60"/>
      <c r="KJ95" s="60"/>
      <c r="KK95" s="60"/>
      <c r="KL95" s="60"/>
      <c r="KM95" s="60"/>
      <c r="LA95" s="46"/>
      <c r="LB95" s="46"/>
      <c r="LC95" s="46"/>
      <c r="LD95" s="46"/>
      <c r="LE95" s="46"/>
      <c r="LF95" s="46"/>
      <c r="LG95" s="46"/>
      <c r="LH95" s="46"/>
      <c r="LS95" s="46"/>
      <c r="LT95" s="46"/>
      <c r="LU95" s="46"/>
      <c r="LV95" s="46"/>
      <c r="LW95" s="46"/>
      <c r="LX95" s="46"/>
      <c r="LY95" s="46"/>
      <c r="LZ95" s="46"/>
      <c r="MA95" s="46"/>
      <c r="MB95" s="46"/>
      <c r="MC95" s="46"/>
      <c r="MD95" s="46"/>
      <c r="ME95" s="46"/>
      <c r="MF95" s="46"/>
      <c r="MG95" s="46"/>
      <c r="MH95" s="46"/>
      <c r="MI95" s="46"/>
      <c r="MJ95" s="46"/>
      <c r="MK95" s="46"/>
      <c r="ML95" s="46"/>
      <c r="MM95" s="46"/>
      <c r="MN95" s="46"/>
      <c r="MO95" s="46"/>
      <c r="MP95" s="46"/>
      <c r="MQ95" s="46"/>
      <c r="MR95" s="46"/>
      <c r="MS95" s="46"/>
      <c r="MT95" s="46"/>
      <c r="MU95" s="46"/>
      <c r="MV95" s="46"/>
      <c r="MW95" s="46"/>
      <c r="MX95" s="46"/>
      <c r="MY95" s="46"/>
      <c r="MZ95" s="46"/>
      <c r="NA95" s="46"/>
      <c r="NB95" s="46"/>
      <c r="NC95" s="46"/>
      <c r="ND95" s="46"/>
      <c r="NE95" s="46"/>
      <c r="NF95" s="46"/>
      <c r="NG95" s="46"/>
    </row>
    <row r="96" spans="3:381" x14ac:dyDescent="0.35">
      <c r="C96" s="60" t="s">
        <v>13</v>
      </c>
      <c r="D96" s="60"/>
      <c r="E96" s="62">
        <v>1</v>
      </c>
      <c r="F96" s="62"/>
      <c r="G96" s="60">
        <v>9</v>
      </c>
      <c r="H96" s="60"/>
      <c r="I96" s="63">
        <f>1/9</f>
        <v>0.1111111111111111</v>
      </c>
      <c r="J96" s="64"/>
      <c r="X96" s="60" t="s">
        <v>13</v>
      </c>
      <c r="Y96" s="60"/>
      <c r="Z96" s="62">
        <v>1</v>
      </c>
      <c r="AA96" s="62"/>
      <c r="AB96" s="60">
        <v>9</v>
      </c>
      <c r="AC96" s="60"/>
      <c r="AD96" s="63">
        <f>1/9</f>
        <v>0.1111111111111111</v>
      </c>
      <c r="AE96" s="64"/>
      <c r="AS96" s="60" t="s">
        <v>13</v>
      </c>
      <c r="AT96" s="60"/>
      <c r="AU96" s="62">
        <v>1</v>
      </c>
      <c r="AV96" s="62"/>
      <c r="AW96" s="60">
        <f>1/9</f>
        <v>0.1111111111111111</v>
      </c>
      <c r="AX96" s="60"/>
      <c r="AY96" s="63">
        <v>9</v>
      </c>
      <c r="AZ96" s="64"/>
      <c r="BN96" s="60" t="s">
        <v>13</v>
      </c>
      <c r="BO96" s="60"/>
      <c r="BP96" s="62">
        <v>1</v>
      </c>
      <c r="BQ96" s="62"/>
      <c r="BR96" s="60">
        <f>1/9</f>
        <v>0.1111111111111111</v>
      </c>
      <c r="BS96" s="60"/>
      <c r="BT96" s="63">
        <v>9</v>
      </c>
      <c r="BU96" s="64"/>
      <c r="CK96" s="60" t="s">
        <v>13</v>
      </c>
      <c r="CL96" s="60"/>
      <c r="CM96" s="62">
        <v>1</v>
      </c>
      <c r="CN96" s="62"/>
      <c r="CO96" s="60">
        <v>9</v>
      </c>
      <c r="CP96" s="60"/>
      <c r="CQ96" s="63">
        <f>1/9</f>
        <v>0.1111111111111111</v>
      </c>
      <c r="CR96" s="64"/>
      <c r="DF96" s="60" t="s">
        <v>13</v>
      </c>
      <c r="DG96" s="60"/>
      <c r="DH96" s="62">
        <v>1</v>
      </c>
      <c r="DI96" s="62"/>
      <c r="DJ96" s="60">
        <f>1/9</f>
        <v>0.1111111111111111</v>
      </c>
      <c r="DK96" s="60"/>
      <c r="DL96" s="63">
        <f>1/9</f>
        <v>0.1111111111111111</v>
      </c>
      <c r="DM96" s="64"/>
      <c r="EC96" s="60" t="s">
        <v>13</v>
      </c>
      <c r="ED96" s="60"/>
      <c r="EE96" s="62">
        <v>1</v>
      </c>
      <c r="EF96" s="62"/>
      <c r="EG96" s="60">
        <v>9</v>
      </c>
      <c r="EH96" s="60"/>
      <c r="EI96" s="63">
        <f>1/9</f>
        <v>0.1111111111111111</v>
      </c>
      <c r="EJ96" s="64"/>
      <c r="EY96" s="60" t="s">
        <v>13</v>
      </c>
      <c r="EZ96" s="60"/>
      <c r="FA96" s="62">
        <v>1</v>
      </c>
      <c r="FB96" s="62"/>
      <c r="FC96" s="60">
        <f>1/9</f>
        <v>0.1111111111111111</v>
      </c>
      <c r="FD96" s="60"/>
      <c r="FE96" s="63">
        <v>9</v>
      </c>
      <c r="FF96" s="64"/>
      <c r="FV96" s="60" t="s">
        <v>13</v>
      </c>
      <c r="FW96" s="60"/>
      <c r="FX96" s="62">
        <v>1</v>
      </c>
      <c r="FY96" s="62"/>
      <c r="FZ96" s="60">
        <v>9</v>
      </c>
      <c r="GA96" s="60"/>
      <c r="GB96" s="63">
        <v>9</v>
      </c>
      <c r="GC96" s="64"/>
      <c r="GR96" s="60" t="s">
        <v>13</v>
      </c>
      <c r="GS96" s="60"/>
      <c r="GT96" s="62">
        <v>1</v>
      </c>
      <c r="GU96" s="62"/>
      <c r="GV96" s="60">
        <f>1/9</f>
        <v>0.1111111111111111</v>
      </c>
      <c r="GW96" s="60"/>
      <c r="GX96" s="63">
        <v>7</v>
      </c>
      <c r="GY96" s="64"/>
      <c r="HN96" s="60" t="s">
        <v>13</v>
      </c>
      <c r="HO96" s="60"/>
      <c r="HP96" s="62">
        <v>1</v>
      </c>
      <c r="HQ96" s="62"/>
      <c r="HR96" s="60">
        <f>1/9</f>
        <v>0.1111111111111111</v>
      </c>
      <c r="HS96" s="60"/>
      <c r="HT96" s="63">
        <v>9</v>
      </c>
      <c r="HU96" s="64"/>
      <c r="IK96" s="60" t="s">
        <v>13</v>
      </c>
      <c r="IL96" s="60"/>
      <c r="IM96" s="62">
        <v>1</v>
      </c>
      <c r="IN96" s="62"/>
      <c r="IO96" s="60">
        <v>9</v>
      </c>
      <c r="IP96" s="60"/>
      <c r="IQ96" s="63">
        <f>1/9</f>
        <v>0.1111111111111111</v>
      </c>
      <c r="IR96" s="64"/>
      <c r="JI96" s="60" t="s">
        <v>13</v>
      </c>
      <c r="JJ96" s="60"/>
      <c r="JK96" s="62">
        <v>1</v>
      </c>
      <c r="JL96" s="62"/>
      <c r="JM96" s="60">
        <f>1/5</f>
        <v>0.2</v>
      </c>
      <c r="JN96" s="60"/>
      <c r="JO96" s="63">
        <v>7</v>
      </c>
      <c r="JP96" s="64"/>
      <c r="KF96" s="60" t="s">
        <v>13</v>
      </c>
      <c r="KG96" s="60"/>
      <c r="KH96" s="62">
        <v>1</v>
      </c>
      <c r="KI96" s="62"/>
      <c r="KJ96" s="60">
        <f>1/5</f>
        <v>0.2</v>
      </c>
      <c r="KK96" s="60"/>
      <c r="KL96" s="63">
        <f>1/3</f>
        <v>0.33333333333333331</v>
      </c>
      <c r="KM96" s="64"/>
      <c r="LA96" s="46"/>
      <c r="LB96" s="46"/>
      <c r="LC96" s="46"/>
      <c r="LD96" s="46"/>
      <c r="LE96" s="46"/>
      <c r="LF96" s="46"/>
      <c r="LG96" s="46"/>
      <c r="LH96" s="46"/>
      <c r="LS96" s="46"/>
      <c r="LT96" s="46"/>
      <c r="LU96" s="46"/>
      <c r="LV96" s="46"/>
      <c r="LW96" s="46"/>
      <c r="LX96" s="46"/>
      <c r="LY96" s="46"/>
      <c r="LZ96" s="46"/>
      <c r="MA96" s="46"/>
      <c r="MB96" s="46"/>
      <c r="MC96" s="46"/>
      <c r="MD96" s="46"/>
      <c r="ME96" s="46"/>
      <c r="MF96" s="46"/>
      <c r="MG96" s="46"/>
      <c r="MH96" s="46"/>
      <c r="MI96" s="46"/>
      <c r="MJ96" s="46"/>
      <c r="MK96" s="46"/>
      <c r="ML96" s="46"/>
      <c r="MM96" s="46"/>
      <c r="MN96" s="46"/>
      <c r="MO96" s="46"/>
      <c r="MP96" s="46"/>
      <c r="MQ96" s="46"/>
      <c r="MR96" s="46"/>
      <c r="MS96" s="46"/>
      <c r="MT96" s="46"/>
      <c r="MU96" s="46"/>
      <c r="MV96" s="46"/>
      <c r="MW96" s="46"/>
      <c r="MX96" s="46"/>
      <c r="MY96" s="46"/>
      <c r="MZ96" s="46"/>
      <c r="NA96" s="46"/>
      <c r="NB96" s="46"/>
      <c r="NC96" s="46"/>
      <c r="ND96" s="46"/>
      <c r="NE96" s="46"/>
      <c r="NF96" s="46"/>
      <c r="NG96" s="46"/>
    </row>
    <row r="97" spans="1:371" ht="15" customHeight="1" x14ac:dyDescent="0.35">
      <c r="C97" s="60"/>
      <c r="D97" s="60"/>
      <c r="E97" s="62"/>
      <c r="F97" s="62"/>
      <c r="G97" s="60"/>
      <c r="H97" s="60"/>
      <c r="I97" s="65"/>
      <c r="J97" s="66"/>
      <c r="X97" s="60"/>
      <c r="Y97" s="60"/>
      <c r="Z97" s="62"/>
      <c r="AA97" s="62"/>
      <c r="AB97" s="60"/>
      <c r="AC97" s="60"/>
      <c r="AD97" s="65"/>
      <c r="AE97" s="66"/>
      <c r="AS97" s="60"/>
      <c r="AT97" s="60"/>
      <c r="AU97" s="62"/>
      <c r="AV97" s="62"/>
      <c r="AW97" s="60"/>
      <c r="AX97" s="60"/>
      <c r="AY97" s="65"/>
      <c r="AZ97" s="66"/>
      <c r="BN97" s="60"/>
      <c r="BO97" s="60"/>
      <c r="BP97" s="62"/>
      <c r="BQ97" s="62"/>
      <c r="BR97" s="60"/>
      <c r="BS97" s="60"/>
      <c r="BT97" s="65"/>
      <c r="BU97" s="66"/>
      <c r="CK97" s="60"/>
      <c r="CL97" s="60"/>
      <c r="CM97" s="62"/>
      <c r="CN97" s="62"/>
      <c r="CO97" s="60"/>
      <c r="CP97" s="60"/>
      <c r="CQ97" s="65"/>
      <c r="CR97" s="66"/>
      <c r="DF97" s="60"/>
      <c r="DG97" s="60"/>
      <c r="DH97" s="62"/>
      <c r="DI97" s="62"/>
      <c r="DJ97" s="60"/>
      <c r="DK97" s="60"/>
      <c r="DL97" s="65"/>
      <c r="DM97" s="66"/>
      <c r="EC97" s="60"/>
      <c r="ED97" s="60"/>
      <c r="EE97" s="62"/>
      <c r="EF97" s="62"/>
      <c r="EG97" s="60"/>
      <c r="EH97" s="60"/>
      <c r="EI97" s="65"/>
      <c r="EJ97" s="66"/>
      <c r="EY97" s="60"/>
      <c r="EZ97" s="60"/>
      <c r="FA97" s="62"/>
      <c r="FB97" s="62"/>
      <c r="FC97" s="60"/>
      <c r="FD97" s="60"/>
      <c r="FE97" s="65"/>
      <c r="FF97" s="66"/>
      <c r="FV97" s="60"/>
      <c r="FW97" s="60"/>
      <c r="FX97" s="62"/>
      <c r="FY97" s="62"/>
      <c r="FZ97" s="60"/>
      <c r="GA97" s="60"/>
      <c r="GB97" s="65"/>
      <c r="GC97" s="66"/>
      <c r="GR97" s="60"/>
      <c r="GS97" s="60"/>
      <c r="GT97" s="62"/>
      <c r="GU97" s="62"/>
      <c r="GV97" s="60"/>
      <c r="GW97" s="60"/>
      <c r="GX97" s="65"/>
      <c r="GY97" s="66"/>
      <c r="HN97" s="60"/>
      <c r="HO97" s="60"/>
      <c r="HP97" s="62"/>
      <c r="HQ97" s="62"/>
      <c r="HR97" s="60"/>
      <c r="HS97" s="60"/>
      <c r="HT97" s="65"/>
      <c r="HU97" s="66"/>
      <c r="IK97" s="60"/>
      <c r="IL97" s="60"/>
      <c r="IM97" s="62"/>
      <c r="IN97" s="62"/>
      <c r="IO97" s="60"/>
      <c r="IP97" s="60"/>
      <c r="IQ97" s="65"/>
      <c r="IR97" s="66"/>
      <c r="JI97" s="60"/>
      <c r="JJ97" s="60"/>
      <c r="JK97" s="62"/>
      <c r="JL97" s="62"/>
      <c r="JM97" s="60"/>
      <c r="JN97" s="60"/>
      <c r="JO97" s="65"/>
      <c r="JP97" s="66"/>
      <c r="KF97" s="60"/>
      <c r="KG97" s="60"/>
      <c r="KH97" s="62"/>
      <c r="KI97" s="62"/>
      <c r="KJ97" s="60"/>
      <c r="KK97" s="60"/>
      <c r="KL97" s="65"/>
      <c r="KM97" s="66"/>
      <c r="LA97" s="46"/>
      <c r="LB97" s="46"/>
      <c r="LC97" s="46"/>
      <c r="LD97" s="46"/>
      <c r="LE97" s="46"/>
      <c r="LF97" s="46"/>
      <c r="LG97" s="46"/>
      <c r="LH97" s="46"/>
      <c r="LS97" s="46"/>
      <c r="LT97" s="46"/>
      <c r="LU97" s="46"/>
      <c r="LV97" s="46"/>
      <c r="LW97" s="46"/>
      <c r="LX97" s="46"/>
      <c r="LY97" s="46"/>
      <c r="LZ97" s="46"/>
      <c r="MA97" s="46"/>
      <c r="MB97" s="46"/>
      <c r="MC97" s="46"/>
      <c r="MD97" s="46"/>
      <c r="ME97" s="46"/>
      <c r="MF97" s="46"/>
      <c r="MG97" s="46"/>
      <c r="MH97" s="46"/>
      <c r="MI97" s="46"/>
      <c r="MJ97" s="46"/>
      <c r="MK97" s="46"/>
      <c r="ML97" s="46"/>
      <c r="MM97" s="46"/>
      <c r="MN97" s="46"/>
      <c r="MO97" s="46"/>
      <c r="MP97" s="46"/>
      <c r="MQ97" s="46"/>
      <c r="MR97" s="46"/>
      <c r="MS97" s="46"/>
      <c r="MT97" s="46"/>
      <c r="MU97" s="46"/>
      <c r="MV97" s="46"/>
      <c r="MW97" s="46"/>
      <c r="MX97" s="46"/>
      <c r="MY97" s="46"/>
      <c r="MZ97" s="46"/>
      <c r="NA97" s="46"/>
      <c r="NB97" s="46"/>
      <c r="NC97" s="46"/>
      <c r="ND97" s="46"/>
      <c r="NE97" s="46"/>
      <c r="NF97" s="46"/>
      <c r="NG97" s="46"/>
    </row>
    <row r="98" spans="1:371" x14ac:dyDescent="0.35">
      <c r="C98" s="60" t="s">
        <v>14</v>
      </c>
      <c r="D98" s="60"/>
      <c r="E98" s="60">
        <f>1/G96</f>
        <v>0.1111111111111111</v>
      </c>
      <c r="F98" s="60"/>
      <c r="G98" s="62">
        <v>1</v>
      </c>
      <c r="H98" s="62"/>
      <c r="I98" s="60">
        <f>1/7</f>
        <v>0.14285714285714285</v>
      </c>
      <c r="J98" s="60"/>
      <c r="X98" s="60" t="s">
        <v>14</v>
      </c>
      <c r="Y98" s="60"/>
      <c r="Z98" s="60">
        <f>1/AB96</f>
        <v>0.1111111111111111</v>
      </c>
      <c r="AA98" s="60"/>
      <c r="AB98" s="62">
        <v>1</v>
      </c>
      <c r="AC98" s="62"/>
      <c r="AD98" s="60">
        <v>3</v>
      </c>
      <c r="AE98" s="60"/>
      <c r="AS98" s="60" t="s">
        <v>14</v>
      </c>
      <c r="AT98" s="60"/>
      <c r="AU98" s="60">
        <f>1/AW96</f>
        <v>9</v>
      </c>
      <c r="AV98" s="60"/>
      <c r="AW98" s="62">
        <v>1</v>
      </c>
      <c r="AX98" s="62"/>
      <c r="AY98" s="60">
        <f>1/9</f>
        <v>0.1111111111111111</v>
      </c>
      <c r="AZ98" s="60"/>
      <c r="BN98" s="60" t="s">
        <v>14</v>
      </c>
      <c r="BO98" s="60"/>
      <c r="BP98" s="60">
        <f>1/BR96</f>
        <v>9</v>
      </c>
      <c r="BQ98" s="60"/>
      <c r="BR98" s="62">
        <v>1</v>
      </c>
      <c r="BS98" s="62"/>
      <c r="BT98" s="60">
        <f>1/9</f>
        <v>0.1111111111111111</v>
      </c>
      <c r="BU98" s="60"/>
      <c r="CK98" s="60" t="s">
        <v>14</v>
      </c>
      <c r="CL98" s="60"/>
      <c r="CM98" s="60">
        <f>1/CO96</f>
        <v>0.1111111111111111</v>
      </c>
      <c r="CN98" s="60"/>
      <c r="CO98" s="62">
        <v>1</v>
      </c>
      <c r="CP98" s="62"/>
      <c r="CQ98" s="60">
        <f>1/9</f>
        <v>0.1111111111111111</v>
      </c>
      <c r="CR98" s="60"/>
      <c r="DF98" s="60" t="s">
        <v>14</v>
      </c>
      <c r="DG98" s="60"/>
      <c r="DH98" s="60">
        <f>1/DJ96</f>
        <v>9</v>
      </c>
      <c r="DI98" s="60"/>
      <c r="DJ98" s="62">
        <v>1</v>
      </c>
      <c r="DK98" s="62"/>
      <c r="DL98" s="60">
        <f>1/9</f>
        <v>0.1111111111111111</v>
      </c>
      <c r="DM98" s="60"/>
      <c r="EC98" s="60" t="s">
        <v>14</v>
      </c>
      <c r="ED98" s="60"/>
      <c r="EE98" s="60">
        <f>1/EG96</f>
        <v>0.1111111111111111</v>
      </c>
      <c r="EF98" s="60"/>
      <c r="EG98" s="62">
        <v>1</v>
      </c>
      <c r="EH98" s="62"/>
      <c r="EI98" s="60">
        <v>9</v>
      </c>
      <c r="EJ98" s="60"/>
      <c r="EY98" s="60" t="s">
        <v>14</v>
      </c>
      <c r="EZ98" s="60"/>
      <c r="FA98" s="60">
        <f>1/FC96</f>
        <v>9</v>
      </c>
      <c r="FB98" s="60"/>
      <c r="FC98" s="62">
        <v>1</v>
      </c>
      <c r="FD98" s="62"/>
      <c r="FE98" s="60">
        <f>1/9</f>
        <v>0.1111111111111111</v>
      </c>
      <c r="FF98" s="60"/>
      <c r="FV98" s="60" t="s">
        <v>14</v>
      </c>
      <c r="FW98" s="60"/>
      <c r="FX98" s="60">
        <f>1/FZ96</f>
        <v>0.1111111111111111</v>
      </c>
      <c r="FY98" s="60"/>
      <c r="FZ98" s="62">
        <v>1</v>
      </c>
      <c r="GA98" s="62"/>
      <c r="GB98" s="60">
        <f>1/7</f>
        <v>0.14285714285714285</v>
      </c>
      <c r="GC98" s="60"/>
      <c r="GR98" s="60" t="s">
        <v>14</v>
      </c>
      <c r="GS98" s="60"/>
      <c r="GT98" s="60">
        <f>1/GV96</f>
        <v>9</v>
      </c>
      <c r="GU98" s="60"/>
      <c r="GV98" s="62">
        <v>1</v>
      </c>
      <c r="GW98" s="62"/>
      <c r="GX98" s="60">
        <f>1/9</f>
        <v>0.1111111111111111</v>
      </c>
      <c r="GY98" s="60"/>
      <c r="HN98" s="60" t="s">
        <v>14</v>
      </c>
      <c r="HO98" s="60"/>
      <c r="HP98" s="60">
        <f>1/HR96</f>
        <v>9</v>
      </c>
      <c r="HQ98" s="60"/>
      <c r="HR98" s="62">
        <v>1</v>
      </c>
      <c r="HS98" s="62"/>
      <c r="HT98" s="60">
        <f>1/9</f>
        <v>0.1111111111111111</v>
      </c>
      <c r="HU98" s="60"/>
      <c r="IK98" s="60" t="s">
        <v>14</v>
      </c>
      <c r="IL98" s="60"/>
      <c r="IM98" s="60">
        <f>1/IO96</f>
        <v>0.1111111111111111</v>
      </c>
      <c r="IN98" s="60"/>
      <c r="IO98" s="62">
        <v>1</v>
      </c>
      <c r="IP98" s="62"/>
      <c r="IQ98" s="60">
        <v>9</v>
      </c>
      <c r="IR98" s="60"/>
      <c r="JI98" s="60" t="s">
        <v>14</v>
      </c>
      <c r="JJ98" s="60"/>
      <c r="JK98" s="60">
        <f>1/JM96</f>
        <v>5</v>
      </c>
      <c r="JL98" s="60"/>
      <c r="JM98" s="62">
        <v>1</v>
      </c>
      <c r="JN98" s="62"/>
      <c r="JO98" s="60">
        <f>1/5</f>
        <v>0.2</v>
      </c>
      <c r="JP98" s="60"/>
      <c r="KF98" s="60" t="s">
        <v>14</v>
      </c>
      <c r="KG98" s="60"/>
      <c r="KH98" s="60">
        <f>1/KJ96</f>
        <v>5</v>
      </c>
      <c r="KI98" s="60"/>
      <c r="KJ98" s="62">
        <v>1</v>
      </c>
      <c r="KK98" s="62"/>
      <c r="KL98" s="60">
        <f>1/3</f>
        <v>0.33333333333333331</v>
      </c>
      <c r="KM98" s="60"/>
      <c r="LA98" s="46"/>
      <c r="LB98" s="46"/>
      <c r="LC98" s="46"/>
      <c r="LD98" s="46"/>
      <c r="LE98" s="46"/>
      <c r="LF98" s="46"/>
      <c r="LG98" s="46"/>
      <c r="LH98" s="46"/>
      <c r="LS98" s="46"/>
      <c r="LT98" s="46"/>
      <c r="LU98" s="46"/>
      <c r="LV98" s="46"/>
      <c r="LW98" s="46"/>
      <c r="LX98" s="46"/>
      <c r="LY98" s="46"/>
      <c r="LZ98" s="46"/>
      <c r="MA98" s="46"/>
      <c r="MB98" s="46"/>
      <c r="MC98" s="46"/>
      <c r="MD98" s="46"/>
      <c r="ME98" s="46"/>
      <c r="MF98" s="46"/>
      <c r="MG98" s="46"/>
      <c r="MH98" s="46"/>
      <c r="MI98" s="46"/>
      <c r="MJ98" s="46"/>
      <c r="MK98" s="46"/>
      <c r="ML98" s="46"/>
      <c r="MM98" s="46"/>
      <c r="MN98" s="46"/>
      <c r="MO98" s="46"/>
      <c r="MP98" s="46"/>
      <c r="MQ98" s="46"/>
      <c r="MR98" s="46"/>
      <c r="MS98" s="46"/>
      <c r="MT98" s="46"/>
      <c r="MU98" s="46"/>
      <c r="MV98" s="46"/>
      <c r="MW98" s="46"/>
      <c r="MX98" s="46"/>
      <c r="MY98" s="46"/>
      <c r="MZ98" s="46"/>
      <c r="NA98" s="46"/>
      <c r="NB98" s="46"/>
      <c r="NC98" s="46"/>
      <c r="ND98" s="46"/>
      <c r="NE98" s="46"/>
      <c r="NF98" s="46"/>
      <c r="NG98" s="46"/>
    </row>
    <row r="99" spans="1:371" ht="15" customHeight="1" x14ac:dyDescent="0.35">
      <c r="C99" s="60"/>
      <c r="D99" s="60"/>
      <c r="E99" s="60"/>
      <c r="F99" s="60"/>
      <c r="G99" s="62"/>
      <c r="H99" s="62"/>
      <c r="I99" s="60"/>
      <c r="J99" s="60"/>
      <c r="X99" s="60"/>
      <c r="Y99" s="60"/>
      <c r="Z99" s="60"/>
      <c r="AA99" s="60"/>
      <c r="AB99" s="62"/>
      <c r="AC99" s="62"/>
      <c r="AD99" s="60"/>
      <c r="AE99" s="60"/>
      <c r="AS99" s="60"/>
      <c r="AT99" s="60"/>
      <c r="AU99" s="60"/>
      <c r="AV99" s="60"/>
      <c r="AW99" s="62"/>
      <c r="AX99" s="62"/>
      <c r="AY99" s="60"/>
      <c r="AZ99" s="60"/>
      <c r="BN99" s="60"/>
      <c r="BO99" s="60"/>
      <c r="BP99" s="60"/>
      <c r="BQ99" s="60"/>
      <c r="BR99" s="62"/>
      <c r="BS99" s="62"/>
      <c r="BT99" s="60"/>
      <c r="BU99" s="60"/>
      <c r="CK99" s="60"/>
      <c r="CL99" s="60"/>
      <c r="CM99" s="60"/>
      <c r="CN99" s="60"/>
      <c r="CO99" s="62"/>
      <c r="CP99" s="62"/>
      <c r="CQ99" s="60"/>
      <c r="CR99" s="60"/>
      <c r="DF99" s="60"/>
      <c r="DG99" s="60"/>
      <c r="DH99" s="60"/>
      <c r="DI99" s="60"/>
      <c r="DJ99" s="62"/>
      <c r="DK99" s="62"/>
      <c r="DL99" s="60"/>
      <c r="DM99" s="60"/>
      <c r="EC99" s="60"/>
      <c r="ED99" s="60"/>
      <c r="EE99" s="60"/>
      <c r="EF99" s="60"/>
      <c r="EG99" s="62"/>
      <c r="EH99" s="62"/>
      <c r="EI99" s="60"/>
      <c r="EJ99" s="60"/>
      <c r="EY99" s="60"/>
      <c r="EZ99" s="60"/>
      <c r="FA99" s="60"/>
      <c r="FB99" s="60"/>
      <c r="FC99" s="62"/>
      <c r="FD99" s="62"/>
      <c r="FE99" s="60"/>
      <c r="FF99" s="60"/>
      <c r="FV99" s="60"/>
      <c r="FW99" s="60"/>
      <c r="FX99" s="60"/>
      <c r="FY99" s="60"/>
      <c r="FZ99" s="62"/>
      <c r="GA99" s="62"/>
      <c r="GB99" s="60"/>
      <c r="GC99" s="60"/>
      <c r="GR99" s="60"/>
      <c r="GS99" s="60"/>
      <c r="GT99" s="60"/>
      <c r="GU99" s="60"/>
      <c r="GV99" s="62"/>
      <c r="GW99" s="62"/>
      <c r="GX99" s="60"/>
      <c r="GY99" s="60"/>
      <c r="HN99" s="60"/>
      <c r="HO99" s="60"/>
      <c r="HP99" s="60"/>
      <c r="HQ99" s="60"/>
      <c r="HR99" s="62"/>
      <c r="HS99" s="62"/>
      <c r="HT99" s="60"/>
      <c r="HU99" s="60"/>
      <c r="IK99" s="60"/>
      <c r="IL99" s="60"/>
      <c r="IM99" s="60"/>
      <c r="IN99" s="60"/>
      <c r="IO99" s="62"/>
      <c r="IP99" s="62"/>
      <c r="IQ99" s="60"/>
      <c r="IR99" s="60"/>
      <c r="JI99" s="60"/>
      <c r="JJ99" s="60"/>
      <c r="JK99" s="60"/>
      <c r="JL99" s="60"/>
      <c r="JM99" s="62"/>
      <c r="JN99" s="62"/>
      <c r="JO99" s="60"/>
      <c r="JP99" s="60"/>
      <c r="KF99" s="60"/>
      <c r="KG99" s="60"/>
      <c r="KH99" s="60"/>
      <c r="KI99" s="60"/>
      <c r="KJ99" s="62"/>
      <c r="KK99" s="62"/>
      <c r="KL99" s="60"/>
      <c r="KM99" s="60"/>
      <c r="LA99" s="46"/>
      <c r="LB99" s="46"/>
      <c r="LC99" s="46"/>
      <c r="LD99" s="46"/>
      <c r="LE99" s="46"/>
      <c r="LF99" s="46"/>
      <c r="LG99" s="46"/>
      <c r="LH99" s="46"/>
      <c r="LS99" s="46"/>
      <c r="LT99" s="46"/>
      <c r="LU99" s="46"/>
      <c r="LV99" s="46"/>
      <c r="LW99" s="46"/>
      <c r="LX99" s="46"/>
      <c r="LY99" s="46"/>
      <c r="LZ99" s="46"/>
      <c r="MA99" s="46"/>
      <c r="MB99" s="46"/>
      <c r="MC99" s="46"/>
      <c r="MD99" s="46"/>
      <c r="ME99" s="46"/>
      <c r="MF99" s="46"/>
      <c r="MG99" s="46"/>
      <c r="MH99" s="46"/>
      <c r="MI99" s="46"/>
      <c r="MJ99" s="46"/>
      <c r="MK99" s="46"/>
      <c r="ML99" s="46"/>
      <c r="MM99" s="46"/>
      <c r="MN99" s="46"/>
      <c r="MO99" s="46"/>
      <c r="MP99" s="46"/>
      <c r="MQ99" s="46"/>
      <c r="MR99" s="46"/>
      <c r="MS99" s="46"/>
      <c r="MT99" s="46"/>
      <c r="MU99" s="46"/>
      <c r="MV99" s="46"/>
      <c r="MW99" s="46"/>
      <c r="MX99" s="46"/>
      <c r="MY99" s="46"/>
      <c r="MZ99" s="46"/>
      <c r="NA99" s="46"/>
      <c r="NB99" s="46"/>
      <c r="NC99" s="46"/>
      <c r="ND99" s="46"/>
      <c r="NE99" s="46"/>
      <c r="NF99" s="46"/>
      <c r="NG99" s="46"/>
    </row>
    <row r="100" spans="1:371" x14ac:dyDescent="0.35">
      <c r="C100" s="60" t="s">
        <v>15</v>
      </c>
      <c r="D100" s="60"/>
      <c r="E100" s="60">
        <f>1/I96</f>
        <v>9</v>
      </c>
      <c r="F100" s="60"/>
      <c r="G100" s="60">
        <f>1/I98</f>
        <v>7</v>
      </c>
      <c r="H100" s="60"/>
      <c r="I100" s="62">
        <v>1</v>
      </c>
      <c r="J100" s="62"/>
      <c r="X100" s="60" t="s">
        <v>15</v>
      </c>
      <c r="Y100" s="60"/>
      <c r="Z100" s="60">
        <f>1/AD96</f>
        <v>9</v>
      </c>
      <c r="AA100" s="60"/>
      <c r="AB100" s="60">
        <f>1/AD98</f>
        <v>0.33333333333333331</v>
      </c>
      <c r="AC100" s="60"/>
      <c r="AD100" s="62">
        <v>1</v>
      </c>
      <c r="AE100" s="62"/>
      <c r="AS100" s="60" t="s">
        <v>15</v>
      </c>
      <c r="AT100" s="60"/>
      <c r="AU100" s="60">
        <f>1/AY96</f>
        <v>0.1111111111111111</v>
      </c>
      <c r="AV100" s="60"/>
      <c r="AW100" s="60">
        <f>1/AY98</f>
        <v>9</v>
      </c>
      <c r="AX100" s="60"/>
      <c r="AY100" s="62">
        <v>1</v>
      </c>
      <c r="AZ100" s="62"/>
      <c r="BN100" s="60" t="s">
        <v>15</v>
      </c>
      <c r="BO100" s="60"/>
      <c r="BP100" s="60">
        <f>1/BT96</f>
        <v>0.1111111111111111</v>
      </c>
      <c r="BQ100" s="60"/>
      <c r="BR100" s="60">
        <f>1/BT98</f>
        <v>9</v>
      </c>
      <c r="BS100" s="60"/>
      <c r="BT100" s="62">
        <v>1</v>
      </c>
      <c r="BU100" s="62"/>
      <c r="CK100" s="60" t="s">
        <v>15</v>
      </c>
      <c r="CL100" s="60"/>
      <c r="CM100" s="60">
        <f>1/CQ96</f>
        <v>9</v>
      </c>
      <c r="CN100" s="60"/>
      <c r="CO100" s="60">
        <f>1/CQ98</f>
        <v>9</v>
      </c>
      <c r="CP100" s="60"/>
      <c r="CQ100" s="62">
        <v>1</v>
      </c>
      <c r="CR100" s="62"/>
      <c r="DF100" s="60" t="s">
        <v>15</v>
      </c>
      <c r="DG100" s="60"/>
      <c r="DH100" s="60">
        <f>1/DL96</f>
        <v>9</v>
      </c>
      <c r="DI100" s="60"/>
      <c r="DJ100" s="60">
        <f>1/DL98</f>
        <v>9</v>
      </c>
      <c r="DK100" s="60"/>
      <c r="DL100" s="62">
        <v>1</v>
      </c>
      <c r="DM100" s="62"/>
      <c r="EC100" s="60" t="s">
        <v>15</v>
      </c>
      <c r="ED100" s="60"/>
      <c r="EE100" s="60">
        <f>1/EI96</f>
        <v>9</v>
      </c>
      <c r="EF100" s="60"/>
      <c r="EG100" s="60">
        <f>1/EI98</f>
        <v>0.1111111111111111</v>
      </c>
      <c r="EH100" s="60"/>
      <c r="EI100" s="62">
        <v>1</v>
      </c>
      <c r="EJ100" s="62"/>
      <c r="EY100" s="60" t="s">
        <v>15</v>
      </c>
      <c r="EZ100" s="60"/>
      <c r="FA100" s="60">
        <f>1/FE96</f>
        <v>0.1111111111111111</v>
      </c>
      <c r="FB100" s="60"/>
      <c r="FC100" s="60">
        <f>1/FE98</f>
        <v>9</v>
      </c>
      <c r="FD100" s="60"/>
      <c r="FE100" s="62">
        <v>1</v>
      </c>
      <c r="FF100" s="62"/>
      <c r="FV100" s="60" t="s">
        <v>15</v>
      </c>
      <c r="FW100" s="60"/>
      <c r="FX100" s="60">
        <f>1/GB96</f>
        <v>0.1111111111111111</v>
      </c>
      <c r="FY100" s="60"/>
      <c r="FZ100" s="60">
        <f>1/GB98</f>
        <v>7</v>
      </c>
      <c r="GA100" s="60"/>
      <c r="GB100" s="62">
        <v>1</v>
      </c>
      <c r="GC100" s="62"/>
      <c r="GR100" s="60" t="s">
        <v>15</v>
      </c>
      <c r="GS100" s="60"/>
      <c r="GT100" s="60">
        <f>1/GX96</f>
        <v>0.14285714285714285</v>
      </c>
      <c r="GU100" s="60"/>
      <c r="GV100" s="60">
        <f>1/GX98</f>
        <v>9</v>
      </c>
      <c r="GW100" s="60"/>
      <c r="GX100" s="62">
        <v>1</v>
      </c>
      <c r="GY100" s="62"/>
      <c r="HN100" s="60" t="s">
        <v>15</v>
      </c>
      <c r="HO100" s="60"/>
      <c r="HP100" s="60">
        <f>1/HT96</f>
        <v>0.1111111111111111</v>
      </c>
      <c r="HQ100" s="60"/>
      <c r="HR100" s="60">
        <f>1/HT98</f>
        <v>9</v>
      </c>
      <c r="HS100" s="60"/>
      <c r="HT100" s="62">
        <v>1</v>
      </c>
      <c r="HU100" s="62"/>
      <c r="IK100" s="60" t="s">
        <v>15</v>
      </c>
      <c r="IL100" s="60"/>
      <c r="IM100" s="60">
        <f>1/IQ96</f>
        <v>9</v>
      </c>
      <c r="IN100" s="60"/>
      <c r="IO100" s="60">
        <f>1/IQ98</f>
        <v>0.1111111111111111</v>
      </c>
      <c r="IP100" s="60"/>
      <c r="IQ100" s="62">
        <v>1</v>
      </c>
      <c r="IR100" s="62"/>
      <c r="JI100" s="60" t="s">
        <v>15</v>
      </c>
      <c r="JJ100" s="60"/>
      <c r="JK100" s="60">
        <f>1/JO96</f>
        <v>0.14285714285714285</v>
      </c>
      <c r="JL100" s="60"/>
      <c r="JM100" s="60">
        <f>1/JO98</f>
        <v>5</v>
      </c>
      <c r="JN100" s="60"/>
      <c r="JO100" s="62">
        <v>1</v>
      </c>
      <c r="JP100" s="62"/>
      <c r="KF100" s="60" t="s">
        <v>15</v>
      </c>
      <c r="KG100" s="60"/>
      <c r="KH100" s="60">
        <f>1/KL96</f>
        <v>3</v>
      </c>
      <c r="KI100" s="60"/>
      <c r="KJ100" s="60">
        <f>1/KL98</f>
        <v>3</v>
      </c>
      <c r="KK100" s="60"/>
      <c r="KL100" s="62">
        <v>1</v>
      </c>
      <c r="KM100" s="62"/>
      <c r="LA100" s="46"/>
      <c r="LB100" s="46"/>
      <c r="LC100" s="46"/>
      <c r="LD100" s="46"/>
      <c r="LE100" s="46"/>
      <c r="LF100" s="46"/>
      <c r="LG100" s="46"/>
      <c r="LH100" s="46"/>
      <c r="LS100" s="46"/>
      <c r="LT100" s="46"/>
      <c r="LU100" s="46"/>
      <c r="LV100" s="46"/>
      <c r="LW100" s="46"/>
      <c r="LX100" s="46"/>
      <c r="LY100" s="46"/>
      <c r="LZ100" s="46"/>
      <c r="MA100" s="46"/>
      <c r="MB100" s="46"/>
      <c r="MC100" s="46"/>
      <c r="MD100" s="46"/>
      <c r="ME100" s="46"/>
      <c r="MF100" s="46"/>
      <c r="MG100" s="46"/>
      <c r="MH100" s="46"/>
      <c r="MI100" s="46"/>
      <c r="MJ100" s="46"/>
      <c r="MK100" s="46"/>
      <c r="ML100" s="46"/>
      <c r="MM100" s="46"/>
      <c r="MN100" s="46"/>
      <c r="MO100" s="46"/>
      <c r="MP100" s="46"/>
      <c r="MQ100" s="46"/>
      <c r="MR100" s="46"/>
      <c r="MS100" s="46"/>
      <c r="MT100" s="46"/>
      <c r="MU100" s="46"/>
      <c r="MV100" s="46"/>
      <c r="MW100" s="46"/>
      <c r="MX100" s="46"/>
      <c r="MY100" s="46"/>
      <c r="MZ100" s="46"/>
      <c r="NA100" s="46"/>
      <c r="NB100" s="46"/>
      <c r="NC100" s="46"/>
      <c r="ND100" s="46"/>
      <c r="NE100" s="46"/>
      <c r="NF100" s="46"/>
      <c r="NG100" s="46"/>
    </row>
    <row r="101" spans="1:371" ht="15" customHeight="1" x14ac:dyDescent="0.35">
      <c r="C101" s="60"/>
      <c r="D101" s="60"/>
      <c r="E101" s="60"/>
      <c r="F101" s="60"/>
      <c r="G101" s="60"/>
      <c r="H101" s="60"/>
      <c r="I101" s="62"/>
      <c r="J101" s="62"/>
      <c r="X101" s="60"/>
      <c r="Y101" s="60"/>
      <c r="Z101" s="60"/>
      <c r="AA101" s="60"/>
      <c r="AB101" s="60"/>
      <c r="AC101" s="60"/>
      <c r="AD101" s="62"/>
      <c r="AE101" s="62"/>
      <c r="AS101" s="60"/>
      <c r="AT101" s="60"/>
      <c r="AU101" s="60"/>
      <c r="AV101" s="60"/>
      <c r="AW101" s="60"/>
      <c r="AX101" s="60"/>
      <c r="AY101" s="62"/>
      <c r="AZ101" s="62"/>
      <c r="BN101" s="60"/>
      <c r="BO101" s="60"/>
      <c r="BP101" s="60"/>
      <c r="BQ101" s="60"/>
      <c r="BR101" s="60"/>
      <c r="BS101" s="60"/>
      <c r="BT101" s="62"/>
      <c r="BU101" s="62"/>
      <c r="CK101" s="60"/>
      <c r="CL101" s="60"/>
      <c r="CM101" s="60"/>
      <c r="CN101" s="60"/>
      <c r="CO101" s="60"/>
      <c r="CP101" s="60"/>
      <c r="CQ101" s="62"/>
      <c r="CR101" s="62"/>
      <c r="DF101" s="60"/>
      <c r="DG101" s="60"/>
      <c r="DH101" s="60"/>
      <c r="DI101" s="60"/>
      <c r="DJ101" s="60"/>
      <c r="DK101" s="60"/>
      <c r="DL101" s="62"/>
      <c r="DM101" s="62"/>
      <c r="EC101" s="60"/>
      <c r="ED101" s="60"/>
      <c r="EE101" s="60"/>
      <c r="EF101" s="60"/>
      <c r="EG101" s="60"/>
      <c r="EH101" s="60"/>
      <c r="EI101" s="62"/>
      <c r="EJ101" s="62"/>
      <c r="EY101" s="60"/>
      <c r="EZ101" s="60"/>
      <c r="FA101" s="60"/>
      <c r="FB101" s="60"/>
      <c r="FC101" s="60"/>
      <c r="FD101" s="60"/>
      <c r="FE101" s="62"/>
      <c r="FF101" s="62"/>
      <c r="FV101" s="60"/>
      <c r="FW101" s="60"/>
      <c r="FX101" s="60"/>
      <c r="FY101" s="60"/>
      <c r="FZ101" s="60"/>
      <c r="GA101" s="60"/>
      <c r="GB101" s="62"/>
      <c r="GC101" s="62"/>
      <c r="GR101" s="60"/>
      <c r="GS101" s="60"/>
      <c r="GT101" s="60"/>
      <c r="GU101" s="60"/>
      <c r="GV101" s="60"/>
      <c r="GW101" s="60"/>
      <c r="GX101" s="62"/>
      <c r="GY101" s="62"/>
      <c r="HN101" s="60"/>
      <c r="HO101" s="60"/>
      <c r="HP101" s="60"/>
      <c r="HQ101" s="60"/>
      <c r="HR101" s="60"/>
      <c r="HS101" s="60"/>
      <c r="HT101" s="62"/>
      <c r="HU101" s="62"/>
      <c r="IK101" s="60"/>
      <c r="IL101" s="60"/>
      <c r="IM101" s="60"/>
      <c r="IN101" s="60"/>
      <c r="IO101" s="60"/>
      <c r="IP101" s="60"/>
      <c r="IQ101" s="62"/>
      <c r="IR101" s="62"/>
      <c r="JI101" s="60"/>
      <c r="JJ101" s="60"/>
      <c r="JK101" s="60"/>
      <c r="JL101" s="60"/>
      <c r="JM101" s="60"/>
      <c r="JN101" s="60"/>
      <c r="JO101" s="62"/>
      <c r="JP101" s="62"/>
      <c r="KF101" s="60"/>
      <c r="KG101" s="60"/>
      <c r="KH101" s="60"/>
      <c r="KI101" s="60"/>
      <c r="KJ101" s="60"/>
      <c r="KK101" s="60"/>
      <c r="KL101" s="62"/>
      <c r="KM101" s="62"/>
      <c r="LA101" s="46"/>
      <c r="LB101" s="46"/>
      <c r="LC101" s="46"/>
      <c r="LD101" s="46"/>
      <c r="LE101" s="46"/>
      <c r="LF101" s="46"/>
      <c r="LG101" s="46"/>
      <c r="LH101" s="46"/>
      <c r="LS101" s="46"/>
      <c r="LT101" s="46"/>
      <c r="LU101" s="46"/>
      <c r="LV101" s="46"/>
      <c r="LW101" s="46"/>
      <c r="LX101" s="46"/>
      <c r="LY101" s="46"/>
      <c r="LZ101" s="46"/>
      <c r="MA101" s="46"/>
      <c r="MB101" s="46"/>
      <c r="MC101" s="46"/>
      <c r="MD101" s="46"/>
      <c r="ME101" s="46"/>
      <c r="MF101" s="46"/>
      <c r="MG101" s="46"/>
      <c r="MH101" s="46"/>
      <c r="MI101" s="46"/>
      <c r="MJ101" s="46"/>
      <c r="MK101" s="46"/>
      <c r="ML101" s="46"/>
      <c r="MM101" s="46"/>
      <c r="MN101" s="46"/>
      <c r="MO101" s="46"/>
      <c r="MP101" s="46"/>
      <c r="MQ101" s="46"/>
      <c r="MR101" s="46"/>
      <c r="MS101" s="46"/>
      <c r="MT101" s="46"/>
      <c r="MU101" s="46"/>
      <c r="MV101" s="46"/>
      <c r="MW101" s="46"/>
      <c r="MX101" s="46"/>
      <c r="MY101" s="46"/>
      <c r="MZ101" s="46"/>
      <c r="NA101" s="46"/>
      <c r="NB101" s="46"/>
      <c r="NC101" s="46"/>
      <c r="ND101" s="46"/>
      <c r="NE101" s="46"/>
      <c r="NF101" s="46"/>
      <c r="NG101" s="46"/>
    </row>
    <row r="102" spans="1:371" x14ac:dyDescent="0.35">
      <c r="C102" s="45"/>
      <c r="D102" s="45"/>
      <c r="E102" s="45"/>
      <c r="F102" s="45"/>
      <c r="G102" s="45"/>
      <c r="H102" s="45"/>
      <c r="I102" s="45"/>
      <c r="J102" s="45"/>
      <c r="X102" s="45"/>
      <c r="Y102" s="45"/>
      <c r="Z102" s="45"/>
      <c r="AA102" s="45"/>
      <c r="AB102" s="45"/>
      <c r="AC102" s="45"/>
      <c r="AD102" s="45"/>
      <c r="AE102" s="45"/>
      <c r="AS102" s="45"/>
      <c r="AT102" s="45"/>
      <c r="AU102" s="45"/>
      <c r="AV102" s="45"/>
      <c r="AW102" s="45"/>
      <c r="AX102" s="45"/>
      <c r="AY102" s="45"/>
      <c r="AZ102" s="45"/>
      <c r="BN102" s="45"/>
      <c r="BO102" s="45"/>
      <c r="BP102" s="45"/>
      <c r="BQ102" s="45"/>
      <c r="BR102" s="45"/>
      <c r="BS102" s="45"/>
      <c r="BT102" s="45"/>
      <c r="BU102" s="45"/>
      <c r="CK102" s="45"/>
      <c r="CL102" s="45"/>
      <c r="CM102" s="45"/>
      <c r="CN102" s="45"/>
      <c r="CO102" s="45"/>
      <c r="CP102" s="45"/>
      <c r="CQ102" s="45"/>
      <c r="CR102" s="45"/>
      <c r="DF102" s="45"/>
      <c r="DG102" s="45"/>
      <c r="DH102" s="45"/>
      <c r="DI102" s="45"/>
      <c r="DJ102" s="45"/>
      <c r="DK102" s="45"/>
      <c r="DL102" s="45"/>
      <c r="DM102" s="45"/>
      <c r="EC102" s="45"/>
      <c r="ED102" s="45"/>
      <c r="EE102" s="45"/>
      <c r="EF102" s="45"/>
      <c r="EG102" s="45"/>
      <c r="EH102" s="45"/>
      <c r="EI102" s="45"/>
      <c r="EJ102" s="45"/>
      <c r="EY102" s="45"/>
      <c r="EZ102" s="45"/>
      <c r="FA102" s="45"/>
      <c r="FB102" s="45"/>
      <c r="FC102" s="45"/>
      <c r="FD102" s="45"/>
      <c r="FE102" s="45"/>
      <c r="FF102" s="45"/>
      <c r="FV102" s="45"/>
      <c r="FW102" s="45"/>
      <c r="FX102" s="45"/>
      <c r="FY102" s="45"/>
      <c r="FZ102" s="45"/>
      <c r="GA102" s="45"/>
      <c r="GB102" s="45"/>
      <c r="GC102" s="45"/>
      <c r="GR102" s="45"/>
      <c r="GS102" s="45"/>
      <c r="GT102" s="45"/>
      <c r="GU102" s="45"/>
      <c r="GV102" s="45"/>
      <c r="GW102" s="45"/>
      <c r="GX102" s="45"/>
      <c r="GY102" s="45"/>
      <c r="HN102" s="45"/>
      <c r="HO102" s="45"/>
      <c r="HP102" s="45"/>
      <c r="HQ102" s="45"/>
      <c r="HR102" s="45"/>
      <c r="HS102" s="45"/>
      <c r="HT102" s="45"/>
      <c r="HU102" s="45"/>
      <c r="IK102" s="45"/>
      <c r="IL102" s="45"/>
      <c r="IM102" s="45"/>
      <c r="IN102" s="45"/>
      <c r="IO102" s="45"/>
      <c r="IP102" s="45"/>
      <c r="IQ102" s="45"/>
      <c r="IR102" s="45"/>
      <c r="JI102" s="45"/>
      <c r="JJ102" s="45"/>
      <c r="JK102" s="45"/>
      <c r="JL102" s="45"/>
      <c r="JM102" s="45"/>
      <c r="JN102" s="45"/>
      <c r="JO102" s="45"/>
      <c r="JP102" s="45"/>
      <c r="KF102" s="45"/>
      <c r="KG102" s="45"/>
      <c r="KH102" s="45"/>
      <c r="KI102" s="45"/>
      <c r="KJ102" s="45"/>
      <c r="KK102" s="45"/>
      <c r="KL102" s="45"/>
      <c r="KM102" s="45"/>
      <c r="LA102" s="45"/>
      <c r="LB102" s="45"/>
      <c r="LC102" s="45"/>
      <c r="LD102" s="45"/>
      <c r="LE102" s="45"/>
      <c r="LF102" s="45"/>
      <c r="LG102" s="45"/>
      <c r="LH102" s="45"/>
      <c r="LS102" s="46"/>
      <c r="LT102" s="46"/>
      <c r="LU102" s="46"/>
      <c r="LV102" s="46"/>
      <c r="LW102" s="46"/>
      <c r="LX102" s="46"/>
      <c r="LY102" s="46"/>
      <c r="LZ102" s="46"/>
      <c r="MA102" s="46"/>
      <c r="MB102" s="46"/>
      <c r="MC102" s="46"/>
      <c r="MD102" s="46"/>
      <c r="ME102" s="46"/>
      <c r="MF102" s="46"/>
      <c r="MG102" s="46"/>
      <c r="MH102" s="46"/>
      <c r="MI102" s="46"/>
      <c r="MJ102" s="46"/>
      <c r="MK102" s="46"/>
      <c r="ML102" s="46"/>
      <c r="MM102" s="46"/>
      <c r="MN102" s="46"/>
      <c r="MO102" s="46"/>
      <c r="MP102" s="46"/>
      <c r="MQ102" s="46"/>
      <c r="MR102" s="46"/>
      <c r="MS102" s="46"/>
      <c r="MT102" s="46"/>
      <c r="MU102" s="46"/>
      <c r="MV102" s="46"/>
      <c r="MW102" s="46"/>
      <c r="MX102" s="46"/>
      <c r="MY102" s="46"/>
      <c r="MZ102" s="46"/>
      <c r="NA102" s="46"/>
      <c r="NB102" s="46"/>
      <c r="NC102" s="46"/>
      <c r="ND102" s="46"/>
      <c r="NE102" s="46"/>
      <c r="NF102" s="46"/>
      <c r="NG102" s="46"/>
    </row>
    <row r="103" spans="1:371" ht="15" customHeight="1" x14ac:dyDescent="0.35">
      <c r="C103" s="45"/>
      <c r="D103" s="45"/>
      <c r="E103" s="96" t="s">
        <v>97</v>
      </c>
      <c r="F103" s="96"/>
      <c r="G103" s="96"/>
      <c r="H103" s="96"/>
      <c r="I103" s="45"/>
      <c r="J103" s="45"/>
      <c r="X103" s="45"/>
      <c r="Y103" s="45"/>
      <c r="Z103" s="45"/>
      <c r="AA103" s="45"/>
      <c r="AB103" s="45"/>
      <c r="AC103" s="45"/>
      <c r="AD103" s="45"/>
      <c r="AE103" s="45"/>
      <c r="AS103" s="45"/>
      <c r="AT103" s="45"/>
      <c r="AU103" s="45"/>
      <c r="AV103" s="45"/>
      <c r="AW103" s="45"/>
      <c r="AX103" s="45"/>
      <c r="AY103" s="45"/>
      <c r="AZ103" s="45"/>
      <c r="BN103" s="45"/>
      <c r="BO103" s="45"/>
      <c r="BP103" s="45"/>
      <c r="BQ103" s="45"/>
      <c r="BR103" s="45"/>
      <c r="BS103" s="45"/>
      <c r="BT103" s="45"/>
      <c r="BU103" s="45"/>
      <c r="CK103" s="45"/>
      <c r="CL103" s="45"/>
      <c r="CM103" s="45"/>
      <c r="CN103" s="45"/>
      <c r="CO103" s="45"/>
      <c r="CP103" s="45"/>
      <c r="CQ103" s="45"/>
      <c r="CR103" s="45"/>
      <c r="DF103" s="45"/>
      <c r="DG103" s="45"/>
      <c r="DH103" s="45"/>
      <c r="DI103" s="45"/>
      <c r="DJ103" s="45"/>
      <c r="DK103" s="45"/>
      <c r="DL103" s="45"/>
      <c r="DM103" s="45"/>
      <c r="EC103" s="45"/>
      <c r="ED103" s="45"/>
      <c r="EE103" s="45"/>
      <c r="EF103" s="45"/>
      <c r="EG103" s="45"/>
      <c r="EH103" s="45"/>
      <c r="EI103" s="45"/>
      <c r="EJ103" s="45"/>
      <c r="EY103" s="45"/>
      <c r="EZ103" s="45"/>
      <c r="FA103" s="45"/>
      <c r="FB103" s="45"/>
      <c r="FC103" s="45"/>
      <c r="FD103" s="45"/>
      <c r="FE103" s="45"/>
      <c r="FF103" s="45"/>
      <c r="FV103" s="45"/>
      <c r="FW103" s="45"/>
      <c r="FX103" s="45"/>
      <c r="FY103" s="45"/>
      <c r="FZ103" s="45"/>
      <c r="GA103" s="45"/>
      <c r="GB103" s="45"/>
      <c r="GC103" s="45"/>
      <c r="GR103" s="45"/>
      <c r="GS103" s="45"/>
      <c r="GT103" s="45"/>
      <c r="GU103" s="45"/>
      <c r="GV103" s="45"/>
      <c r="GW103" s="45"/>
      <c r="GX103" s="45"/>
      <c r="GY103" s="45"/>
      <c r="HN103" s="45"/>
      <c r="HO103" s="45"/>
      <c r="HP103" s="45"/>
      <c r="HQ103" s="45"/>
      <c r="HR103" s="45"/>
      <c r="HS103" s="45"/>
      <c r="HT103" s="45"/>
      <c r="HU103" s="45"/>
      <c r="IK103" s="45"/>
      <c r="IL103" s="45"/>
      <c r="IM103" s="45"/>
      <c r="IN103" s="45"/>
      <c r="IO103" s="45"/>
      <c r="IP103" s="45"/>
      <c r="IQ103" s="45"/>
      <c r="IR103" s="45"/>
      <c r="JI103" s="45"/>
      <c r="JJ103" s="45"/>
      <c r="JK103" s="45"/>
      <c r="JL103" s="45"/>
      <c r="JM103" s="45"/>
      <c r="JN103" s="45"/>
      <c r="JO103" s="45"/>
      <c r="JP103" s="45"/>
      <c r="KF103" s="45"/>
      <c r="KG103" s="45"/>
      <c r="KH103" s="45"/>
      <c r="KI103" s="45"/>
      <c r="KJ103" s="45"/>
      <c r="KK103" s="45"/>
      <c r="KL103" s="45"/>
      <c r="KM103" s="45"/>
      <c r="LA103" s="45"/>
      <c r="LB103" s="45"/>
      <c r="LC103" s="45"/>
      <c r="LD103" s="45"/>
      <c r="LE103" s="45"/>
      <c r="LF103" s="45"/>
      <c r="LG103" s="45"/>
      <c r="LH103" s="45"/>
      <c r="LS103" s="46"/>
      <c r="LT103" s="46"/>
      <c r="LU103" s="46"/>
      <c r="LV103" s="46"/>
      <c r="LW103" s="46"/>
      <c r="LX103" s="46"/>
      <c r="LY103" s="46"/>
      <c r="LZ103" s="46"/>
      <c r="MA103" s="46"/>
      <c r="MB103" s="46"/>
      <c r="MC103" s="46"/>
      <c r="MD103" s="46"/>
      <c r="ME103" s="46"/>
      <c r="MF103" s="46"/>
      <c r="MG103" s="46"/>
      <c r="MH103" s="46"/>
      <c r="MI103" s="46"/>
      <c r="MJ103" s="46"/>
      <c r="MK103" s="46"/>
      <c r="ML103" s="46"/>
      <c r="MM103" s="46"/>
      <c r="MN103" s="46"/>
      <c r="MO103" s="46"/>
      <c r="MP103" s="46"/>
      <c r="MQ103" s="46"/>
      <c r="MR103" s="46"/>
      <c r="MS103" s="46"/>
      <c r="MT103" s="46"/>
      <c r="MU103" s="46"/>
      <c r="MV103" s="46"/>
      <c r="MW103" s="46"/>
      <c r="MX103" s="46"/>
      <c r="MY103" s="46"/>
      <c r="MZ103" s="46"/>
      <c r="NA103" s="46"/>
      <c r="NB103" s="46"/>
      <c r="NC103" s="46"/>
      <c r="ND103" s="46"/>
      <c r="NE103" s="46"/>
      <c r="NF103" s="46"/>
      <c r="NG103" s="46"/>
    </row>
    <row r="104" spans="1:371" x14ac:dyDescent="0.35">
      <c r="LS104" s="46"/>
      <c r="LT104" s="46"/>
      <c r="LU104" s="46"/>
      <c r="LV104" s="46"/>
      <c r="LW104" s="46"/>
      <c r="LX104" s="46"/>
      <c r="LY104" s="46"/>
      <c r="LZ104" s="46"/>
      <c r="MA104" s="46"/>
      <c r="MB104" s="46"/>
      <c r="MC104" s="46"/>
      <c r="MD104" s="46"/>
      <c r="ME104" s="46"/>
      <c r="MF104" s="46"/>
      <c r="MG104" s="46"/>
      <c r="MH104" s="46"/>
      <c r="MI104" s="46"/>
      <c r="MJ104" s="46"/>
      <c r="MK104" s="46"/>
      <c r="ML104" s="46"/>
      <c r="MM104" s="46"/>
      <c r="MN104" s="46"/>
      <c r="MO104" s="46"/>
      <c r="MP104" s="46"/>
      <c r="MQ104" s="46"/>
      <c r="MR104" s="46"/>
      <c r="MS104" s="46"/>
      <c r="MT104" s="46"/>
      <c r="MU104" s="46"/>
      <c r="MV104" s="46"/>
      <c r="MW104" s="46"/>
      <c r="MX104" s="46"/>
      <c r="MY104" s="46"/>
      <c r="MZ104" s="46"/>
      <c r="NA104" s="46"/>
      <c r="NB104" s="46"/>
      <c r="NC104" s="46"/>
      <c r="ND104" s="46"/>
      <c r="NE104" s="46"/>
      <c r="NF104" s="46"/>
      <c r="NG104" s="46"/>
    </row>
    <row r="105" spans="1:371" ht="15" customHeight="1" x14ac:dyDescent="0.35">
      <c r="A105" s="98"/>
      <c r="B105" s="99"/>
      <c r="C105" s="60"/>
      <c r="D105" s="60"/>
      <c r="E105" s="60" t="s">
        <v>13</v>
      </c>
      <c r="F105" s="60"/>
      <c r="G105" s="60" t="s">
        <v>14</v>
      </c>
      <c r="H105" s="60"/>
      <c r="I105" s="60" t="s">
        <v>15</v>
      </c>
      <c r="J105" s="60"/>
      <c r="L105" s="60"/>
      <c r="M105" s="60"/>
      <c r="N105" s="60" t="s">
        <v>13</v>
      </c>
      <c r="O105" s="60"/>
      <c r="P105" s="60" t="s">
        <v>14</v>
      </c>
      <c r="Q105" s="60"/>
      <c r="R105" s="60" t="s">
        <v>15</v>
      </c>
      <c r="S105" s="60"/>
      <c r="T105" s="60" t="s">
        <v>99</v>
      </c>
      <c r="U105" s="60"/>
      <c r="V105" s="60" t="s">
        <v>100</v>
      </c>
      <c r="W105" s="60"/>
      <c r="X105" s="60" t="s">
        <v>105</v>
      </c>
      <c r="Y105" s="60"/>
      <c r="LS105" s="46"/>
      <c r="LT105" s="46"/>
      <c r="LU105" s="46"/>
      <c r="LV105" s="46"/>
      <c r="LW105" s="46"/>
      <c r="LX105" s="46"/>
      <c r="LY105" s="46"/>
      <c r="LZ105" s="46"/>
      <c r="MA105" s="46"/>
      <c r="MB105" s="46"/>
      <c r="MC105" s="46"/>
      <c r="MD105" s="46"/>
      <c r="ME105" s="46"/>
      <c r="MF105" s="46"/>
      <c r="MG105" s="46"/>
      <c r="MH105" s="46"/>
      <c r="MI105" s="46"/>
      <c r="MJ105" s="46"/>
      <c r="MK105" s="46"/>
      <c r="ML105" s="46"/>
      <c r="MM105" s="46"/>
      <c r="MN105" s="46"/>
      <c r="MO105" s="46"/>
      <c r="MP105" s="46"/>
      <c r="MQ105" s="46"/>
      <c r="MR105" s="46"/>
      <c r="MS105" s="46"/>
      <c r="MT105" s="46"/>
      <c r="MU105" s="46"/>
      <c r="MV105" s="46"/>
      <c r="MW105" s="46"/>
      <c r="MX105" s="46"/>
      <c r="MY105" s="46"/>
      <c r="MZ105" s="46"/>
      <c r="NA105" s="46"/>
      <c r="NB105" s="46"/>
      <c r="NC105" s="46"/>
      <c r="ND105" s="46"/>
      <c r="NE105" s="46"/>
      <c r="NF105" s="46"/>
      <c r="NG105" s="46"/>
    </row>
    <row r="106" spans="1:371" x14ac:dyDescent="0.35">
      <c r="C106" s="60"/>
      <c r="D106" s="60"/>
      <c r="E106" s="60"/>
      <c r="F106" s="60"/>
      <c r="G106" s="60"/>
      <c r="H106" s="60"/>
      <c r="I106" s="60"/>
      <c r="J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AA106" t="s">
        <v>101</v>
      </c>
      <c r="AB106">
        <f>(X113-3)/(3-1)</f>
        <v>3.98629148629146E-2</v>
      </c>
      <c r="LS106" s="46"/>
      <c r="LT106" s="46"/>
      <c r="LU106" s="46"/>
      <c r="LV106" s="46"/>
      <c r="LW106" s="46"/>
      <c r="LX106" s="46"/>
      <c r="LY106" s="46"/>
      <c r="LZ106" s="46"/>
      <c r="MA106" s="46"/>
      <c r="MB106" s="46"/>
      <c r="MC106" s="46"/>
      <c r="MD106" s="46"/>
      <c r="ME106" s="46"/>
      <c r="MF106" s="46"/>
      <c r="MG106" s="46"/>
      <c r="MH106" s="46"/>
      <c r="MI106" s="46"/>
      <c r="MJ106" s="46"/>
      <c r="MK106" s="46"/>
      <c r="ML106" s="46"/>
      <c r="MM106" s="46"/>
      <c r="MN106" s="46"/>
      <c r="MO106" s="46"/>
      <c r="MP106" s="46"/>
      <c r="MQ106" s="46"/>
      <c r="MR106" s="46"/>
      <c r="MS106" s="46"/>
      <c r="MT106" s="46"/>
      <c r="MU106" s="46"/>
      <c r="MV106" s="46"/>
      <c r="MW106" s="46"/>
      <c r="MX106" s="46"/>
      <c r="MY106" s="46"/>
      <c r="MZ106" s="46"/>
      <c r="NA106" s="46"/>
      <c r="NB106" s="46"/>
      <c r="NC106" s="46"/>
      <c r="ND106" s="46"/>
      <c r="NE106" s="46"/>
      <c r="NF106" s="46"/>
      <c r="NG106" s="46"/>
    </row>
    <row r="107" spans="1:371" ht="15" customHeight="1" x14ac:dyDescent="0.35">
      <c r="C107" s="60" t="s">
        <v>13</v>
      </c>
      <c r="D107" s="60"/>
      <c r="E107" s="87">
        <f>AVERAGE(E96,Z96,AU96,BP96,CM96,DH96,EE96,FA96,FX96,GT96,HP96,IM96,JK96,KH96,LC96)</f>
        <v>1</v>
      </c>
      <c r="F107" s="87"/>
      <c r="G107" s="102">
        <f>ROUND(AVERAGE(G96,AB96,AW96,BR96,CO96,DJ96,EG96,FC96,FZ96,GV96,HR96,IO96,JM96,KJ96,LE96),0)</f>
        <v>4</v>
      </c>
      <c r="H107" s="102"/>
      <c r="I107" s="102">
        <f>ROUND(AVERAGE(I96,AD96,AY96,BT96,CQ96,DL96,EI96,FE96,GB96,GX96,HT96,IQ96,JO96,KL96,LG96),0)</f>
        <v>4</v>
      </c>
      <c r="J107" s="102"/>
      <c r="L107" s="60" t="s">
        <v>13</v>
      </c>
      <c r="M107" s="60"/>
      <c r="N107" s="95">
        <f>E107/$E$113</f>
        <v>0.66666666666666663</v>
      </c>
      <c r="O107" s="95"/>
      <c r="P107" s="95">
        <f>G107/$G$113</f>
        <v>0.72727272727272729</v>
      </c>
      <c r="Q107" s="95"/>
      <c r="R107" s="95">
        <f>I107/$I$113</f>
        <v>0.5714285714285714</v>
      </c>
      <c r="S107" s="95"/>
      <c r="T107" s="95">
        <f>SUM(N107:S108)</f>
        <v>1.9653679653679654</v>
      </c>
      <c r="U107" s="95"/>
      <c r="V107" s="95">
        <f>T107/$T$113</f>
        <v>0.65512265512265511</v>
      </c>
      <c r="W107" s="95"/>
      <c r="X107" s="95">
        <f>V107*E113</f>
        <v>0.9826839826839826</v>
      </c>
      <c r="Y107" s="95"/>
      <c r="AA107" t="s">
        <v>102</v>
      </c>
      <c r="AB107">
        <v>0.57999999999999996</v>
      </c>
      <c r="LS107" s="46"/>
      <c r="LT107" s="46"/>
      <c r="LU107" s="46"/>
      <c r="LV107" s="46"/>
      <c r="LW107" s="46"/>
      <c r="LX107" s="46"/>
      <c r="LY107" s="46"/>
      <c r="LZ107" s="46"/>
      <c r="MA107" s="46"/>
      <c r="MB107" s="46"/>
      <c r="MC107" s="46"/>
      <c r="MD107" s="46"/>
      <c r="ME107" s="46"/>
      <c r="MF107" s="46"/>
      <c r="MG107" s="46"/>
      <c r="MH107" s="46"/>
      <c r="MI107" s="46"/>
      <c r="MJ107" s="46"/>
      <c r="MK107" s="46"/>
      <c r="ML107" s="46"/>
      <c r="MM107" s="46"/>
      <c r="MN107" s="46"/>
      <c r="MO107" s="46"/>
      <c r="MP107" s="46"/>
      <c r="MQ107" s="46"/>
      <c r="MR107" s="46"/>
      <c r="MS107" s="46"/>
      <c r="MT107" s="46"/>
      <c r="MU107" s="46"/>
      <c r="MV107" s="46"/>
      <c r="MW107" s="46"/>
      <c r="MX107" s="46"/>
      <c r="MY107" s="46"/>
      <c r="MZ107" s="46"/>
      <c r="NA107" s="46"/>
      <c r="NB107" s="46"/>
      <c r="NC107" s="46"/>
      <c r="ND107" s="46"/>
      <c r="NE107" s="46"/>
      <c r="NF107" s="46"/>
      <c r="NG107" s="46"/>
    </row>
    <row r="108" spans="1:371" x14ac:dyDescent="0.35">
      <c r="C108" s="60"/>
      <c r="D108" s="60"/>
      <c r="E108" s="87"/>
      <c r="F108" s="87"/>
      <c r="G108" s="102"/>
      <c r="H108" s="102"/>
      <c r="I108" s="102"/>
      <c r="J108" s="102"/>
      <c r="L108" s="60"/>
      <c r="M108" s="60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AA108" t="s">
        <v>103</v>
      </c>
      <c r="AB108">
        <f>AB106/AB107</f>
        <v>6.8729163556749309E-2</v>
      </c>
      <c r="LS108" s="46"/>
      <c r="LT108" s="46"/>
      <c r="LU108" s="46"/>
      <c r="LV108" s="46"/>
      <c r="LW108" s="46"/>
      <c r="LX108" s="46"/>
      <c r="LY108" s="46"/>
      <c r="LZ108" s="46"/>
      <c r="MA108" s="46"/>
      <c r="MB108" s="46"/>
      <c r="MC108" s="46"/>
      <c r="MD108" s="46"/>
      <c r="ME108" s="46"/>
      <c r="MF108" s="46"/>
      <c r="MG108" s="46"/>
      <c r="MH108" s="46"/>
      <c r="MI108" s="46"/>
      <c r="MJ108" s="46"/>
      <c r="MK108" s="46"/>
      <c r="ML108" s="46"/>
      <c r="MM108" s="46"/>
      <c r="MN108" s="46"/>
      <c r="MO108" s="46"/>
      <c r="MP108" s="46"/>
      <c r="MQ108" s="46"/>
      <c r="MR108" s="46"/>
      <c r="MS108" s="46"/>
      <c r="MT108" s="46"/>
      <c r="MU108" s="46"/>
      <c r="MV108" s="46"/>
      <c r="MW108" s="46"/>
      <c r="MX108" s="46"/>
      <c r="MY108" s="46"/>
      <c r="MZ108" s="46"/>
      <c r="NA108" s="46"/>
      <c r="NB108" s="46"/>
      <c r="NC108" s="46"/>
      <c r="ND108" s="46"/>
      <c r="NE108" s="46"/>
      <c r="NF108" s="46"/>
      <c r="NG108" s="46"/>
    </row>
    <row r="109" spans="1:371" ht="15" customHeight="1" x14ac:dyDescent="0.35">
      <c r="C109" s="60" t="s">
        <v>14</v>
      </c>
      <c r="D109" s="60"/>
      <c r="E109" s="60">
        <f>1/G107</f>
        <v>0.25</v>
      </c>
      <c r="F109" s="60"/>
      <c r="G109" s="87">
        <f t="shared" ref="G109" si="163">AVERAGE(G98,AB98,AW98,BR98,CO98,DJ98,EG98,FC98,FZ98,GV98,HR98,IO98,JM98,KJ98,LE98)</f>
        <v>1</v>
      </c>
      <c r="H109" s="87"/>
      <c r="I109" s="102">
        <f>ROUND(AVERAGE(I98,AD98,AY98,BT98,CQ98,DL98,EI98,FE98,GB98,GX98,HT98,IQ98,JO98,KL98,LG98),0)</f>
        <v>2</v>
      </c>
      <c r="J109" s="102"/>
      <c r="L109" s="60" t="s">
        <v>14</v>
      </c>
      <c r="M109" s="60"/>
      <c r="N109" s="95">
        <f t="shared" ref="N109" si="164">E109/$E$113</f>
        <v>0.16666666666666666</v>
      </c>
      <c r="O109" s="95"/>
      <c r="P109" s="95">
        <f t="shared" ref="P109" si="165">G109/$G$113</f>
        <v>0.18181818181818182</v>
      </c>
      <c r="Q109" s="95"/>
      <c r="R109" s="95">
        <f t="shared" ref="R109" si="166">I109/$I$113</f>
        <v>0.2857142857142857</v>
      </c>
      <c r="S109" s="95"/>
      <c r="T109" s="95">
        <f>SUM(N109:S110)</f>
        <v>0.63419913419913421</v>
      </c>
      <c r="U109" s="95"/>
      <c r="V109" s="95">
        <f>T109/$T$113</f>
        <v>0.21139971139971139</v>
      </c>
      <c r="W109" s="95"/>
      <c r="X109" s="95">
        <f>V109*G113</f>
        <v>1.1626984126984126</v>
      </c>
      <c r="Y109" s="95"/>
      <c r="LS109" s="46"/>
      <c r="LT109" s="46"/>
      <c r="LU109" s="46"/>
      <c r="LV109" s="46"/>
      <c r="LW109" s="46"/>
      <c r="LX109" s="46"/>
      <c r="LY109" s="46"/>
      <c r="LZ109" s="46"/>
      <c r="MA109" s="46"/>
      <c r="MB109" s="46"/>
      <c r="MC109" s="46"/>
      <c r="MD109" s="46"/>
      <c r="ME109" s="46"/>
      <c r="MF109" s="46"/>
      <c r="MG109" s="46"/>
      <c r="MH109" s="46"/>
      <c r="MI109" s="46"/>
      <c r="MJ109" s="46"/>
      <c r="MK109" s="46"/>
      <c r="ML109" s="46"/>
      <c r="MM109" s="46"/>
      <c r="MN109" s="46"/>
      <c r="MO109" s="46"/>
      <c r="MP109" s="46"/>
      <c r="MQ109" s="46"/>
      <c r="MR109" s="46"/>
      <c r="MS109" s="46"/>
      <c r="MT109" s="46"/>
      <c r="MU109" s="46"/>
      <c r="MV109" s="46"/>
      <c r="MW109" s="46"/>
      <c r="MX109" s="46"/>
      <c r="MY109" s="46"/>
      <c r="MZ109" s="46"/>
      <c r="NA109" s="46"/>
      <c r="NB109" s="46"/>
      <c r="NC109" s="46"/>
      <c r="ND109" s="46"/>
      <c r="NE109" s="46"/>
      <c r="NF109" s="46"/>
      <c r="NG109" s="46"/>
    </row>
    <row r="110" spans="1:371" x14ac:dyDescent="0.35">
      <c r="C110" s="60"/>
      <c r="D110" s="60"/>
      <c r="E110" s="60"/>
      <c r="F110" s="60"/>
      <c r="G110" s="87"/>
      <c r="H110" s="87"/>
      <c r="I110" s="102"/>
      <c r="J110" s="102"/>
      <c r="L110" s="60"/>
      <c r="M110" s="60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LS110" s="46"/>
      <c r="LT110" s="46"/>
      <c r="LU110" s="46"/>
      <c r="LV110" s="46"/>
      <c r="LW110" s="46"/>
      <c r="LX110" s="46"/>
      <c r="LY110" s="46"/>
      <c r="LZ110" s="46"/>
      <c r="MA110" s="46"/>
      <c r="MB110" s="46"/>
      <c r="MC110" s="46"/>
      <c r="MD110" s="46"/>
      <c r="ME110" s="46"/>
      <c r="MF110" s="46"/>
      <c r="MG110" s="46"/>
      <c r="MH110" s="46"/>
      <c r="MI110" s="46"/>
      <c r="MJ110" s="46"/>
      <c r="MK110" s="46"/>
      <c r="ML110" s="46"/>
      <c r="MM110" s="46"/>
      <c r="MN110" s="46"/>
      <c r="MO110" s="46"/>
      <c r="MP110" s="46"/>
      <c r="MQ110" s="46"/>
      <c r="MR110" s="46"/>
      <c r="MS110" s="46"/>
      <c r="MT110" s="46"/>
      <c r="MU110" s="46"/>
      <c r="MV110" s="46"/>
      <c r="MW110" s="46"/>
      <c r="MX110" s="46"/>
      <c r="MY110" s="46"/>
      <c r="MZ110" s="46"/>
      <c r="NA110" s="46"/>
      <c r="NB110" s="46"/>
      <c r="NC110" s="46"/>
      <c r="ND110" s="46"/>
      <c r="NE110" s="46"/>
      <c r="NF110" s="46"/>
      <c r="NG110" s="46"/>
    </row>
    <row r="111" spans="1:371" ht="15" customHeight="1" x14ac:dyDescent="0.35">
      <c r="C111" s="60" t="s">
        <v>15</v>
      </c>
      <c r="D111" s="60"/>
      <c r="E111" s="60">
        <f>1/I107</f>
        <v>0.25</v>
      </c>
      <c r="F111" s="60"/>
      <c r="G111" s="60">
        <f>1/I109</f>
        <v>0.5</v>
      </c>
      <c r="H111" s="60"/>
      <c r="I111" s="87">
        <f t="shared" ref="I111" si="167">AVERAGE(I100,AD100,AY100,BT100,CQ100,DL100,EI100,FE100,GB100,GX100,HT100,IQ100,JO100,KL100,LG100)</f>
        <v>1</v>
      </c>
      <c r="J111" s="87"/>
      <c r="L111" s="60" t="s">
        <v>15</v>
      </c>
      <c r="M111" s="60"/>
      <c r="N111" s="95">
        <f t="shared" ref="N111" si="168">E111/$E$113</f>
        <v>0.16666666666666666</v>
      </c>
      <c r="O111" s="95"/>
      <c r="P111" s="95">
        <f t="shared" ref="P111" si="169">G111/$G$113</f>
        <v>9.0909090909090912E-2</v>
      </c>
      <c r="Q111" s="95"/>
      <c r="R111" s="95">
        <f t="shared" ref="R111" si="170">I111/$I$113</f>
        <v>0.14285714285714285</v>
      </c>
      <c r="S111" s="95"/>
      <c r="T111" s="95">
        <f t="shared" ref="T111" si="171">SUM(N111:S112)</f>
        <v>0.40043290043290042</v>
      </c>
      <c r="U111" s="95"/>
      <c r="V111" s="95">
        <f t="shared" ref="V111" si="172">T111/$T$113</f>
        <v>0.13347763347763347</v>
      </c>
      <c r="W111" s="95"/>
      <c r="X111" s="95">
        <f>V111*I113</f>
        <v>0.93434343434343425</v>
      </c>
      <c r="Y111" s="95"/>
      <c r="LS111" s="46"/>
      <c r="LT111" s="46"/>
      <c r="LU111" s="46"/>
      <c r="LV111" s="46"/>
      <c r="LW111" s="46"/>
      <c r="LX111" s="46"/>
      <c r="LY111" s="46"/>
      <c r="LZ111" s="46"/>
      <c r="MA111" s="46"/>
      <c r="MB111" s="46"/>
      <c r="MC111" s="46"/>
      <c r="MD111" s="46"/>
      <c r="ME111" s="46"/>
      <c r="MF111" s="46"/>
      <c r="MG111" s="46"/>
      <c r="MH111" s="46"/>
      <c r="MI111" s="46"/>
      <c r="MJ111" s="46"/>
      <c r="MK111" s="46"/>
      <c r="ML111" s="46"/>
      <c r="MM111" s="46"/>
      <c r="MN111" s="46"/>
      <c r="MO111" s="46"/>
      <c r="MP111" s="46"/>
      <c r="MQ111" s="46"/>
      <c r="MR111" s="46"/>
      <c r="MS111" s="46"/>
      <c r="MT111" s="46"/>
      <c r="MU111" s="46"/>
      <c r="MV111" s="46"/>
      <c r="MW111" s="46"/>
      <c r="MX111" s="46"/>
      <c r="MY111" s="46"/>
      <c r="MZ111" s="46"/>
      <c r="NA111" s="46"/>
      <c r="NB111" s="46"/>
      <c r="NC111" s="46"/>
      <c r="ND111" s="46"/>
      <c r="NE111" s="46"/>
      <c r="NF111" s="46"/>
      <c r="NG111" s="46"/>
    </row>
    <row r="112" spans="1:371" ht="15" customHeight="1" x14ac:dyDescent="0.35">
      <c r="C112" s="60"/>
      <c r="D112" s="60"/>
      <c r="E112" s="60"/>
      <c r="F112" s="60"/>
      <c r="G112" s="60"/>
      <c r="H112" s="60"/>
      <c r="I112" s="87"/>
      <c r="J112" s="87"/>
      <c r="L112" s="60"/>
      <c r="M112" s="60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LS112" s="46"/>
      <c r="LT112" s="46"/>
      <c r="LU112" s="46"/>
      <c r="LV112" s="46"/>
      <c r="LW112" s="46"/>
      <c r="LX112" s="46"/>
      <c r="LY112" s="46"/>
      <c r="LZ112" s="46"/>
      <c r="MA112" s="46"/>
      <c r="MB112" s="46"/>
      <c r="MC112" s="46"/>
      <c r="MD112" s="46"/>
      <c r="ME112" s="46"/>
      <c r="MF112" s="46"/>
      <c r="MG112" s="46"/>
      <c r="MH112" s="46"/>
      <c r="MI112" s="46"/>
      <c r="MJ112" s="46"/>
      <c r="MK112" s="46"/>
      <c r="ML112" s="46"/>
      <c r="MM112" s="46"/>
      <c r="MN112" s="46"/>
      <c r="MO112" s="46"/>
      <c r="MP112" s="46"/>
      <c r="MQ112" s="46"/>
      <c r="MR112" s="46"/>
      <c r="MS112" s="46"/>
      <c r="MT112" s="46"/>
      <c r="MU112" s="46"/>
      <c r="MV112" s="46"/>
      <c r="MW112" s="46"/>
      <c r="MX112" s="46"/>
      <c r="MY112" s="46"/>
      <c r="MZ112" s="46"/>
      <c r="NA112" s="46"/>
      <c r="NB112" s="46"/>
      <c r="NC112" s="46"/>
      <c r="ND112" s="46"/>
      <c r="NE112" s="46"/>
      <c r="NF112" s="46"/>
      <c r="NG112" s="46"/>
    </row>
    <row r="113" spans="3:371" ht="15" customHeight="1" x14ac:dyDescent="0.35">
      <c r="C113" s="60" t="s">
        <v>98</v>
      </c>
      <c r="D113" s="60"/>
      <c r="E113" s="102">
        <f>SUM(E107:F112)</f>
        <v>1.5</v>
      </c>
      <c r="F113" s="102"/>
      <c r="G113" s="102">
        <f t="shared" ref="G113" si="173">SUM(G107:H112)</f>
        <v>5.5</v>
      </c>
      <c r="H113" s="102"/>
      <c r="I113" s="102">
        <f t="shared" ref="I113" si="174">SUM(I107:J112)</f>
        <v>7</v>
      </c>
      <c r="J113" s="102"/>
      <c r="L113" s="60" t="s">
        <v>98</v>
      </c>
      <c r="M113" s="60"/>
      <c r="N113" s="60">
        <f t="shared" ref="N113" si="175">E113/$E$113</f>
        <v>1</v>
      </c>
      <c r="O113" s="60"/>
      <c r="P113" s="60">
        <f t="shared" ref="P113" si="176">G113/$G$113</f>
        <v>1</v>
      </c>
      <c r="Q113" s="60"/>
      <c r="R113" s="60">
        <f t="shared" ref="R113" si="177">I113/$I$113</f>
        <v>1</v>
      </c>
      <c r="S113" s="60"/>
      <c r="T113" s="60">
        <f>SUM(N113:S114)</f>
        <v>3</v>
      </c>
      <c r="U113" s="60"/>
      <c r="V113" s="60">
        <f t="shared" ref="V113" si="178">T113/$T$113</f>
        <v>1</v>
      </c>
      <c r="W113" s="60"/>
      <c r="X113" s="95">
        <f>SUM(X107:Y112)</f>
        <v>3.0797258297258292</v>
      </c>
      <c r="Y113" s="95"/>
      <c r="LS113" s="46"/>
      <c r="LT113" s="46"/>
      <c r="LU113" s="46"/>
      <c r="LV113" s="46"/>
      <c r="LW113" s="46"/>
      <c r="LX113" s="46"/>
      <c r="LY113" s="46"/>
      <c r="LZ113" s="46"/>
      <c r="MA113" s="46"/>
      <c r="MB113" s="46"/>
      <c r="MC113" s="46"/>
      <c r="MD113" s="46"/>
      <c r="ME113" s="46"/>
      <c r="MF113" s="46"/>
      <c r="MG113" s="46"/>
      <c r="MH113" s="46"/>
      <c r="MI113" s="46"/>
      <c r="MJ113" s="46"/>
      <c r="MK113" s="46"/>
      <c r="ML113" s="46"/>
      <c r="MM113" s="46"/>
      <c r="MN113" s="46"/>
      <c r="MO113" s="46"/>
      <c r="MP113" s="46"/>
      <c r="MQ113" s="46"/>
      <c r="MR113" s="46"/>
      <c r="MS113" s="46"/>
      <c r="MT113" s="46"/>
      <c r="MU113" s="46"/>
      <c r="MV113" s="46"/>
      <c r="MW113" s="46"/>
      <c r="MX113" s="46"/>
      <c r="MY113" s="46"/>
      <c r="MZ113" s="46"/>
      <c r="NA113" s="46"/>
      <c r="NB113" s="46"/>
      <c r="NC113" s="46"/>
      <c r="ND113" s="46"/>
      <c r="NE113" s="46"/>
      <c r="NF113" s="46"/>
      <c r="NG113" s="46"/>
    </row>
    <row r="114" spans="3:371" ht="15" customHeight="1" x14ac:dyDescent="0.35">
      <c r="C114" s="60"/>
      <c r="D114" s="60"/>
      <c r="E114" s="102"/>
      <c r="F114" s="102"/>
      <c r="G114" s="102"/>
      <c r="H114" s="102"/>
      <c r="I114" s="102"/>
      <c r="J114" s="102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95"/>
      <c r="Y114" s="95"/>
      <c r="LS114" s="46"/>
      <c r="LT114" s="46"/>
      <c r="LU114" s="46"/>
      <c r="LV114" s="46"/>
      <c r="LW114" s="46"/>
      <c r="LX114" s="46"/>
      <c r="LY114" s="46"/>
      <c r="LZ114" s="46"/>
      <c r="MA114" s="46"/>
      <c r="MB114" s="46"/>
      <c r="MC114" s="46"/>
      <c r="MD114" s="46"/>
      <c r="ME114" s="46"/>
      <c r="MF114" s="46"/>
      <c r="MG114" s="46"/>
      <c r="MH114" s="46"/>
      <c r="MI114" s="46"/>
      <c r="MJ114" s="46"/>
      <c r="MK114" s="46"/>
      <c r="ML114" s="46"/>
      <c r="MM114" s="46"/>
      <c r="MN114" s="46"/>
      <c r="MO114" s="46"/>
      <c r="MP114" s="46"/>
      <c r="MQ114" s="46"/>
      <c r="MR114" s="46"/>
      <c r="MS114" s="46"/>
      <c r="MT114" s="46"/>
      <c r="MU114" s="46"/>
      <c r="MV114" s="46"/>
      <c r="MW114" s="46"/>
      <c r="MX114" s="46"/>
      <c r="MY114" s="46"/>
      <c r="MZ114" s="46"/>
      <c r="NA114" s="46"/>
      <c r="NB114" s="46"/>
      <c r="NC114" s="46"/>
      <c r="ND114" s="46"/>
      <c r="NE114" s="46"/>
      <c r="NF114" s="46"/>
      <c r="NG114" s="46"/>
    </row>
    <row r="115" spans="3:371" ht="15" customHeight="1" x14ac:dyDescent="0.35">
      <c r="C115" s="45"/>
      <c r="D115" s="45"/>
      <c r="E115" s="45"/>
      <c r="F115" s="45"/>
      <c r="G115" s="45"/>
      <c r="H115" s="45"/>
      <c r="I115" s="45"/>
      <c r="J115" s="45"/>
      <c r="LS115" s="46"/>
      <c r="LT115" s="46"/>
      <c r="LU115" s="46"/>
      <c r="LV115" s="46"/>
      <c r="LW115" s="46"/>
      <c r="LX115" s="46"/>
      <c r="LY115" s="46"/>
      <c r="LZ115" s="46"/>
      <c r="MA115" s="46"/>
      <c r="MB115" s="46"/>
      <c r="MC115" s="46"/>
      <c r="MD115" s="46"/>
      <c r="ME115" s="46"/>
      <c r="MF115" s="46"/>
      <c r="MG115" s="46"/>
      <c r="MH115" s="46"/>
      <c r="MI115" s="46"/>
      <c r="MJ115" s="46"/>
      <c r="MK115" s="46"/>
      <c r="ML115" s="46"/>
      <c r="MM115" s="46"/>
      <c r="MN115" s="46"/>
      <c r="MO115" s="46"/>
      <c r="MP115" s="46"/>
      <c r="MQ115" s="46"/>
      <c r="MR115" s="46"/>
      <c r="MS115" s="46"/>
      <c r="MT115" s="46"/>
      <c r="MU115" s="46"/>
      <c r="MV115" s="46"/>
      <c r="MW115" s="46"/>
      <c r="MX115" s="46"/>
      <c r="MY115" s="46"/>
      <c r="MZ115" s="46"/>
      <c r="NA115" s="46"/>
      <c r="NB115" s="46"/>
      <c r="NC115" s="46"/>
      <c r="ND115" s="46"/>
      <c r="NE115" s="46"/>
      <c r="NF115" s="46"/>
      <c r="NG115" s="46"/>
    </row>
    <row r="116" spans="3:371" ht="15" customHeight="1" x14ac:dyDescent="0.35"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  <c r="AU116" s="97"/>
      <c r="AV116" s="97"/>
      <c r="AW116" s="97"/>
      <c r="AX116" s="97"/>
      <c r="AY116" s="97"/>
      <c r="AZ116" s="97"/>
      <c r="BA116" s="97"/>
      <c r="BB116" s="97"/>
      <c r="BC116" s="97"/>
      <c r="BD116" s="97"/>
      <c r="BE116" s="97"/>
      <c r="BF116" s="97"/>
      <c r="BG116" s="97"/>
      <c r="BH116" s="97"/>
      <c r="BI116" s="97"/>
      <c r="BJ116" s="97"/>
      <c r="BK116" s="97"/>
      <c r="BL116" s="97"/>
      <c r="BM116" s="97"/>
      <c r="BN116" s="97"/>
      <c r="BO116" s="97"/>
      <c r="BP116" s="97"/>
      <c r="BQ116" s="97"/>
      <c r="BR116" s="97"/>
      <c r="BS116" s="97"/>
      <c r="BT116" s="97"/>
      <c r="BU116" s="97"/>
      <c r="BV116" s="97"/>
      <c r="BW116" s="97"/>
      <c r="BX116" s="97"/>
      <c r="BY116" s="97"/>
      <c r="BZ116" s="97"/>
      <c r="CA116" s="97"/>
      <c r="CB116" s="97"/>
      <c r="CC116" s="97"/>
      <c r="CD116" s="97"/>
      <c r="CE116" s="97"/>
      <c r="CF116" s="97"/>
      <c r="CG116" s="97"/>
      <c r="CH116" s="97"/>
      <c r="CI116" s="97"/>
      <c r="CJ116" s="97"/>
      <c r="CK116" s="97"/>
      <c r="CL116" s="97"/>
      <c r="CM116" s="97"/>
      <c r="CN116" s="97"/>
      <c r="CO116" s="97"/>
      <c r="CP116" s="97"/>
      <c r="CQ116" s="97"/>
      <c r="CR116" s="97"/>
      <c r="CS116" s="97"/>
      <c r="CT116" s="97"/>
      <c r="CU116" s="97"/>
      <c r="CV116" s="97"/>
      <c r="CW116" s="97"/>
      <c r="CX116" s="97"/>
      <c r="CY116" s="97"/>
      <c r="CZ116" s="97"/>
      <c r="DA116" s="97"/>
      <c r="DB116" s="97"/>
      <c r="DC116" s="97"/>
      <c r="DD116" s="97"/>
      <c r="DE116" s="97"/>
      <c r="DF116" s="97"/>
      <c r="DG116" s="97"/>
      <c r="DH116" s="97"/>
      <c r="DI116" s="97"/>
      <c r="DJ116" s="97"/>
      <c r="DK116" s="97"/>
      <c r="DL116" s="97"/>
      <c r="DM116" s="97"/>
      <c r="DN116" s="97"/>
      <c r="DO116" s="97"/>
      <c r="DP116" s="97"/>
      <c r="DQ116" s="97"/>
      <c r="DR116" s="97"/>
      <c r="DS116" s="97"/>
      <c r="DT116" s="97"/>
      <c r="DU116" s="97"/>
      <c r="DV116" s="97"/>
      <c r="DW116" s="97"/>
      <c r="DX116" s="97"/>
      <c r="DY116" s="97"/>
      <c r="DZ116" s="97"/>
      <c r="EA116" s="97"/>
      <c r="EB116" s="97"/>
      <c r="EC116" s="97"/>
      <c r="ED116" s="97"/>
      <c r="EE116" s="97"/>
      <c r="EF116" s="97"/>
      <c r="EG116" s="97"/>
      <c r="EH116" s="97"/>
      <c r="EI116" s="97"/>
      <c r="EJ116" s="97"/>
      <c r="EK116" s="97"/>
      <c r="EL116" s="97"/>
      <c r="EM116" s="97"/>
      <c r="EN116" s="97"/>
      <c r="EO116" s="97"/>
      <c r="EP116" s="97"/>
      <c r="EQ116" s="97"/>
      <c r="ER116" s="97"/>
      <c r="ES116" s="97"/>
      <c r="ET116" s="97"/>
      <c r="EU116" s="97"/>
      <c r="EV116" s="97"/>
      <c r="EW116" s="97"/>
      <c r="EX116" s="97"/>
      <c r="EY116" s="97"/>
      <c r="EZ116" s="97"/>
      <c r="FA116" s="97"/>
      <c r="FB116" s="97"/>
      <c r="FC116" s="97"/>
      <c r="FD116" s="97"/>
      <c r="FE116" s="97"/>
      <c r="FF116" s="97"/>
      <c r="FG116" s="97"/>
      <c r="FH116" s="97"/>
      <c r="FI116" s="97"/>
      <c r="FJ116" s="97"/>
      <c r="FK116" s="97"/>
      <c r="FL116" s="97"/>
      <c r="FM116" s="97"/>
      <c r="FN116" s="97"/>
      <c r="FO116" s="97"/>
      <c r="FP116" s="97"/>
      <c r="FQ116" s="97"/>
      <c r="FR116" s="97"/>
      <c r="FS116" s="97"/>
      <c r="FT116" s="97"/>
      <c r="FU116" s="97"/>
      <c r="FV116" s="97"/>
      <c r="FW116" s="97"/>
      <c r="FX116" s="97"/>
      <c r="FY116" s="97"/>
      <c r="FZ116" s="97"/>
      <c r="GA116" s="97"/>
      <c r="GB116" s="97"/>
      <c r="GC116" s="97"/>
      <c r="GD116" s="97"/>
      <c r="GE116" s="97"/>
      <c r="GF116" s="97"/>
      <c r="GG116" s="97"/>
      <c r="GH116" s="97"/>
      <c r="GI116" s="97"/>
      <c r="GJ116" s="97"/>
      <c r="GK116" s="97"/>
      <c r="GL116" s="97"/>
      <c r="GM116" s="97"/>
      <c r="GN116" s="97"/>
      <c r="GO116" s="97"/>
      <c r="GP116" s="97"/>
      <c r="GQ116" s="97"/>
      <c r="GR116" s="97"/>
      <c r="GS116" s="97"/>
      <c r="GT116" s="97"/>
      <c r="GU116" s="97"/>
      <c r="GV116" s="97"/>
      <c r="GW116" s="97"/>
      <c r="GX116" s="97"/>
      <c r="GY116" s="97"/>
      <c r="GZ116" s="97"/>
      <c r="HA116" s="97"/>
      <c r="HB116" s="97"/>
      <c r="HC116" s="97"/>
      <c r="HD116" s="97"/>
      <c r="HE116" s="97"/>
      <c r="HF116" s="97"/>
      <c r="HG116" s="97"/>
      <c r="HH116" s="97"/>
      <c r="HI116" s="97"/>
      <c r="HJ116" s="97"/>
      <c r="HK116" s="97"/>
      <c r="HL116" s="97"/>
      <c r="HM116" s="97"/>
      <c r="HN116" s="97"/>
      <c r="HO116" s="97"/>
      <c r="HP116" s="97"/>
      <c r="HQ116" s="97"/>
      <c r="HR116" s="97"/>
      <c r="HS116" s="97"/>
      <c r="HT116" s="97"/>
      <c r="HU116" s="97"/>
      <c r="HV116" s="97"/>
      <c r="HW116" s="97"/>
      <c r="HX116" s="97"/>
      <c r="HY116" s="97"/>
      <c r="HZ116" s="97"/>
      <c r="IA116" s="97"/>
      <c r="IB116" s="97"/>
      <c r="IC116" s="97"/>
      <c r="ID116" s="97"/>
      <c r="IE116" s="97"/>
      <c r="IF116" s="97"/>
      <c r="IG116" s="97"/>
      <c r="IH116" s="97"/>
      <c r="II116" s="97"/>
      <c r="IJ116" s="97"/>
      <c r="IK116" s="97"/>
      <c r="IL116" s="97"/>
      <c r="IM116" s="97"/>
      <c r="IN116" s="97"/>
      <c r="IO116" s="97"/>
      <c r="IP116" s="97"/>
      <c r="IQ116" s="97"/>
      <c r="IR116" s="97"/>
      <c r="IS116" s="97"/>
      <c r="IT116" s="97"/>
      <c r="IU116" s="97"/>
      <c r="IV116" s="97"/>
      <c r="IW116" s="97"/>
      <c r="IX116" s="97"/>
      <c r="IY116" s="97"/>
      <c r="IZ116" s="97"/>
      <c r="JA116" s="97"/>
      <c r="JB116" s="97"/>
      <c r="JC116" s="97"/>
      <c r="JD116" s="97"/>
      <c r="JE116" s="97"/>
      <c r="JF116" s="97"/>
      <c r="JG116" s="97"/>
      <c r="JH116" s="97"/>
      <c r="JI116" s="97"/>
      <c r="JJ116" s="97"/>
      <c r="JK116" s="97"/>
      <c r="JL116" s="97"/>
      <c r="JM116" s="97"/>
      <c r="JN116" s="97"/>
      <c r="JO116" s="97"/>
      <c r="JP116" s="97"/>
      <c r="JQ116" s="97"/>
      <c r="JR116" s="97"/>
      <c r="JS116" s="97"/>
      <c r="JT116" s="97"/>
      <c r="JU116" s="97"/>
      <c r="JV116" s="97"/>
      <c r="JW116" s="97"/>
      <c r="JX116" s="97"/>
      <c r="JY116" s="97"/>
      <c r="JZ116" s="97"/>
      <c r="KA116" s="97"/>
      <c r="KB116" s="97"/>
      <c r="KC116" s="97"/>
      <c r="KD116" s="97"/>
      <c r="KE116" s="97"/>
      <c r="KF116" s="97"/>
      <c r="KG116" s="97"/>
      <c r="KH116" s="97"/>
      <c r="KI116" s="97"/>
      <c r="KJ116" s="97"/>
      <c r="KK116" s="97"/>
      <c r="KL116" s="97"/>
      <c r="KM116" s="97"/>
      <c r="KN116" s="97"/>
      <c r="KO116" s="97"/>
      <c r="KP116" s="97"/>
      <c r="KQ116" s="97"/>
      <c r="KR116" s="97"/>
      <c r="KS116" s="97"/>
      <c r="KT116" s="97"/>
      <c r="KU116" s="97"/>
      <c r="KV116" s="97"/>
      <c r="KW116" s="97"/>
      <c r="KX116" s="97"/>
      <c r="KY116" s="97"/>
      <c r="KZ116" s="97"/>
      <c r="LA116" s="97"/>
      <c r="LB116" s="97"/>
      <c r="LC116" s="97"/>
      <c r="LD116" s="97"/>
      <c r="LE116" s="97"/>
      <c r="LF116" s="97"/>
      <c r="LG116" s="97"/>
      <c r="LH116" s="97"/>
      <c r="LI116" s="97"/>
      <c r="LJ116" s="97"/>
      <c r="LK116" s="97"/>
      <c r="LL116" s="97"/>
      <c r="LM116" s="97"/>
      <c r="LN116" s="97"/>
      <c r="LO116" s="97"/>
      <c r="LP116" s="97"/>
      <c r="LQ116" s="97"/>
      <c r="LS116" s="46"/>
      <c r="LT116" s="46"/>
      <c r="LU116" s="46"/>
      <c r="LV116" s="46"/>
      <c r="LW116" s="46"/>
      <c r="LX116" s="46"/>
      <c r="LY116" s="46"/>
      <c r="LZ116" s="46"/>
      <c r="MA116" s="46"/>
      <c r="MB116" s="46"/>
      <c r="MC116" s="46"/>
      <c r="MD116" s="46"/>
      <c r="ME116" s="46"/>
      <c r="MF116" s="46"/>
      <c r="MG116" s="46"/>
      <c r="MH116" s="46"/>
      <c r="MI116" s="46"/>
      <c r="MJ116" s="46"/>
      <c r="MK116" s="46"/>
      <c r="ML116" s="46"/>
      <c r="MM116" s="46"/>
      <c r="MN116" s="46"/>
      <c r="MO116" s="46"/>
      <c r="MP116" s="46"/>
      <c r="MQ116" s="46"/>
      <c r="MR116" s="46"/>
      <c r="MS116" s="46"/>
      <c r="MT116" s="46"/>
      <c r="MU116" s="46"/>
      <c r="MV116" s="46"/>
      <c r="MW116" s="46"/>
      <c r="MX116" s="46"/>
      <c r="MY116" s="46"/>
      <c r="MZ116" s="46"/>
      <c r="NA116" s="46"/>
      <c r="NB116" s="46"/>
      <c r="NC116" s="46"/>
      <c r="ND116" s="46"/>
      <c r="NE116" s="46"/>
      <c r="NF116" s="46"/>
      <c r="NG116" s="46"/>
    </row>
    <row r="117" spans="3:371" ht="15" customHeight="1" x14ac:dyDescent="0.35">
      <c r="C117" s="45"/>
      <c r="D117" s="45"/>
      <c r="E117" s="45"/>
      <c r="F117" s="45"/>
      <c r="G117" s="45"/>
      <c r="H117" s="45"/>
      <c r="I117" s="45"/>
      <c r="J117" s="45"/>
      <c r="LS117" s="46"/>
      <c r="LT117" s="46"/>
      <c r="LU117" s="46"/>
      <c r="LV117" s="46"/>
      <c r="LW117" s="46"/>
      <c r="LX117" s="46"/>
      <c r="LY117" s="46"/>
      <c r="LZ117" s="46"/>
      <c r="MA117" s="46"/>
      <c r="MB117" s="46"/>
      <c r="MC117" s="46"/>
      <c r="MD117" s="46"/>
      <c r="ME117" s="46"/>
      <c r="MF117" s="46"/>
      <c r="MG117" s="46"/>
      <c r="MH117" s="46"/>
      <c r="MI117" s="46"/>
      <c r="MJ117" s="46"/>
      <c r="MK117" s="46"/>
      <c r="ML117" s="46"/>
      <c r="MM117" s="46"/>
      <c r="MN117" s="46"/>
      <c r="MO117" s="46"/>
      <c r="MP117" s="46"/>
      <c r="MQ117" s="46"/>
      <c r="MR117" s="46"/>
      <c r="MS117" s="46"/>
      <c r="MT117" s="46"/>
      <c r="MU117" s="46"/>
      <c r="MV117" s="46"/>
      <c r="MW117" s="46"/>
      <c r="MX117" s="46"/>
      <c r="MY117" s="46"/>
      <c r="MZ117" s="46"/>
      <c r="NA117" s="46"/>
      <c r="NB117" s="46"/>
      <c r="NC117" s="46"/>
      <c r="ND117" s="46"/>
      <c r="NE117" s="46"/>
      <c r="NF117" s="46"/>
      <c r="NG117" s="46"/>
    </row>
    <row r="118" spans="3:371" ht="15" customHeight="1" x14ac:dyDescent="0.35">
      <c r="C118" s="60"/>
      <c r="D118" s="60"/>
      <c r="E118" s="60" t="s">
        <v>17</v>
      </c>
      <c r="F118" s="60"/>
      <c r="G118" s="60" t="s">
        <v>18</v>
      </c>
      <c r="H118" s="60"/>
      <c r="I118" s="60" t="s">
        <v>19</v>
      </c>
      <c r="J118" s="60"/>
      <c r="K118" s="60" t="s">
        <v>31</v>
      </c>
      <c r="L118" s="60"/>
      <c r="M118" s="60" t="s">
        <v>20</v>
      </c>
      <c r="N118" s="60"/>
      <c r="O118" s="60" t="s">
        <v>21</v>
      </c>
      <c r="P118" s="60"/>
      <c r="Q118" s="60" t="s">
        <v>22</v>
      </c>
      <c r="R118" s="60"/>
      <c r="S118" s="60" t="s">
        <v>83</v>
      </c>
      <c r="T118" s="60"/>
      <c r="X118" s="60"/>
      <c r="Y118" s="60"/>
      <c r="Z118" s="60" t="s">
        <v>17</v>
      </c>
      <c r="AA118" s="60"/>
      <c r="AB118" s="60" t="s">
        <v>18</v>
      </c>
      <c r="AC118" s="60"/>
      <c r="AD118" s="60" t="s">
        <v>19</v>
      </c>
      <c r="AE118" s="60"/>
      <c r="AF118" s="60" t="s">
        <v>31</v>
      </c>
      <c r="AG118" s="60"/>
      <c r="AH118" s="60" t="s">
        <v>20</v>
      </c>
      <c r="AI118" s="60"/>
      <c r="AJ118" s="60" t="s">
        <v>21</v>
      </c>
      <c r="AK118" s="60"/>
      <c r="AL118" s="60" t="s">
        <v>22</v>
      </c>
      <c r="AM118" s="60"/>
      <c r="AN118" s="60" t="s">
        <v>83</v>
      </c>
      <c r="AO118" s="60"/>
      <c r="AS118" s="60"/>
      <c r="AT118" s="60"/>
      <c r="AU118" s="60" t="s">
        <v>17</v>
      </c>
      <c r="AV118" s="60"/>
      <c r="AW118" s="60" t="s">
        <v>18</v>
      </c>
      <c r="AX118" s="60"/>
      <c r="AY118" s="60" t="s">
        <v>19</v>
      </c>
      <c r="AZ118" s="60"/>
      <c r="BA118" s="60" t="s">
        <v>31</v>
      </c>
      <c r="BB118" s="60"/>
      <c r="BC118" s="60" t="s">
        <v>20</v>
      </c>
      <c r="BD118" s="60"/>
      <c r="BE118" s="60" t="s">
        <v>21</v>
      </c>
      <c r="BF118" s="60"/>
      <c r="BG118" s="60" t="s">
        <v>22</v>
      </c>
      <c r="BH118" s="60"/>
      <c r="BI118" s="60" t="s">
        <v>83</v>
      </c>
      <c r="BJ118" s="60"/>
      <c r="BN118" s="60"/>
      <c r="BO118" s="60"/>
      <c r="BP118" s="60" t="s">
        <v>17</v>
      </c>
      <c r="BQ118" s="60"/>
      <c r="BR118" s="60" t="s">
        <v>18</v>
      </c>
      <c r="BS118" s="60"/>
      <c r="BT118" s="60" t="s">
        <v>19</v>
      </c>
      <c r="BU118" s="60"/>
      <c r="BV118" s="60" t="s">
        <v>31</v>
      </c>
      <c r="BW118" s="60"/>
      <c r="BX118" s="60" t="s">
        <v>20</v>
      </c>
      <c r="BY118" s="60"/>
      <c r="BZ118" s="60" t="s">
        <v>21</v>
      </c>
      <c r="CA118" s="60"/>
      <c r="CB118" s="60" t="s">
        <v>22</v>
      </c>
      <c r="CC118" s="60"/>
      <c r="CK118" s="60"/>
      <c r="CL118" s="60"/>
      <c r="CM118" s="60" t="s">
        <v>17</v>
      </c>
      <c r="CN118" s="60"/>
      <c r="CO118" s="60" t="s">
        <v>18</v>
      </c>
      <c r="CP118" s="60"/>
      <c r="CQ118" s="60" t="s">
        <v>19</v>
      </c>
      <c r="CR118" s="60"/>
      <c r="CS118" s="60" t="s">
        <v>31</v>
      </c>
      <c r="CT118" s="60"/>
      <c r="CU118" s="60" t="s">
        <v>20</v>
      </c>
      <c r="CV118" s="60"/>
      <c r="CW118" s="60" t="s">
        <v>21</v>
      </c>
      <c r="CX118" s="60"/>
      <c r="CY118" s="60" t="s">
        <v>22</v>
      </c>
      <c r="CZ118" s="60"/>
      <c r="DA118" s="60" t="s">
        <v>83</v>
      </c>
      <c r="DB118" s="60"/>
      <c r="DF118" s="60"/>
      <c r="DG118" s="60"/>
      <c r="DH118" s="60" t="s">
        <v>17</v>
      </c>
      <c r="DI118" s="60"/>
      <c r="DJ118" s="60" t="s">
        <v>18</v>
      </c>
      <c r="DK118" s="60"/>
      <c r="DL118" s="60" t="s">
        <v>19</v>
      </c>
      <c r="DM118" s="60"/>
      <c r="DN118" s="60" t="s">
        <v>31</v>
      </c>
      <c r="DO118" s="60"/>
      <c r="DP118" s="60" t="s">
        <v>20</v>
      </c>
      <c r="DQ118" s="60"/>
      <c r="DR118" s="60" t="s">
        <v>21</v>
      </c>
      <c r="DS118" s="60"/>
      <c r="DT118" s="60" t="s">
        <v>22</v>
      </c>
      <c r="DU118" s="60"/>
      <c r="DV118" s="60" t="s">
        <v>83</v>
      </c>
      <c r="DW118" s="60"/>
      <c r="EC118" s="60"/>
      <c r="ED118" s="60"/>
      <c r="EE118" s="60" t="s">
        <v>17</v>
      </c>
      <c r="EF118" s="60"/>
      <c r="EG118" s="60" t="s">
        <v>18</v>
      </c>
      <c r="EH118" s="60"/>
      <c r="EI118" s="60" t="s">
        <v>19</v>
      </c>
      <c r="EJ118" s="60"/>
      <c r="EK118" s="60" t="s">
        <v>31</v>
      </c>
      <c r="EL118" s="60"/>
      <c r="EM118" s="60" t="s">
        <v>20</v>
      </c>
      <c r="EN118" s="60"/>
      <c r="EO118" s="60" t="s">
        <v>21</v>
      </c>
      <c r="EP118" s="60"/>
      <c r="EQ118" s="60" t="s">
        <v>22</v>
      </c>
      <c r="ER118" s="60"/>
      <c r="ES118" s="60" t="s">
        <v>83</v>
      </c>
      <c r="ET118" s="60"/>
      <c r="EY118" s="60"/>
      <c r="EZ118" s="60"/>
      <c r="FA118" s="60" t="s">
        <v>17</v>
      </c>
      <c r="FB118" s="60"/>
      <c r="FC118" s="60" t="s">
        <v>18</v>
      </c>
      <c r="FD118" s="60"/>
      <c r="FE118" s="60" t="s">
        <v>19</v>
      </c>
      <c r="FF118" s="60"/>
      <c r="FG118" s="60" t="s">
        <v>31</v>
      </c>
      <c r="FH118" s="60"/>
      <c r="FI118" s="60" t="s">
        <v>20</v>
      </c>
      <c r="FJ118" s="60"/>
      <c r="FK118" s="60" t="s">
        <v>21</v>
      </c>
      <c r="FL118" s="60"/>
      <c r="FM118" s="60" t="s">
        <v>22</v>
      </c>
      <c r="FN118" s="60"/>
      <c r="FO118" s="60" t="s">
        <v>83</v>
      </c>
      <c r="FP118" s="60"/>
      <c r="FV118" s="60"/>
      <c r="FW118" s="60"/>
      <c r="FX118" s="60" t="s">
        <v>17</v>
      </c>
      <c r="FY118" s="60"/>
      <c r="FZ118" s="60" t="s">
        <v>18</v>
      </c>
      <c r="GA118" s="60"/>
      <c r="GB118" s="60" t="s">
        <v>19</v>
      </c>
      <c r="GC118" s="60"/>
      <c r="GD118" s="60" t="s">
        <v>31</v>
      </c>
      <c r="GE118" s="60"/>
      <c r="GF118" s="60" t="s">
        <v>20</v>
      </c>
      <c r="GG118" s="60"/>
      <c r="GH118" s="60" t="s">
        <v>21</v>
      </c>
      <c r="GI118" s="60"/>
      <c r="GJ118" s="60" t="s">
        <v>22</v>
      </c>
      <c r="GK118" s="60"/>
      <c r="GL118" s="60" t="s">
        <v>83</v>
      </c>
      <c r="GM118" s="60"/>
      <c r="GR118" s="60"/>
      <c r="GS118" s="60"/>
      <c r="GT118" s="60" t="s">
        <v>17</v>
      </c>
      <c r="GU118" s="60"/>
      <c r="GV118" s="60" t="s">
        <v>18</v>
      </c>
      <c r="GW118" s="60"/>
      <c r="GX118" s="60" t="s">
        <v>19</v>
      </c>
      <c r="GY118" s="60"/>
      <c r="GZ118" s="60" t="s">
        <v>31</v>
      </c>
      <c r="HA118" s="60"/>
      <c r="HB118" s="60" t="s">
        <v>20</v>
      </c>
      <c r="HC118" s="60"/>
      <c r="HD118" s="60" t="s">
        <v>21</v>
      </c>
      <c r="HE118" s="60"/>
      <c r="HF118" s="60" t="s">
        <v>22</v>
      </c>
      <c r="HG118" s="60"/>
      <c r="HH118" s="60" t="s">
        <v>83</v>
      </c>
      <c r="HI118" s="60"/>
      <c r="HN118" s="60"/>
      <c r="HO118" s="60"/>
      <c r="HP118" s="60" t="s">
        <v>17</v>
      </c>
      <c r="HQ118" s="60"/>
      <c r="HR118" s="60" t="s">
        <v>18</v>
      </c>
      <c r="HS118" s="60"/>
      <c r="HT118" s="60" t="s">
        <v>19</v>
      </c>
      <c r="HU118" s="60"/>
      <c r="HV118" s="60" t="s">
        <v>31</v>
      </c>
      <c r="HW118" s="60"/>
      <c r="HX118" s="60" t="s">
        <v>20</v>
      </c>
      <c r="HY118" s="60"/>
      <c r="HZ118" s="60" t="s">
        <v>21</v>
      </c>
      <c r="IA118" s="60"/>
      <c r="IB118" s="60" t="s">
        <v>22</v>
      </c>
      <c r="IC118" s="60"/>
      <c r="ID118" s="60" t="s">
        <v>83</v>
      </c>
      <c r="IE118" s="60"/>
      <c r="IK118" s="60"/>
      <c r="IL118" s="60"/>
      <c r="IM118" s="60" t="s">
        <v>17</v>
      </c>
      <c r="IN118" s="60"/>
      <c r="IO118" s="60" t="s">
        <v>18</v>
      </c>
      <c r="IP118" s="60"/>
      <c r="IQ118" s="60" t="s">
        <v>19</v>
      </c>
      <c r="IR118" s="60"/>
      <c r="IS118" s="60" t="s">
        <v>31</v>
      </c>
      <c r="IT118" s="60"/>
      <c r="IU118" s="60" t="s">
        <v>20</v>
      </c>
      <c r="IV118" s="60"/>
      <c r="IW118" s="60" t="s">
        <v>21</v>
      </c>
      <c r="IX118" s="60"/>
      <c r="IY118" s="60" t="s">
        <v>22</v>
      </c>
      <c r="IZ118" s="60"/>
      <c r="JA118" s="60" t="s">
        <v>83</v>
      </c>
      <c r="JB118" s="60"/>
      <c r="JI118" s="60"/>
      <c r="JJ118" s="60"/>
      <c r="JK118" s="60" t="s">
        <v>17</v>
      </c>
      <c r="JL118" s="60"/>
      <c r="JM118" s="60" t="s">
        <v>18</v>
      </c>
      <c r="JN118" s="60"/>
      <c r="JO118" s="60" t="s">
        <v>19</v>
      </c>
      <c r="JP118" s="60"/>
      <c r="JQ118" s="60" t="s">
        <v>31</v>
      </c>
      <c r="JR118" s="60"/>
      <c r="JS118" s="60" t="s">
        <v>20</v>
      </c>
      <c r="JT118" s="60"/>
      <c r="JU118" s="60" t="s">
        <v>21</v>
      </c>
      <c r="JV118" s="60"/>
      <c r="JW118" s="60" t="s">
        <v>22</v>
      </c>
      <c r="JX118" s="60"/>
      <c r="JY118" s="60" t="s">
        <v>83</v>
      </c>
      <c r="JZ118" s="60"/>
      <c r="KF118" s="60"/>
      <c r="KG118" s="60"/>
      <c r="KH118" s="60" t="s">
        <v>17</v>
      </c>
      <c r="KI118" s="60"/>
      <c r="KJ118" s="60" t="s">
        <v>18</v>
      </c>
      <c r="KK118" s="60"/>
      <c r="KL118" s="60" t="s">
        <v>19</v>
      </c>
      <c r="KM118" s="60"/>
      <c r="KN118" s="60" t="s">
        <v>31</v>
      </c>
      <c r="KO118" s="60"/>
      <c r="KP118" s="60" t="s">
        <v>20</v>
      </c>
      <c r="KQ118" s="60"/>
      <c r="KR118" s="60" t="s">
        <v>21</v>
      </c>
      <c r="KS118" s="60"/>
      <c r="KT118" s="60" t="s">
        <v>22</v>
      </c>
      <c r="KU118" s="60"/>
      <c r="KV118" s="60" t="s">
        <v>83</v>
      </c>
      <c r="KW118" s="60"/>
      <c r="LA118" s="46"/>
      <c r="LB118" s="46"/>
      <c r="LC118" s="46"/>
      <c r="LD118" s="46"/>
      <c r="LE118" s="46"/>
      <c r="LF118" s="46"/>
      <c r="LG118" s="46"/>
      <c r="LH118" s="46"/>
      <c r="LI118" s="46"/>
      <c r="LJ118" s="46"/>
      <c r="LK118" s="46"/>
      <c r="LL118" s="46"/>
      <c r="LM118" s="46"/>
      <c r="LN118" s="46"/>
      <c r="LO118" s="46"/>
      <c r="LP118" s="46"/>
      <c r="LQ118" s="46"/>
      <c r="LR118" s="46"/>
      <c r="LS118" s="46"/>
      <c r="LT118" s="46"/>
      <c r="LU118" s="46"/>
      <c r="LV118" s="46"/>
      <c r="LW118" s="46"/>
      <c r="LX118" s="46"/>
      <c r="LY118" s="46"/>
      <c r="LZ118" s="46"/>
      <c r="MA118" s="46"/>
      <c r="MB118" s="46"/>
      <c r="MC118" s="46"/>
      <c r="MD118" s="46"/>
      <c r="ME118" s="46"/>
      <c r="MF118" s="46"/>
      <c r="MG118" s="46"/>
      <c r="MH118" s="46"/>
      <c r="MI118" s="46"/>
      <c r="MJ118" s="46"/>
      <c r="MK118" s="46"/>
      <c r="ML118" s="46"/>
      <c r="MM118" s="46"/>
      <c r="MN118" s="46"/>
      <c r="MO118" s="46"/>
      <c r="MP118" s="46"/>
      <c r="MQ118" s="46"/>
      <c r="MR118" s="46"/>
      <c r="MS118" s="46"/>
      <c r="MT118" s="46"/>
      <c r="MU118" s="46"/>
      <c r="MV118" s="46"/>
      <c r="MW118" s="46"/>
      <c r="MX118" s="46"/>
      <c r="MY118" s="46"/>
      <c r="MZ118" s="46"/>
      <c r="NA118" s="46"/>
      <c r="NB118" s="46"/>
      <c r="NC118" s="46"/>
      <c r="ND118" s="46"/>
      <c r="NE118" s="46"/>
      <c r="NF118" s="46"/>
      <c r="NG118" s="46"/>
    </row>
    <row r="119" spans="3:371" ht="15" customHeight="1" x14ac:dyDescent="0.35"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60"/>
      <c r="BH119" s="60"/>
      <c r="BI119" s="60"/>
      <c r="BJ119" s="60"/>
      <c r="BN119" s="60"/>
      <c r="BO119" s="60"/>
      <c r="BP119" s="60"/>
      <c r="BQ119" s="60"/>
      <c r="BR119" s="60"/>
      <c r="BS119" s="60"/>
      <c r="BT119" s="60"/>
      <c r="BU119" s="60"/>
      <c r="BV119" s="60"/>
      <c r="BW119" s="60"/>
      <c r="BX119" s="60"/>
      <c r="BY119" s="60"/>
      <c r="BZ119" s="60"/>
      <c r="CA119" s="60"/>
      <c r="CB119" s="60"/>
      <c r="CC119" s="60"/>
      <c r="CK119" s="60"/>
      <c r="CL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F119" s="60"/>
      <c r="DG119" s="60"/>
      <c r="DH119" s="60"/>
      <c r="DI119" s="60"/>
      <c r="DJ119" s="60"/>
      <c r="DK119" s="60"/>
      <c r="DL119" s="60"/>
      <c r="DM119" s="60"/>
      <c r="DN119" s="60"/>
      <c r="DO119" s="60"/>
      <c r="DP119" s="60"/>
      <c r="DQ119" s="60"/>
      <c r="DR119" s="60"/>
      <c r="DS119" s="60"/>
      <c r="DT119" s="60"/>
      <c r="DU119" s="60"/>
      <c r="DV119" s="60"/>
      <c r="DW119" s="60"/>
      <c r="EC119" s="60"/>
      <c r="ED119" s="60"/>
      <c r="EE119" s="60"/>
      <c r="EF119" s="60"/>
      <c r="EG119" s="60"/>
      <c r="EH119" s="60"/>
      <c r="EI119" s="60"/>
      <c r="EJ119" s="60"/>
      <c r="EK119" s="60"/>
      <c r="EL119" s="60"/>
      <c r="EM119" s="60"/>
      <c r="EN119" s="60"/>
      <c r="EO119" s="60"/>
      <c r="EP119" s="60"/>
      <c r="EQ119" s="60"/>
      <c r="ER119" s="60"/>
      <c r="ES119" s="60"/>
      <c r="ET119" s="60"/>
      <c r="EY119" s="60"/>
      <c r="EZ119" s="60"/>
      <c r="FA119" s="60"/>
      <c r="FB119" s="60"/>
      <c r="FC119" s="60"/>
      <c r="FD119" s="60"/>
      <c r="FE119" s="60"/>
      <c r="FF119" s="60"/>
      <c r="FG119" s="60"/>
      <c r="FH119" s="60"/>
      <c r="FI119" s="60"/>
      <c r="FJ119" s="60"/>
      <c r="FK119" s="60"/>
      <c r="FL119" s="60"/>
      <c r="FM119" s="60"/>
      <c r="FN119" s="60"/>
      <c r="FO119" s="60"/>
      <c r="FP119" s="60"/>
      <c r="FV119" s="60"/>
      <c r="FW119" s="60"/>
      <c r="FX119" s="60"/>
      <c r="FY119" s="60"/>
      <c r="FZ119" s="60"/>
      <c r="GA119" s="60"/>
      <c r="GB119" s="60"/>
      <c r="GC119" s="60"/>
      <c r="GD119" s="60"/>
      <c r="GE119" s="60"/>
      <c r="GF119" s="60"/>
      <c r="GG119" s="60"/>
      <c r="GH119" s="60"/>
      <c r="GI119" s="60"/>
      <c r="GJ119" s="60"/>
      <c r="GK119" s="60"/>
      <c r="GL119" s="60"/>
      <c r="GM119" s="60"/>
      <c r="GR119" s="60"/>
      <c r="GS119" s="60"/>
      <c r="GT119" s="60"/>
      <c r="GU119" s="60"/>
      <c r="GV119" s="60"/>
      <c r="GW119" s="60"/>
      <c r="GX119" s="60"/>
      <c r="GY119" s="60"/>
      <c r="GZ119" s="60"/>
      <c r="HA119" s="60"/>
      <c r="HB119" s="60"/>
      <c r="HC119" s="60"/>
      <c r="HD119" s="60"/>
      <c r="HE119" s="60"/>
      <c r="HF119" s="60"/>
      <c r="HG119" s="60"/>
      <c r="HH119" s="60"/>
      <c r="HI119" s="60"/>
      <c r="HN119" s="60"/>
      <c r="HO119" s="60"/>
      <c r="HP119" s="60"/>
      <c r="HQ119" s="60"/>
      <c r="HR119" s="60"/>
      <c r="HS119" s="60"/>
      <c r="HT119" s="60"/>
      <c r="HU119" s="60"/>
      <c r="HV119" s="60"/>
      <c r="HW119" s="60"/>
      <c r="HX119" s="60"/>
      <c r="HY119" s="60"/>
      <c r="HZ119" s="60"/>
      <c r="IA119" s="60"/>
      <c r="IB119" s="60"/>
      <c r="IC119" s="60"/>
      <c r="ID119" s="60"/>
      <c r="IE119" s="60"/>
      <c r="IK119" s="60"/>
      <c r="IL119" s="60"/>
      <c r="IM119" s="60"/>
      <c r="IN119" s="60"/>
      <c r="IO119" s="60"/>
      <c r="IP119" s="60"/>
      <c r="IQ119" s="60"/>
      <c r="IR119" s="60"/>
      <c r="IS119" s="60"/>
      <c r="IT119" s="60"/>
      <c r="IU119" s="60"/>
      <c r="IV119" s="60"/>
      <c r="IW119" s="60"/>
      <c r="IX119" s="60"/>
      <c r="IY119" s="60"/>
      <c r="IZ119" s="60"/>
      <c r="JA119" s="60"/>
      <c r="JB119" s="60"/>
      <c r="JI119" s="60"/>
      <c r="JJ119" s="60"/>
      <c r="JK119" s="60"/>
      <c r="JL119" s="60"/>
      <c r="JM119" s="60"/>
      <c r="JN119" s="60"/>
      <c r="JO119" s="60"/>
      <c r="JP119" s="60"/>
      <c r="JQ119" s="60"/>
      <c r="JR119" s="60"/>
      <c r="JS119" s="60"/>
      <c r="JT119" s="60"/>
      <c r="JU119" s="60"/>
      <c r="JV119" s="60"/>
      <c r="JW119" s="60"/>
      <c r="JX119" s="60"/>
      <c r="JY119" s="60"/>
      <c r="JZ119" s="60"/>
      <c r="KF119" s="60"/>
      <c r="KG119" s="60"/>
      <c r="KH119" s="60"/>
      <c r="KI119" s="60"/>
      <c r="KJ119" s="60"/>
      <c r="KK119" s="60"/>
      <c r="KL119" s="60"/>
      <c r="KM119" s="60"/>
      <c r="KN119" s="60"/>
      <c r="KO119" s="60"/>
      <c r="KP119" s="60"/>
      <c r="KQ119" s="60"/>
      <c r="KR119" s="60"/>
      <c r="KS119" s="60"/>
      <c r="KT119" s="60"/>
      <c r="KU119" s="60"/>
      <c r="KV119" s="60"/>
      <c r="KW119" s="60"/>
      <c r="LA119" s="46"/>
      <c r="LB119" s="46"/>
      <c r="LC119" s="46"/>
      <c r="LD119" s="46"/>
      <c r="LE119" s="46"/>
      <c r="LF119" s="46"/>
      <c r="LG119" s="46"/>
      <c r="LH119" s="46"/>
      <c r="LI119" s="46"/>
      <c r="LJ119" s="46"/>
      <c r="LK119" s="46"/>
      <c r="LL119" s="46"/>
      <c r="LM119" s="46"/>
      <c r="LN119" s="46"/>
      <c r="LO119" s="46"/>
      <c r="LP119" s="46"/>
      <c r="LQ119" s="46"/>
      <c r="LR119" s="46"/>
      <c r="LS119" s="46"/>
      <c r="LT119" s="46"/>
      <c r="LU119" s="46"/>
      <c r="LV119" s="46"/>
      <c r="LW119" s="46"/>
      <c r="LX119" s="46"/>
      <c r="LY119" s="46"/>
      <c r="LZ119" s="46"/>
      <c r="MA119" s="46"/>
      <c r="MB119" s="46"/>
      <c r="MC119" s="46"/>
      <c r="MD119" s="46"/>
      <c r="ME119" s="46"/>
      <c r="MF119" s="46"/>
      <c r="MG119" s="46"/>
      <c r="MH119" s="46"/>
      <c r="MI119" s="46"/>
      <c r="MJ119" s="46"/>
      <c r="MK119" s="46"/>
      <c r="ML119" s="46"/>
      <c r="MM119" s="46"/>
      <c r="MN119" s="46"/>
      <c r="MO119" s="46"/>
      <c r="MP119" s="46"/>
      <c r="MQ119" s="46"/>
      <c r="MR119" s="46"/>
      <c r="MS119" s="46"/>
      <c r="MT119" s="46"/>
      <c r="MU119" s="46"/>
      <c r="MV119" s="46"/>
      <c r="MW119" s="46"/>
      <c r="MX119" s="46"/>
      <c r="MY119" s="46"/>
      <c r="MZ119" s="46"/>
      <c r="NA119" s="46"/>
      <c r="NB119" s="46"/>
      <c r="NC119" s="46"/>
      <c r="ND119" s="46"/>
      <c r="NE119" s="46"/>
      <c r="NF119" s="46"/>
      <c r="NG119" s="46"/>
    </row>
    <row r="120" spans="3:371" x14ac:dyDescent="0.35">
      <c r="C120" s="60" t="s">
        <v>17</v>
      </c>
      <c r="D120" s="60"/>
      <c r="E120" s="62">
        <v>1</v>
      </c>
      <c r="F120" s="62"/>
      <c r="G120" s="60">
        <v>5</v>
      </c>
      <c r="H120" s="60"/>
      <c r="I120" s="63">
        <v>7</v>
      </c>
      <c r="J120" s="64"/>
      <c r="K120" s="60">
        <v>7</v>
      </c>
      <c r="L120" s="60"/>
      <c r="M120" s="60">
        <f>1/5</f>
        <v>0.2</v>
      </c>
      <c r="N120" s="60"/>
      <c r="O120" s="60">
        <f>1/3</f>
        <v>0.33333333333333331</v>
      </c>
      <c r="P120" s="60"/>
      <c r="Q120" s="60">
        <v>7</v>
      </c>
      <c r="R120" s="60"/>
      <c r="S120" s="60">
        <v>3</v>
      </c>
      <c r="T120" s="60"/>
      <c r="X120" s="60" t="s">
        <v>17</v>
      </c>
      <c r="Y120" s="60"/>
      <c r="Z120" s="62">
        <v>1</v>
      </c>
      <c r="AA120" s="62"/>
      <c r="AB120" s="60">
        <f>1/7</f>
        <v>0.14285714285714285</v>
      </c>
      <c r="AC120" s="60"/>
      <c r="AD120" s="63">
        <f>1/5</f>
        <v>0.2</v>
      </c>
      <c r="AE120" s="64"/>
      <c r="AF120" s="60">
        <v>7</v>
      </c>
      <c r="AG120" s="60"/>
      <c r="AH120" s="60">
        <f>1/5</f>
        <v>0.2</v>
      </c>
      <c r="AI120" s="60"/>
      <c r="AJ120" s="60">
        <v>5</v>
      </c>
      <c r="AK120" s="60"/>
      <c r="AL120" s="60">
        <v>7</v>
      </c>
      <c r="AM120" s="60"/>
      <c r="AN120" s="60">
        <v>3</v>
      </c>
      <c r="AO120" s="60"/>
      <c r="AS120" s="60" t="s">
        <v>17</v>
      </c>
      <c r="AT120" s="60"/>
      <c r="AU120" s="62">
        <v>1</v>
      </c>
      <c r="AV120" s="62"/>
      <c r="AW120" s="60">
        <v>5</v>
      </c>
      <c r="AX120" s="60"/>
      <c r="AY120" s="63">
        <v>7</v>
      </c>
      <c r="AZ120" s="64"/>
      <c r="BA120" s="60">
        <v>7</v>
      </c>
      <c r="BB120" s="60"/>
      <c r="BC120" s="60">
        <f>1/5</f>
        <v>0.2</v>
      </c>
      <c r="BD120" s="60"/>
      <c r="BE120" s="60">
        <f>1/3</f>
        <v>0.33333333333333331</v>
      </c>
      <c r="BF120" s="60"/>
      <c r="BG120" s="60">
        <v>7</v>
      </c>
      <c r="BH120" s="60"/>
      <c r="BI120" s="60">
        <v>3</v>
      </c>
      <c r="BJ120" s="60"/>
      <c r="BN120" s="60" t="s">
        <v>17</v>
      </c>
      <c r="BO120" s="60"/>
      <c r="BP120" s="62">
        <v>1</v>
      </c>
      <c r="BQ120" s="62"/>
      <c r="BR120" s="60">
        <v>5</v>
      </c>
      <c r="BS120" s="60"/>
      <c r="BT120" s="63">
        <v>7</v>
      </c>
      <c r="BU120" s="64"/>
      <c r="BV120" s="60">
        <v>7</v>
      </c>
      <c r="BW120" s="60"/>
      <c r="BX120" s="60">
        <f>1/5</f>
        <v>0.2</v>
      </c>
      <c r="BY120" s="60"/>
      <c r="BZ120" s="60">
        <f>1/3</f>
        <v>0.33333333333333331</v>
      </c>
      <c r="CA120" s="60"/>
      <c r="CB120" s="60">
        <v>7</v>
      </c>
      <c r="CC120" s="60"/>
      <c r="CK120" s="60" t="s">
        <v>17</v>
      </c>
      <c r="CL120" s="60"/>
      <c r="CM120" s="62">
        <v>1</v>
      </c>
      <c r="CN120" s="62"/>
      <c r="CO120" s="60">
        <v>5</v>
      </c>
      <c r="CP120" s="60"/>
      <c r="CQ120" s="63">
        <v>7</v>
      </c>
      <c r="CR120" s="64"/>
      <c r="CS120" s="60">
        <v>7</v>
      </c>
      <c r="CT120" s="60"/>
      <c r="CU120" s="60">
        <f>1/5</f>
        <v>0.2</v>
      </c>
      <c r="CV120" s="60"/>
      <c r="CW120" s="60">
        <f>1/3</f>
        <v>0.33333333333333331</v>
      </c>
      <c r="CX120" s="60"/>
      <c r="CY120" s="60">
        <v>7</v>
      </c>
      <c r="CZ120" s="60"/>
      <c r="DA120" s="60">
        <v>3</v>
      </c>
      <c r="DB120" s="60"/>
      <c r="DF120" s="60" t="s">
        <v>17</v>
      </c>
      <c r="DG120" s="60"/>
      <c r="DH120" s="62">
        <v>1</v>
      </c>
      <c r="DI120" s="62"/>
      <c r="DJ120" s="60">
        <f>1/5</f>
        <v>0.2</v>
      </c>
      <c r="DK120" s="60"/>
      <c r="DL120" s="63">
        <f>1/7</f>
        <v>0.14285714285714285</v>
      </c>
      <c r="DM120" s="64"/>
      <c r="DN120" s="60">
        <f>1/7</f>
        <v>0.14285714285714285</v>
      </c>
      <c r="DO120" s="60"/>
      <c r="DP120" s="60">
        <v>5</v>
      </c>
      <c r="DQ120" s="60"/>
      <c r="DR120" s="60">
        <v>3</v>
      </c>
      <c r="DS120" s="60"/>
      <c r="DT120" s="60">
        <f>1/7</f>
        <v>0.14285714285714285</v>
      </c>
      <c r="DU120" s="60"/>
      <c r="DV120" s="60">
        <f>1/3</f>
        <v>0.33333333333333331</v>
      </c>
      <c r="DW120" s="60"/>
      <c r="EC120" s="60" t="s">
        <v>17</v>
      </c>
      <c r="ED120" s="60"/>
      <c r="EE120" s="62">
        <v>1</v>
      </c>
      <c r="EF120" s="62"/>
      <c r="EG120" s="60">
        <v>5</v>
      </c>
      <c r="EH120" s="60"/>
      <c r="EI120" s="63">
        <v>7</v>
      </c>
      <c r="EJ120" s="64"/>
      <c r="EK120" s="60">
        <v>7</v>
      </c>
      <c r="EL120" s="60"/>
      <c r="EM120" s="60">
        <f>1/5</f>
        <v>0.2</v>
      </c>
      <c r="EN120" s="60"/>
      <c r="EO120" s="60">
        <f>1/3</f>
        <v>0.33333333333333331</v>
      </c>
      <c r="EP120" s="60"/>
      <c r="EQ120" s="60">
        <v>7</v>
      </c>
      <c r="ER120" s="60"/>
      <c r="ES120" s="60">
        <v>3</v>
      </c>
      <c r="ET120" s="60"/>
      <c r="EY120" s="60" t="s">
        <v>17</v>
      </c>
      <c r="EZ120" s="60"/>
      <c r="FA120" s="62">
        <v>1</v>
      </c>
      <c r="FB120" s="62"/>
      <c r="FC120" s="60">
        <f>1/7</f>
        <v>0.14285714285714285</v>
      </c>
      <c r="FD120" s="60"/>
      <c r="FE120" s="63">
        <f>1/5</f>
        <v>0.2</v>
      </c>
      <c r="FF120" s="64"/>
      <c r="FG120" s="60">
        <v>7</v>
      </c>
      <c r="FH120" s="60"/>
      <c r="FI120" s="60">
        <f>1/5</f>
        <v>0.2</v>
      </c>
      <c r="FJ120" s="60"/>
      <c r="FK120" s="60">
        <v>5</v>
      </c>
      <c r="FL120" s="60"/>
      <c r="FM120" s="60">
        <v>7</v>
      </c>
      <c r="FN120" s="60"/>
      <c r="FO120" s="60">
        <v>3</v>
      </c>
      <c r="FP120" s="60"/>
      <c r="FV120" s="60" t="s">
        <v>17</v>
      </c>
      <c r="FW120" s="60"/>
      <c r="FX120" s="62">
        <v>1</v>
      </c>
      <c r="FY120" s="62"/>
      <c r="FZ120" s="60">
        <v>5</v>
      </c>
      <c r="GA120" s="60"/>
      <c r="GB120" s="63">
        <v>7</v>
      </c>
      <c r="GC120" s="64"/>
      <c r="GD120" s="60">
        <v>7</v>
      </c>
      <c r="GE120" s="60"/>
      <c r="GF120" s="60">
        <f>1/5</f>
        <v>0.2</v>
      </c>
      <c r="GG120" s="60"/>
      <c r="GH120" s="60">
        <f>1/3</f>
        <v>0.33333333333333331</v>
      </c>
      <c r="GI120" s="60"/>
      <c r="GJ120" s="60">
        <v>7</v>
      </c>
      <c r="GK120" s="60"/>
      <c r="GL120" s="60">
        <v>3</v>
      </c>
      <c r="GM120" s="60"/>
      <c r="GR120" s="60" t="s">
        <v>17</v>
      </c>
      <c r="GS120" s="60"/>
      <c r="GT120" s="62">
        <v>1</v>
      </c>
      <c r="GU120" s="62"/>
      <c r="GV120" s="60">
        <v>5</v>
      </c>
      <c r="GW120" s="60"/>
      <c r="GX120" s="63">
        <v>7</v>
      </c>
      <c r="GY120" s="64"/>
      <c r="GZ120" s="60">
        <v>7</v>
      </c>
      <c r="HA120" s="60"/>
      <c r="HB120" s="60">
        <f>1/5</f>
        <v>0.2</v>
      </c>
      <c r="HC120" s="60"/>
      <c r="HD120" s="60">
        <f>1/3</f>
        <v>0.33333333333333331</v>
      </c>
      <c r="HE120" s="60"/>
      <c r="HF120" s="60">
        <v>7</v>
      </c>
      <c r="HG120" s="60"/>
      <c r="HH120" s="60">
        <v>3</v>
      </c>
      <c r="HI120" s="60"/>
      <c r="HN120" s="60" t="s">
        <v>17</v>
      </c>
      <c r="HO120" s="60"/>
      <c r="HP120" s="62">
        <v>1</v>
      </c>
      <c r="HQ120" s="62"/>
      <c r="HR120" s="60">
        <v>5</v>
      </c>
      <c r="HS120" s="60"/>
      <c r="HT120" s="63">
        <v>7</v>
      </c>
      <c r="HU120" s="64"/>
      <c r="HV120" s="60">
        <v>7</v>
      </c>
      <c r="HW120" s="60"/>
      <c r="HX120" s="60">
        <f>1/5</f>
        <v>0.2</v>
      </c>
      <c r="HY120" s="60"/>
      <c r="HZ120" s="60">
        <f>1/3</f>
        <v>0.33333333333333331</v>
      </c>
      <c r="IA120" s="60"/>
      <c r="IB120" s="60">
        <v>5</v>
      </c>
      <c r="IC120" s="60"/>
      <c r="ID120" s="60">
        <v>3</v>
      </c>
      <c r="IE120" s="60"/>
      <c r="IK120" s="60" t="s">
        <v>17</v>
      </c>
      <c r="IL120" s="60"/>
      <c r="IM120" s="62">
        <v>1</v>
      </c>
      <c r="IN120" s="62"/>
      <c r="IO120" s="60">
        <v>5</v>
      </c>
      <c r="IP120" s="60"/>
      <c r="IQ120" s="63">
        <v>7</v>
      </c>
      <c r="IR120" s="64"/>
      <c r="IS120" s="60">
        <v>7</v>
      </c>
      <c r="IT120" s="60"/>
      <c r="IU120" s="60">
        <f>1/5</f>
        <v>0.2</v>
      </c>
      <c r="IV120" s="60"/>
      <c r="IW120" s="60">
        <f>1/3</f>
        <v>0.33333333333333331</v>
      </c>
      <c r="IX120" s="60"/>
      <c r="IY120" s="60">
        <v>7</v>
      </c>
      <c r="IZ120" s="60"/>
      <c r="JA120" s="60">
        <v>3</v>
      </c>
      <c r="JB120" s="60"/>
      <c r="JI120" s="60" t="s">
        <v>17</v>
      </c>
      <c r="JJ120" s="60"/>
      <c r="JK120" s="62">
        <v>1</v>
      </c>
      <c r="JL120" s="62"/>
      <c r="JM120" s="60">
        <f>1/7</f>
        <v>0.14285714285714285</v>
      </c>
      <c r="JN120" s="60"/>
      <c r="JO120" s="63">
        <v>9</v>
      </c>
      <c r="JP120" s="64"/>
      <c r="JQ120" s="60">
        <v>5</v>
      </c>
      <c r="JR120" s="60"/>
      <c r="JS120" s="60">
        <f>1/5</f>
        <v>0.2</v>
      </c>
      <c r="JT120" s="60"/>
      <c r="JU120" s="60">
        <f>1/3</f>
        <v>0.33333333333333331</v>
      </c>
      <c r="JV120" s="60"/>
      <c r="JW120" s="60">
        <v>7</v>
      </c>
      <c r="JX120" s="60"/>
      <c r="JY120" s="60">
        <f>1/3</f>
        <v>0.33333333333333331</v>
      </c>
      <c r="JZ120" s="60"/>
      <c r="KF120" s="60" t="s">
        <v>17</v>
      </c>
      <c r="KG120" s="60"/>
      <c r="KH120" s="62">
        <v>1</v>
      </c>
      <c r="KI120" s="62"/>
      <c r="KJ120" s="60">
        <v>5</v>
      </c>
      <c r="KK120" s="60"/>
      <c r="KL120" s="63">
        <v>7</v>
      </c>
      <c r="KM120" s="64"/>
      <c r="KN120" s="60">
        <v>7</v>
      </c>
      <c r="KO120" s="60"/>
      <c r="KP120" s="60">
        <f>1/5</f>
        <v>0.2</v>
      </c>
      <c r="KQ120" s="60"/>
      <c r="KR120" s="60">
        <f>1/3</f>
        <v>0.33333333333333331</v>
      </c>
      <c r="KS120" s="60"/>
      <c r="KT120" s="60">
        <v>7</v>
      </c>
      <c r="KU120" s="60"/>
      <c r="KV120" s="60">
        <v>3</v>
      </c>
      <c r="KW120" s="60"/>
      <c r="LA120" s="46"/>
      <c r="LB120" s="46"/>
      <c r="LC120" s="46"/>
      <c r="LD120" s="46"/>
      <c r="LE120" s="46"/>
      <c r="LF120" s="46"/>
      <c r="LG120" s="46"/>
      <c r="LH120" s="46"/>
      <c r="LI120" s="46"/>
      <c r="LJ120" s="46"/>
      <c r="LK120" s="46"/>
      <c r="LL120" s="46"/>
      <c r="LM120" s="46"/>
      <c r="LN120" s="46"/>
      <c r="LO120" s="46"/>
      <c r="LP120" s="46"/>
      <c r="LQ120" s="46"/>
      <c r="LR120" s="46"/>
      <c r="LS120" s="46"/>
      <c r="LT120" s="46"/>
      <c r="LU120" s="46"/>
      <c r="LV120" s="46"/>
      <c r="LW120" s="46"/>
      <c r="LX120" s="46"/>
      <c r="LY120" s="46"/>
      <c r="LZ120" s="46"/>
      <c r="MA120" s="46"/>
      <c r="MB120" s="46"/>
      <c r="MC120" s="46"/>
      <c r="MD120" s="46"/>
      <c r="ME120" s="46"/>
      <c r="MF120" s="46"/>
      <c r="MG120" s="46"/>
      <c r="MH120" s="46"/>
      <c r="MI120" s="46"/>
      <c r="MJ120" s="46"/>
      <c r="MK120" s="46"/>
      <c r="ML120" s="46"/>
      <c r="MM120" s="46"/>
      <c r="MN120" s="46"/>
      <c r="MO120" s="46"/>
      <c r="MP120" s="46"/>
      <c r="MQ120" s="46"/>
      <c r="MR120" s="46"/>
      <c r="MS120" s="46"/>
      <c r="MT120" s="46"/>
      <c r="MU120" s="46"/>
      <c r="MV120" s="46"/>
      <c r="MW120" s="46"/>
      <c r="MX120" s="46"/>
      <c r="MY120" s="46"/>
      <c r="MZ120" s="46"/>
      <c r="NA120" s="46"/>
      <c r="NB120" s="46"/>
      <c r="NC120" s="46"/>
      <c r="ND120" s="46"/>
      <c r="NE120" s="46"/>
      <c r="NF120" s="46"/>
      <c r="NG120" s="46"/>
    </row>
    <row r="121" spans="3:371" ht="15" customHeight="1" x14ac:dyDescent="0.35">
      <c r="C121" s="60"/>
      <c r="D121" s="60"/>
      <c r="E121" s="62"/>
      <c r="F121" s="62"/>
      <c r="G121" s="60"/>
      <c r="H121" s="60"/>
      <c r="I121" s="65"/>
      <c r="J121" s="66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X121" s="60"/>
      <c r="Y121" s="60"/>
      <c r="Z121" s="62"/>
      <c r="AA121" s="62"/>
      <c r="AB121" s="60"/>
      <c r="AC121" s="60"/>
      <c r="AD121" s="65"/>
      <c r="AE121" s="66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S121" s="60"/>
      <c r="AT121" s="60"/>
      <c r="AU121" s="62"/>
      <c r="AV121" s="62"/>
      <c r="AW121" s="60"/>
      <c r="AX121" s="60"/>
      <c r="AY121" s="65"/>
      <c r="AZ121" s="66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N121" s="60"/>
      <c r="BO121" s="60"/>
      <c r="BP121" s="62"/>
      <c r="BQ121" s="62"/>
      <c r="BR121" s="60"/>
      <c r="BS121" s="60"/>
      <c r="BT121" s="65"/>
      <c r="BU121" s="66"/>
      <c r="BV121" s="60"/>
      <c r="BW121" s="60"/>
      <c r="BX121" s="60"/>
      <c r="BY121" s="60"/>
      <c r="BZ121" s="60"/>
      <c r="CA121" s="60"/>
      <c r="CB121" s="60"/>
      <c r="CC121" s="60"/>
      <c r="CK121" s="60"/>
      <c r="CL121" s="60"/>
      <c r="CM121" s="62"/>
      <c r="CN121" s="62"/>
      <c r="CO121" s="60"/>
      <c r="CP121" s="60"/>
      <c r="CQ121" s="65"/>
      <c r="CR121" s="66"/>
      <c r="CS121" s="60"/>
      <c r="CT121" s="60"/>
      <c r="CU121" s="60"/>
      <c r="CV121" s="60"/>
      <c r="CW121" s="60"/>
      <c r="CX121" s="60"/>
      <c r="CY121" s="60"/>
      <c r="CZ121" s="60"/>
      <c r="DA121" s="60"/>
      <c r="DB121" s="60"/>
      <c r="DF121" s="60"/>
      <c r="DG121" s="60"/>
      <c r="DH121" s="62"/>
      <c r="DI121" s="62"/>
      <c r="DJ121" s="60"/>
      <c r="DK121" s="60"/>
      <c r="DL121" s="65"/>
      <c r="DM121" s="66"/>
      <c r="DN121" s="60"/>
      <c r="DO121" s="60"/>
      <c r="DP121" s="60"/>
      <c r="DQ121" s="60"/>
      <c r="DR121" s="60"/>
      <c r="DS121" s="60"/>
      <c r="DT121" s="60"/>
      <c r="DU121" s="60"/>
      <c r="DV121" s="60"/>
      <c r="DW121" s="60"/>
      <c r="EC121" s="60"/>
      <c r="ED121" s="60"/>
      <c r="EE121" s="62"/>
      <c r="EF121" s="62"/>
      <c r="EG121" s="60"/>
      <c r="EH121" s="60"/>
      <c r="EI121" s="65"/>
      <c r="EJ121" s="66"/>
      <c r="EK121" s="60"/>
      <c r="EL121" s="60"/>
      <c r="EM121" s="60"/>
      <c r="EN121" s="60"/>
      <c r="EO121" s="60"/>
      <c r="EP121" s="60"/>
      <c r="EQ121" s="60"/>
      <c r="ER121" s="60"/>
      <c r="ES121" s="60"/>
      <c r="ET121" s="60"/>
      <c r="EY121" s="60"/>
      <c r="EZ121" s="60"/>
      <c r="FA121" s="62"/>
      <c r="FB121" s="62"/>
      <c r="FC121" s="60"/>
      <c r="FD121" s="60"/>
      <c r="FE121" s="65"/>
      <c r="FF121" s="66"/>
      <c r="FG121" s="60"/>
      <c r="FH121" s="60"/>
      <c r="FI121" s="60"/>
      <c r="FJ121" s="60"/>
      <c r="FK121" s="60"/>
      <c r="FL121" s="60"/>
      <c r="FM121" s="60"/>
      <c r="FN121" s="60"/>
      <c r="FO121" s="60"/>
      <c r="FP121" s="60"/>
      <c r="FV121" s="60"/>
      <c r="FW121" s="60"/>
      <c r="FX121" s="62"/>
      <c r="FY121" s="62"/>
      <c r="FZ121" s="60"/>
      <c r="GA121" s="60"/>
      <c r="GB121" s="65"/>
      <c r="GC121" s="66"/>
      <c r="GD121" s="60"/>
      <c r="GE121" s="60"/>
      <c r="GF121" s="60"/>
      <c r="GG121" s="60"/>
      <c r="GH121" s="60"/>
      <c r="GI121" s="60"/>
      <c r="GJ121" s="60"/>
      <c r="GK121" s="60"/>
      <c r="GL121" s="60"/>
      <c r="GM121" s="60"/>
      <c r="GR121" s="60"/>
      <c r="GS121" s="60"/>
      <c r="GT121" s="62"/>
      <c r="GU121" s="62"/>
      <c r="GV121" s="60"/>
      <c r="GW121" s="60"/>
      <c r="GX121" s="65"/>
      <c r="GY121" s="66"/>
      <c r="GZ121" s="60"/>
      <c r="HA121" s="60"/>
      <c r="HB121" s="60"/>
      <c r="HC121" s="60"/>
      <c r="HD121" s="60"/>
      <c r="HE121" s="60"/>
      <c r="HF121" s="60"/>
      <c r="HG121" s="60"/>
      <c r="HH121" s="60"/>
      <c r="HI121" s="60"/>
      <c r="HN121" s="60"/>
      <c r="HO121" s="60"/>
      <c r="HP121" s="62"/>
      <c r="HQ121" s="62"/>
      <c r="HR121" s="60"/>
      <c r="HS121" s="60"/>
      <c r="HT121" s="65"/>
      <c r="HU121" s="66"/>
      <c r="HV121" s="60"/>
      <c r="HW121" s="60"/>
      <c r="HX121" s="60"/>
      <c r="HY121" s="60"/>
      <c r="HZ121" s="60"/>
      <c r="IA121" s="60"/>
      <c r="IB121" s="60"/>
      <c r="IC121" s="60"/>
      <c r="ID121" s="60"/>
      <c r="IE121" s="60"/>
      <c r="IK121" s="60"/>
      <c r="IL121" s="60"/>
      <c r="IM121" s="62"/>
      <c r="IN121" s="62"/>
      <c r="IO121" s="60"/>
      <c r="IP121" s="60"/>
      <c r="IQ121" s="65"/>
      <c r="IR121" s="66"/>
      <c r="IS121" s="60"/>
      <c r="IT121" s="60"/>
      <c r="IU121" s="60"/>
      <c r="IV121" s="60"/>
      <c r="IW121" s="60"/>
      <c r="IX121" s="60"/>
      <c r="IY121" s="60"/>
      <c r="IZ121" s="60"/>
      <c r="JA121" s="60"/>
      <c r="JB121" s="60"/>
      <c r="JI121" s="60"/>
      <c r="JJ121" s="60"/>
      <c r="JK121" s="62"/>
      <c r="JL121" s="62"/>
      <c r="JM121" s="60"/>
      <c r="JN121" s="60"/>
      <c r="JO121" s="65"/>
      <c r="JP121" s="66"/>
      <c r="JQ121" s="60"/>
      <c r="JR121" s="60"/>
      <c r="JS121" s="60"/>
      <c r="JT121" s="60"/>
      <c r="JU121" s="60"/>
      <c r="JV121" s="60"/>
      <c r="JW121" s="60"/>
      <c r="JX121" s="60"/>
      <c r="JY121" s="60"/>
      <c r="JZ121" s="60"/>
      <c r="KF121" s="60"/>
      <c r="KG121" s="60"/>
      <c r="KH121" s="62"/>
      <c r="KI121" s="62"/>
      <c r="KJ121" s="60"/>
      <c r="KK121" s="60"/>
      <c r="KL121" s="65"/>
      <c r="KM121" s="66"/>
      <c r="KN121" s="60"/>
      <c r="KO121" s="60"/>
      <c r="KP121" s="60"/>
      <c r="KQ121" s="60"/>
      <c r="KR121" s="60"/>
      <c r="KS121" s="60"/>
      <c r="KT121" s="60"/>
      <c r="KU121" s="60"/>
      <c r="KV121" s="60"/>
      <c r="KW121" s="60"/>
      <c r="LA121" s="46"/>
      <c r="LB121" s="46"/>
      <c r="LC121" s="46"/>
      <c r="LD121" s="46"/>
      <c r="LE121" s="46"/>
      <c r="LF121" s="46"/>
      <c r="LG121" s="46"/>
      <c r="LH121" s="46"/>
      <c r="LI121" s="46"/>
      <c r="LJ121" s="46"/>
      <c r="LK121" s="46"/>
      <c r="LL121" s="46"/>
      <c r="LM121" s="46"/>
      <c r="LN121" s="46"/>
      <c r="LO121" s="46"/>
      <c r="LP121" s="46"/>
      <c r="LQ121" s="46"/>
      <c r="LR121" s="46"/>
      <c r="LS121" s="46"/>
      <c r="LT121" s="46"/>
      <c r="LU121" s="46"/>
      <c r="LV121" s="46"/>
      <c r="LW121" s="46"/>
      <c r="LX121" s="46"/>
      <c r="LY121" s="46"/>
      <c r="LZ121" s="46"/>
      <c r="MA121" s="46"/>
      <c r="MB121" s="46"/>
      <c r="MC121" s="46"/>
      <c r="MD121" s="46"/>
      <c r="ME121" s="46"/>
      <c r="MF121" s="46"/>
      <c r="MG121" s="46"/>
      <c r="MH121" s="46"/>
      <c r="MI121" s="46"/>
      <c r="MJ121" s="46"/>
      <c r="MK121" s="46"/>
      <c r="ML121" s="46"/>
      <c r="MM121" s="46"/>
      <c r="MN121" s="46"/>
      <c r="MO121" s="46"/>
      <c r="MP121" s="46"/>
      <c r="MQ121" s="46"/>
      <c r="MR121" s="46"/>
      <c r="MS121" s="46"/>
      <c r="MT121" s="46"/>
      <c r="MU121" s="46"/>
      <c r="MV121" s="46"/>
      <c r="MW121" s="46"/>
      <c r="MX121" s="46"/>
      <c r="MY121" s="46"/>
      <c r="MZ121" s="46"/>
      <c r="NA121" s="46"/>
      <c r="NB121" s="46"/>
      <c r="NC121" s="46"/>
      <c r="ND121" s="46"/>
      <c r="NE121" s="46"/>
      <c r="NF121" s="46"/>
      <c r="NG121" s="46"/>
    </row>
    <row r="122" spans="3:371" ht="15" customHeight="1" x14ac:dyDescent="0.35">
      <c r="C122" s="60" t="s">
        <v>18</v>
      </c>
      <c r="D122" s="60"/>
      <c r="E122" s="60">
        <f>1/5</f>
        <v>0.2</v>
      </c>
      <c r="F122" s="60"/>
      <c r="G122" s="62">
        <v>1</v>
      </c>
      <c r="H122" s="62"/>
      <c r="I122" s="60">
        <f>1/7</f>
        <v>0.14285714285714285</v>
      </c>
      <c r="J122" s="60"/>
      <c r="K122" s="60">
        <f>1/5</f>
        <v>0.2</v>
      </c>
      <c r="L122" s="60"/>
      <c r="M122" s="60">
        <f>1/5</f>
        <v>0.2</v>
      </c>
      <c r="N122" s="60"/>
      <c r="O122" s="60">
        <v>3</v>
      </c>
      <c r="P122" s="60"/>
      <c r="Q122" s="60">
        <v>7</v>
      </c>
      <c r="R122" s="60"/>
      <c r="S122" s="60">
        <f>1/5</f>
        <v>0.2</v>
      </c>
      <c r="T122" s="60"/>
      <c r="X122" s="60" t="s">
        <v>18</v>
      </c>
      <c r="Y122" s="60"/>
      <c r="Z122" s="60">
        <v>7</v>
      </c>
      <c r="AA122" s="60"/>
      <c r="AB122" s="62">
        <v>1</v>
      </c>
      <c r="AC122" s="62"/>
      <c r="AD122" s="60">
        <v>5</v>
      </c>
      <c r="AE122" s="60"/>
      <c r="AF122" s="60">
        <v>3</v>
      </c>
      <c r="AG122" s="60"/>
      <c r="AH122" s="60">
        <f>1/5</f>
        <v>0.2</v>
      </c>
      <c r="AI122" s="60"/>
      <c r="AJ122" s="60">
        <v>7</v>
      </c>
      <c r="AK122" s="60"/>
      <c r="AL122" s="60">
        <f>1/9</f>
        <v>0.1111111111111111</v>
      </c>
      <c r="AM122" s="60"/>
      <c r="AN122" s="60">
        <f>1/5</f>
        <v>0.2</v>
      </c>
      <c r="AO122" s="60"/>
      <c r="AS122" s="60" t="s">
        <v>18</v>
      </c>
      <c r="AT122" s="60"/>
      <c r="AU122" s="60">
        <f>1/5</f>
        <v>0.2</v>
      </c>
      <c r="AV122" s="60"/>
      <c r="AW122" s="62">
        <v>1</v>
      </c>
      <c r="AX122" s="62"/>
      <c r="AY122" s="60">
        <v>4</v>
      </c>
      <c r="AZ122" s="60"/>
      <c r="BA122" s="60">
        <f>1/6</f>
        <v>0.16666666666666666</v>
      </c>
      <c r="BB122" s="60"/>
      <c r="BC122" s="60">
        <f>1/5</f>
        <v>0.2</v>
      </c>
      <c r="BD122" s="60"/>
      <c r="BE122" s="60">
        <v>3</v>
      </c>
      <c r="BF122" s="60"/>
      <c r="BG122" s="60">
        <v>7</v>
      </c>
      <c r="BH122" s="60"/>
      <c r="BI122" s="60">
        <f>1/5</f>
        <v>0.2</v>
      </c>
      <c r="BJ122" s="60"/>
      <c r="BN122" s="60" t="s">
        <v>18</v>
      </c>
      <c r="BO122" s="60"/>
      <c r="BP122" s="60">
        <f>1/5</f>
        <v>0.2</v>
      </c>
      <c r="BQ122" s="60"/>
      <c r="BR122" s="62">
        <v>1</v>
      </c>
      <c r="BS122" s="62"/>
      <c r="BT122" s="60">
        <v>4</v>
      </c>
      <c r="BU122" s="60"/>
      <c r="BV122" s="60">
        <f>1/6</f>
        <v>0.16666666666666666</v>
      </c>
      <c r="BW122" s="60"/>
      <c r="BX122" s="60">
        <f>1/5</f>
        <v>0.2</v>
      </c>
      <c r="BY122" s="60"/>
      <c r="BZ122" s="60">
        <v>3</v>
      </c>
      <c r="CA122" s="60"/>
      <c r="CB122" s="60">
        <v>7</v>
      </c>
      <c r="CC122" s="60"/>
      <c r="CK122" s="60" t="s">
        <v>18</v>
      </c>
      <c r="CL122" s="60"/>
      <c r="CM122" s="60">
        <f>1/5</f>
        <v>0.2</v>
      </c>
      <c r="CN122" s="60"/>
      <c r="CO122" s="62">
        <v>1</v>
      </c>
      <c r="CP122" s="62"/>
      <c r="CQ122" s="60">
        <f>1/2</f>
        <v>0.5</v>
      </c>
      <c r="CR122" s="60"/>
      <c r="CS122" s="60">
        <f>1/2</f>
        <v>0.5</v>
      </c>
      <c r="CT122" s="60"/>
      <c r="CU122" s="60">
        <f>1/5</f>
        <v>0.2</v>
      </c>
      <c r="CV122" s="60"/>
      <c r="CW122" s="60">
        <v>3</v>
      </c>
      <c r="CX122" s="60"/>
      <c r="CY122" s="60">
        <v>7</v>
      </c>
      <c r="CZ122" s="60"/>
      <c r="DA122" s="60">
        <f>1/5</f>
        <v>0.2</v>
      </c>
      <c r="DB122" s="60"/>
      <c r="DF122" s="60" t="s">
        <v>18</v>
      </c>
      <c r="DG122" s="60"/>
      <c r="DH122" s="60">
        <v>5</v>
      </c>
      <c r="DI122" s="60"/>
      <c r="DJ122" s="62">
        <v>1</v>
      </c>
      <c r="DK122" s="62"/>
      <c r="DL122" s="60">
        <f>1/2</f>
        <v>0.5</v>
      </c>
      <c r="DM122" s="60"/>
      <c r="DN122" s="60">
        <f>1/2</f>
        <v>0.5</v>
      </c>
      <c r="DO122" s="60"/>
      <c r="DP122" s="60">
        <f>1/5</f>
        <v>0.2</v>
      </c>
      <c r="DQ122" s="60"/>
      <c r="DR122" s="60">
        <v>3</v>
      </c>
      <c r="DS122" s="60"/>
      <c r="DT122" s="60">
        <v>7</v>
      </c>
      <c r="DU122" s="60"/>
      <c r="DV122" s="60">
        <f>1/3</f>
        <v>0.33333333333333331</v>
      </c>
      <c r="DW122" s="60"/>
      <c r="EC122" s="60" t="s">
        <v>18</v>
      </c>
      <c r="ED122" s="60"/>
      <c r="EE122" s="60">
        <f>1/5</f>
        <v>0.2</v>
      </c>
      <c r="EF122" s="60"/>
      <c r="EG122" s="62">
        <v>1</v>
      </c>
      <c r="EH122" s="62"/>
      <c r="EI122" s="60">
        <f>1/7</f>
        <v>0.14285714285714285</v>
      </c>
      <c r="EJ122" s="60"/>
      <c r="EK122" s="60">
        <f>1/5</f>
        <v>0.2</v>
      </c>
      <c r="EL122" s="60"/>
      <c r="EM122" s="60">
        <f>1/5</f>
        <v>0.2</v>
      </c>
      <c r="EN122" s="60"/>
      <c r="EO122" s="60">
        <v>3</v>
      </c>
      <c r="EP122" s="60"/>
      <c r="EQ122" s="60">
        <v>7</v>
      </c>
      <c r="ER122" s="60"/>
      <c r="ES122" s="60">
        <f>1/3</f>
        <v>0.33333333333333331</v>
      </c>
      <c r="ET122" s="60"/>
      <c r="EY122" s="60" t="s">
        <v>18</v>
      </c>
      <c r="EZ122" s="60"/>
      <c r="FA122" s="60">
        <v>7</v>
      </c>
      <c r="FB122" s="60"/>
      <c r="FC122" s="62">
        <v>1</v>
      </c>
      <c r="FD122" s="62"/>
      <c r="FE122" s="60">
        <v>5</v>
      </c>
      <c r="FF122" s="60"/>
      <c r="FG122" s="60">
        <v>3</v>
      </c>
      <c r="FH122" s="60"/>
      <c r="FI122" s="60">
        <f>1/5</f>
        <v>0.2</v>
      </c>
      <c r="FJ122" s="60"/>
      <c r="FK122" s="60">
        <v>7</v>
      </c>
      <c r="FL122" s="60"/>
      <c r="FM122" s="60">
        <f>1/9</f>
        <v>0.1111111111111111</v>
      </c>
      <c r="FN122" s="60"/>
      <c r="FO122" s="60">
        <f>1/5</f>
        <v>0.2</v>
      </c>
      <c r="FP122" s="60"/>
      <c r="FV122" s="60" t="s">
        <v>18</v>
      </c>
      <c r="FW122" s="60"/>
      <c r="FX122" s="60">
        <f>1/5</f>
        <v>0.2</v>
      </c>
      <c r="FY122" s="60"/>
      <c r="FZ122" s="62">
        <v>1</v>
      </c>
      <c r="GA122" s="62"/>
      <c r="GB122" s="60">
        <f>1/6</f>
        <v>0.16666666666666666</v>
      </c>
      <c r="GC122" s="60"/>
      <c r="GD122" s="60">
        <v>7</v>
      </c>
      <c r="GE122" s="60"/>
      <c r="GF122" s="60">
        <f>1/5</f>
        <v>0.2</v>
      </c>
      <c r="GG122" s="60"/>
      <c r="GH122" s="60">
        <v>3</v>
      </c>
      <c r="GI122" s="60"/>
      <c r="GJ122" s="60">
        <v>7</v>
      </c>
      <c r="GK122" s="60"/>
      <c r="GL122" s="60">
        <f>1/9</f>
        <v>0.1111111111111111</v>
      </c>
      <c r="GM122" s="60"/>
      <c r="GR122" s="60" t="s">
        <v>18</v>
      </c>
      <c r="GS122" s="60"/>
      <c r="GT122" s="60">
        <f>1/5</f>
        <v>0.2</v>
      </c>
      <c r="GU122" s="60"/>
      <c r="GV122" s="62">
        <v>1</v>
      </c>
      <c r="GW122" s="62"/>
      <c r="GX122" s="60">
        <v>5</v>
      </c>
      <c r="GY122" s="60"/>
      <c r="GZ122" s="60">
        <v>7</v>
      </c>
      <c r="HA122" s="60"/>
      <c r="HB122" s="60">
        <f>1/6</f>
        <v>0.16666666666666666</v>
      </c>
      <c r="HC122" s="60"/>
      <c r="HD122" s="60">
        <f>1/3</f>
        <v>0.33333333333333331</v>
      </c>
      <c r="HE122" s="60"/>
      <c r="HF122" s="60">
        <v>7</v>
      </c>
      <c r="HG122" s="60"/>
      <c r="HH122" s="60">
        <f>1/5</f>
        <v>0.2</v>
      </c>
      <c r="HI122" s="60"/>
      <c r="HN122" s="60" t="s">
        <v>18</v>
      </c>
      <c r="HO122" s="60"/>
      <c r="HP122" s="60">
        <f>1/5</f>
        <v>0.2</v>
      </c>
      <c r="HQ122" s="60"/>
      <c r="HR122" s="62">
        <v>1</v>
      </c>
      <c r="HS122" s="62"/>
      <c r="HT122" s="60">
        <f>1/2</f>
        <v>0.5</v>
      </c>
      <c r="HU122" s="60"/>
      <c r="HV122" s="60">
        <f>1/2</f>
        <v>0.5</v>
      </c>
      <c r="HW122" s="60"/>
      <c r="HX122" s="60">
        <f>1/5</f>
        <v>0.2</v>
      </c>
      <c r="HY122" s="60"/>
      <c r="HZ122" s="60">
        <v>3</v>
      </c>
      <c r="IA122" s="60"/>
      <c r="IB122" s="60">
        <v>7</v>
      </c>
      <c r="IC122" s="60"/>
      <c r="ID122" s="60">
        <f>1/5</f>
        <v>0.2</v>
      </c>
      <c r="IE122" s="60"/>
      <c r="IK122" s="60" t="s">
        <v>18</v>
      </c>
      <c r="IL122" s="60"/>
      <c r="IM122" s="60">
        <f>1/5</f>
        <v>0.2</v>
      </c>
      <c r="IN122" s="60"/>
      <c r="IO122" s="62">
        <v>1</v>
      </c>
      <c r="IP122" s="62"/>
      <c r="IQ122" s="60">
        <f>1/7</f>
        <v>0.14285714285714285</v>
      </c>
      <c r="IR122" s="60"/>
      <c r="IS122" s="60">
        <f>1/5</f>
        <v>0.2</v>
      </c>
      <c r="IT122" s="60"/>
      <c r="IU122" s="60">
        <f>1/5</f>
        <v>0.2</v>
      </c>
      <c r="IV122" s="60"/>
      <c r="IW122" s="60">
        <v>3</v>
      </c>
      <c r="IX122" s="60"/>
      <c r="IY122" s="60">
        <v>7</v>
      </c>
      <c r="IZ122" s="60"/>
      <c r="JA122" s="60">
        <f>1/3</f>
        <v>0.33333333333333331</v>
      </c>
      <c r="JB122" s="60"/>
      <c r="JI122" s="60" t="s">
        <v>18</v>
      </c>
      <c r="JJ122" s="60"/>
      <c r="JK122" s="60">
        <v>7</v>
      </c>
      <c r="JL122" s="60"/>
      <c r="JM122" s="62">
        <v>1</v>
      </c>
      <c r="JN122" s="62"/>
      <c r="JO122" s="60">
        <f>1/5</f>
        <v>0.2</v>
      </c>
      <c r="JP122" s="60"/>
      <c r="JQ122" s="60">
        <v>3</v>
      </c>
      <c r="JR122" s="60"/>
      <c r="JS122" s="60">
        <f>1/5</f>
        <v>0.2</v>
      </c>
      <c r="JT122" s="60"/>
      <c r="JU122" s="60">
        <v>3</v>
      </c>
      <c r="JV122" s="60"/>
      <c r="JW122" s="60">
        <v>5</v>
      </c>
      <c r="JX122" s="60"/>
      <c r="JY122" s="60">
        <f>1/5</f>
        <v>0.2</v>
      </c>
      <c r="JZ122" s="60"/>
      <c r="KF122" s="60" t="s">
        <v>18</v>
      </c>
      <c r="KG122" s="60"/>
      <c r="KH122" s="60">
        <f>1/5</f>
        <v>0.2</v>
      </c>
      <c r="KI122" s="60"/>
      <c r="KJ122" s="62">
        <v>1</v>
      </c>
      <c r="KK122" s="62"/>
      <c r="KL122" s="60">
        <f>1/2</f>
        <v>0.5</v>
      </c>
      <c r="KM122" s="60"/>
      <c r="KN122" s="60">
        <f>1/2</f>
        <v>0.5</v>
      </c>
      <c r="KO122" s="60"/>
      <c r="KP122" s="60">
        <f>1/5</f>
        <v>0.2</v>
      </c>
      <c r="KQ122" s="60"/>
      <c r="KR122" s="60">
        <v>3</v>
      </c>
      <c r="KS122" s="60"/>
      <c r="KT122" s="60">
        <v>7</v>
      </c>
      <c r="KU122" s="60"/>
      <c r="KV122" s="60">
        <f>1/5</f>
        <v>0.2</v>
      </c>
      <c r="KW122" s="60"/>
      <c r="LA122" s="46"/>
      <c r="LB122" s="46"/>
      <c r="LC122" s="46"/>
      <c r="LD122" s="46"/>
      <c r="LE122" s="46"/>
      <c r="LF122" s="46"/>
      <c r="LG122" s="46"/>
      <c r="LH122" s="46"/>
      <c r="LI122" s="46"/>
      <c r="LJ122" s="46"/>
      <c r="LK122" s="46"/>
      <c r="LL122" s="46"/>
      <c r="LM122" s="46"/>
      <c r="LN122" s="46"/>
      <c r="LO122" s="46"/>
      <c r="LP122" s="46"/>
      <c r="LQ122" s="46"/>
      <c r="LR122" s="46"/>
      <c r="LS122" s="46"/>
      <c r="LT122" s="46"/>
      <c r="LU122" s="46"/>
      <c r="LV122" s="46"/>
      <c r="LW122" s="46"/>
      <c r="LX122" s="46"/>
      <c r="LY122" s="46"/>
      <c r="LZ122" s="46"/>
      <c r="MA122" s="46"/>
      <c r="MB122" s="46"/>
      <c r="MC122" s="46"/>
      <c r="MD122" s="46"/>
      <c r="ME122" s="46"/>
      <c r="MF122" s="46"/>
      <c r="MG122" s="46"/>
      <c r="MH122" s="46"/>
      <c r="MI122" s="46"/>
      <c r="MJ122" s="46"/>
      <c r="MK122" s="46"/>
      <c r="ML122" s="46"/>
      <c r="MM122" s="46"/>
      <c r="MN122" s="46"/>
      <c r="MO122" s="46"/>
      <c r="MP122" s="46"/>
      <c r="MQ122" s="46"/>
      <c r="MR122" s="46"/>
      <c r="MS122" s="46"/>
      <c r="MT122" s="46"/>
      <c r="MU122" s="46"/>
      <c r="MV122" s="46"/>
      <c r="MW122" s="46"/>
      <c r="MX122" s="46"/>
      <c r="MY122" s="46"/>
      <c r="MZ122" s="46"/>
      <c r="NA122" s="46"/>
      <c r="NB122" s="46"/>
      <c r="NC122" s="46"/>
      <c r="ND122" s="46"/>
      <c r="NE122" s="46"/>
      <c r="NF122" s="46"/>
      <c r="NG122" s="46"/>
    </row>
    <row r="123" spans="3:371" ht="15" customHeight="1" x14ac:dyDescent="0.35">
      <c r="C123" s="60"/>
      <c r="D123" s="60"/>
      <c r="E123" s="60"/>
      <c r="F123" s="60"/>
      <c r="G123" s="62"/>
      <c r="H123" s="62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X123" s="60"/>
      <c r="Y123" s="60"/>
      <c r="Z123" s="60"/>
      <c r="AA123" s="60"/>
      <c r="AB123" s="62"/>
      <c r="AC123" s="62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S123" s="60"/>
      <c r="AT123" s="60"/>
      <c r="AU123" s="60"/>
      <c r="AV123" s="60"/>
      <c r="AW123" s="62"/>
      <c r="AX123" s="62"/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N123" s="60"/>
      <c r="BO123" s="60"/>
      <c r="BP123" s="60"/>
      <c r="BQ123" s="60"/>
      <c r="BR123" s="62"/>
      <c r="BS123" s="62"/>
      <c r="BT123" s="60"/>
      <c r="BU123" s="60"/>
      <c r="BV123" s="60"/>
      <c r="BW123" s="60"/>
      <c r="BX123" s="60"/>
      <c r="BY123" s="60"/>
      <c r="BZ123" s="60"/>
      <c r="CA123" s="60"/>
      <c r="CB123" s="60"/>
      <c r="CC123" s="60"/>
      <c r="CK123" s="60"/>
      <c r="CL123" s="60"/>
      <c r="CM123" s="60"/>
      <c r="CN123" s="60"/>
      <c r="CO123" s="62"/>
      <c r="CP123" s="62"/>
      <c r="CQ123" s="60"/>
      <c r="CR123" s="60"/>
      <c r="CS123" s="60"/>
      <c r="CT123" s="60"/>
      <c r="CU123" s="60"/>
      <c r="CV123" s="60"/>
      <c r="CW123" s="60"/>
      <c r="CX123" s="60"/>
      <c r="CY123" s="60"/>
      <c r="CZ123" s="60"/>
      <c r="DA123" s="60"/>
      <c r="DB123" s="60"/>
      <c r="DF123" s="60"/>
      <c r="DG123" s="60"/>
      <c r="DH123" s="60"/>
      <c r="DI123" s="60"/>
      <c r="DJ123" s="62"/>
      <c r="DK123" s="62"/>
      <c r="DL123" s="60"/>
      <c r="DM123" s="60"/>
      <c r="DN123" s="60"/>
      <c r="DO123" s="60"/>
      <c r="DP123" s="60"/>
      <c r="DQ123" s="60"/>
      <c r="DR123" s="60"/>
      <c r="DS123" s="60"/>
      <c r="DT123" s="60"/>
      <c r="DU123" s="60"/>
      <c r="DV123" s="60"/>
      <c r="DW123" s="60"/>
      <c r="EC123" s="60"/>
      <c r="ED123" s="60"/>
      <c r="EE123" s="60"/>
      <c r="EF123" s="60"/>
      <c r="EG123" s="62"/>
      <c r="EH123" s="62"/>
      <c r="EI123" s="60"/>
      <c r="EJ123" s="60"/>
      <c r="EK123" s="60"/>
      <c r="EL123" s="60"/>
      <c r="EM123" s="60"/>
      <c r="EN123" s="60"/>
      <c r="EO123" s="60"/>
      <c r="EP123" s="60"/>
      <c r="EQ123" s="60"/>
      <c r="ER123" s="60"/>
      <c r="ES123" s="60"/>
      <c r="ET123" s="60"/>
      <c r="EY123" s="60"/>
      <c r="EZ123" s="60"/>
      <c r="FA123" s="60"/>
      <c r="FB123" s="60"/>
      <c r="FC123" s="62"/>
      <c r="FD123" s="62"/>
      <c r="FE123" s="60"/>
      <c r="FF123" s="60"/>
      <c r="FG123" s="60"/>
      <c r="FH123" s="60"/>
      <c r="FI123" s="60"/>
      <c r="FJ123" s="60"/>
      <c r="FK123" s="60"/>
      <c r="FL123" s="60"/>
      <c r="FM123" s="60"/>
      <c r="FN123" s="60"/>
      <c r="FO123" s="60"/>
      <c r="FP123" s="60"/>
      <c r="FV123" s="60"/>
      <c r="FW123" s="60"/>
      <c r="FX123" s="60"/>
      <c r="FY123" s="60"/>
      <c r="FZ123" s="62"/>
      <c r="GA123" s="62"/>
      <c r="GB123" s="60"/>
      <c r="GC123" s="60"/>
      <c r="GD123" s="60"/>
      <c r="GE123" s="60"/>
      <c r="GF123" s="60"/>
      <c r="GG123" s="60"/>
      <c r="GH123" s="60"/>
      <c r="GI123" s="60"/>
      <c r="GJ123" s="60"/>
      <c r="GK123" s="60"/>
      <c r="GL123" s="60"/>
      <c r="GM123" s="60"/>
      <c r="GR123" s="60"/>
      <c r="GS123" s="60"/>
      <c r="GT123" s="60"/>
      <c r="GU123" s="60"/>
      <c r="GV123" s="62"/>
      <c r="GW123" s="62"/>
      <c r="GX123" s="60"/>
      <c r="GY123" s="60"/>
      <c r="GZ123" s="60"/>
      <c r="HA123" s="60"/>
      <c r="HB123" s="60"/>
      <c r="HC123" s="60"/>
      <c r="HD123" s="60"/>
      <c r="HE123" s="60"/>
      <c r="HF123" s="60"/>
      <c r="HG123" s="60"/>
      <c r="HH123" s="60"/>
      <c r="HI123" s="60"/>
      <c r="HN123" s="60"/>
      <c r="HO123" s="60"/>
      <c r="HP123" s="60"/>
      <c r="HQ123" s="60"/>
      <c r="HR123" s="62"/>
      <c r="HS123" s="62"/>
      <c r="HT123" s="60"/>
      <c r="HU123" s="60"/>
      <c r="HV123" s="60"/>
      <c r="HW123" s="60"/>
      <c r="HX123" s="60"/>
      <c r="HY123" s="60"/>
      <c r="HZ123" s="60"/>
      <c r="IA123" s="60"/>
      <c r="IB123" s="60"/>
      <c r="IC123" s="60"/>
      <c r="ID123" s="60"/>
      <c r="IE123" s="60"/>
      <c r="IK123" s="60"/>
      <c r="IL123" s="60"/>
      <c r="IM123" s="60"/>
      <c r="IN123" s="60"/>
      <c r="IO123" s="62"/>
      <c r="IP123" s="62"/>
      <c r="IQ123" s="60"/>
      <c r="IR123" s="60"/>
      <c r="IS123" s="60"/>
      <c r="IT123" s="60"/>
      <c r="IU123" s="60"/>
      <c r="IV123" s="60"/>
      <c r="IW123" s="60"/>
      <c r="IX123" s="60"/>
      <c r="IY123" s="60"/>
      <c r="IZ123" s="60"/>
      <c r="JA123" s="60"/>
      <c r="JB123" s="60"/>
      <c r="JI123" s="60"/>
      <c r="JJ123" s="60"/>
      <c r="JK123" s="60"/>
      <c r="JL123" s="60"/>
      <c r="JM123" s="62"/>
      <c r="JN123" s="62"/>
      <c r="JO123" s="60"/>
      <c r="JP123" s="60"/>
      <c r="JQ123" s="60"/>
      <c r="JR123" s="60"/>
      <c r="JS123" s="60"/>
      <c r="JT123" s="60"/>
      <c r="JU123" s="60"/>
      <c r="JV123" s="60"/>
      <c r="JW123" s="60"/>
      <c r="JX123" s="60"/>
      <c r="JY123" s="60"/>
      <c r="JZ123" s="60"/>
      <c r="KF123" s="60"/>
      <c r="KG123" s="60"/>
      <c r="KH123" s="60"/>
      <c r="KI123" s="60"/>
      <c r="KJ123" s="62"/>
      <c r="KK123" s="62"/>
      <c r="KL123" s="60"/>
      <c r="KM123" s="60"/>
      <c r="KN123" s="60"/>
      <c r="KO123" s="60"/>
      <c r="KP123" s="60"/>
      <c r="KQ123" s="60"/>
      <c r="KR123" s="60"/>
      <c r="KS123" s="60"/>
      <c r="KT123" s="60"/>
      <c r="KU123" s="60"/>
      <c r="KV123" s="60"/>
      <c r="KW123" s="60"/>
      <c r="LA123" s="46"/>
      <c r="LB123" s="46"/>
      <c r="LC123" s="46"/>
      <c r="LD123" s="46"/>
      <c r="LE123" s="46"/>
      <c r="LF123" s="46"/>
      <c r="LG123" s="46"/>
      <c r="LH123" s="46"/>
      <c r="LI123" s="46"/>
      <c r="LJ123" s="46"/>
      <c r="LK123" s="46"/>
      <c r="LL123" s="46"/>
      <c r="LM123" s="46"/>
      <c r="LN123" s="46"/>
      <c r="LO123" s="46"/>
      <c r="LP123" s="46"/>
      <c r="LQ123" s="46"/>
      <c r="LR123" s="46"/>
      <c r="LS123" s="46"/>
      <c r="LT123" s="46"/>
      <c r="LU123" s="46"/>
      <c r="LV123" s="46"/>
      <c r="LW123" s="46"/>
      <c r="LX123" s="46"/>
      <c r="LY123" s="46"/>
      <c r="LZ123" s="46"/>
      <c r="MA123" s="46"/>
      <c r="MB123" s="46"/>
      <c r="MC123" s="46"/>
      <c r="MD123" s="46"/>
      <c r="ME123" s="46"/>
      <c r="MF123" s="46"/>
      <c r="MG123" s="46"/>
      <c r="MH123" s="46"/>
      <c r="MI123" s="46"/>
      <c r="MJ123" s="46"/>
      <c r="MK123" s="46"/>
      <c r="ML123" s="46"/>
      <c r="MM123" s="46"/>
      <c r="MN123" s="46"/>
      <c r="MO123" s="46"/>
      <c r="MP123" s="46"/>
      <c r="MQ123" s="46"/>
      <c r="MR123" s="46"/>
      <c r="MS123" s="46"/>
      <c r="MT123" s="46"/>
      <c r="MU123" s="46"/>
      <c r="MV123" s="46"/>
      <c r="MW123" s="46"/>
      <c r="MX123" s="46"/>
      <c r="MY123" s="46"/>
      <c r="MZ123" s="46"/>
      <c r="NA123" s="46"/>
      <c r="NB123" s="46"/>
      <c r="NC123" s="46"/>
      <c r="ND123" s="46"/>
      <c r="NE123" s="46"/>
      <c r="NF123" s="46"/>
      <c r="NG123" s="46"/>
    </row>
    <row r="124" spans="3:371" ht="15" customHeight="1" x14ac:dyDescent="0.35">
      <c r="C124" s="60" t="s">
        <v>19</v>
      </c>
      <c r="D124" s="60"/>
      <c r="E124" s="60">
        <f>1/7</f>
        <v>0.14285714285714285</v>
      </c>
      <c r="F124" s="60"/>
      <c r="G124" s="60">
        <v>7</v>
      </c>
      <c r="H124" s="60"/>
      <c r="I124" s="62">
        <v>1</v>
      </c>
      <c r="J124" s="62"/>
      <c r="K124" s="60">
        <f>1/7</f>
        <v>0.14285714285714285</v>
      </c>
      <c r="L124" s="60"/>
      <c r="M124" s="60">
        <f>1/5</f>
        <v>0.2</v>
      </c>
      <c r="N124" s="60"/>
      <c r="O124" s="60">
        <f>1/3</f>
        <v>0.33333333333333331</v>
      </c>
      <c r="P124" s="60"/>
      <c r="Q124" s="60">
        <v>9</v>
      </c>
      <c r="R124" s="60"/>
      <c r="S124" s="60">
        <v>9</v>
      </c>
      <c r="T124" s="60"/>
      <c r="X124" s="60" t="s">
        <v>19</v>
      </c>
      <c r="Y124" s="60"/>
      <c r="Z124" s="60">
        <v>5</v>
      </c>
      <c r="AA124" s="60"/>
      <c r="AB124" s="60">
        <f>1/5</f>
        <v>0.2</v>
      </c>
      <c r="AC124" s="60"/>
      <c r="AD124" s="62">
        <v>1</v>
      </c>
      <c r="AE124" s="62"/>
      <c r="AF124" s="60">
        <f>1/7</f>
        <v>0.14285714285714285</v>
      </c>
      <c r="AG124" s="60"/>
      <c r="AH124" s="60">
        <f>1/9</f>
        <v>0.1111111111111111</v>
      </c>
      <c r="AI124" s="60"/>
      <c r="AJ124" s="60">
        <v>7</v>
      </c>
      <c r="AK124" s="60"/>
      <c r="AL124" s="60">
        <f>1/9</f>
        <v>0.1111111111111111</v>
      </c>
      <c r="AM124" s="60"/>
      <c r="AN124" s="60">
        <v>5</v>
      </c>
      <c r="AO124" s="60"/>
      <c r="AS124" s="60" t="s">
        <v>19</v>
      </c>
      <c r="AT124" s="60"/>
      <c r="AU124" s="60">
        <f>1/7</f>
        <v>0.14285714285714285</v>
      </c>
      <c r="AV124" s="60"/>
      <c r="AW124" s="60">
        <f>1/4</f>
        <v>0.25</v>
      </c>
      <c r="AX124" s="60"/>
      <c r="AY124" s="62">
        <v>1</v>
      </c>
      <c r="AZ124" s="62"/>
      <c r="BA124" s="60">
        <v>5</v>
      </c>
      <c r="BB124" s="60"/>
      <c r="BC124" s="60">
        <f>1/9</f>
        <v>0.1111111111111111</v>
      </c>
      <c r="BD124" s="60"/>
      <c r="BE124" s="60">
        <f>1/7</f>
        <v>0.14285714285714285</v>
      </c>
      <c r="BF124" s="60"/>
      <c r="BG124" s="60">
        <v>8</v>
      </c>
      <c r="BH124" s="60"/>
      <c r="BI124" s="60">
        <f>1/6</f>
        <v>0.16666666666666666</v>
      </c>
      <c r="BJ124" s="60"/>
      <c r="BN124" s="60" t="s">
        <v>19</v>
      </c>
      <c r="BO124" s="60"/>
      <c r="BP124" s="60">
        <f>1/7</f>
        <v>0.14285714285714285</v>
      </c>
      <c r="BQ124" s="60"/>
      <c r="BR124" s="60">
        <f>1/4</f>
        <v>0.25</v>
      </c>
      <c r="BS124" s="60"/>
      <c r="BT124" s="62">
        <v>1</v>
      </c>
      <c r="BU124" s="62"/>
      <c r="BV124" s="60">
        <v>5</v>
      </c>
      <c r="BW124" s="60"/>
      <c r="BX124" s="60">
        <f>1/9</f>
        <v>0.1111111111111111</v>
      </c>
      <c r="BY124" s="60"/>
      <c r="BZ124" s="60">
        <f>1/7</f>
        <v>0.14285714285714285</v>
      </c>
      <c r="CA124" s="60"/>
      <c r="CB124" s="60">
        <v>8</v>
      </c>
      <c r="CC124" s="60"/>
      <c r="CK124" s="60" t="s">
        <v>19</v>
      </c>
      <c r="CL124" s="60"/>
      <c r="CM124" s="60">
        <f>1/7</f>
        <v>0.14285714285714285</v>
      </c>
      <c r="CN124" s="60"/>
      <c r="CO124" s="60">
        <v>2</v>
      </c>
      <c r="CP124" s="60"/>
      <c r="CQ124" s="62">
        <v>1</v>
      </c>
      <c r="CR124" s="62"/>
      <c r="CS124" s="60">
        <f>1/6</f>
        <v>0.16666666666666666</v>
      </c>
      <c r="CT124" s="60"/>
      <c r="CU124" s="60">
        <f>1/7</f>
        <v>0.14285714285714285</v>
      </c>
      <c r="CV124" s="60"/>
      <c r="CW124" s="60">
        <f>1/9</f>
        <v>0.1111111111111111</v>
      </c>
      <c r="CX124" s="60"/>
      <c r="CY124" s="60">
        <v>5</v>
      </c>
      <c r="CZ124" s="60"/>
      <c r="DA124" s="60">
        <v>3</v>
      </c>
      <c r="DB124" s="60"/>
      <c r="DF124" s="60" t="s">
        <v>19</v>
      </c>
      <c r="DG124" s="60"/>
      <c r="DH124" s="60">
        <v>7</v>
      </c>
      <c r="DI124" s="60"/>
      <c r="DJ124" s="60">
        <v>2</v>
      </c>
      <c r="DK124" s="60"/>
      <c r="DL124" s="62">
        <v>1</v>
      </c>
      <c r="DM124" s="62"/>
      <c r="DN124" s="60">
        <f>1/3</f>
        <v>0.33333333333333331</v>
      </c>
      <c r="DO124" s="60"/>
      <c r="DP124" s="60">
        <f>1/3</f>
        <v>0.33333333333333331</v>
      </c>
      <c r="DQ124" s="60"/>
      <c r="DR124" s="60">
        <f>1/3</f>
        <v>0.33333333333333331</v>
      </c>
      <c r="DS124" s="60"/>
      <c r="DT124" s="60">
        <v>5</v>
      </c>
      <c r="DU124" s="60"/>
      <c r="DV124" s="60">
        <v>3</v>
      </c>
      <c r="DW124" s="60"/>
      <c r="EC124" s="60" t="s">
        <v>19</v>
      </c>
      <c r="ED124" s="60"/>
      <c r="EE124" s="60">
        <f>1/7</f>
        <v>0.14285714285714285</v>
      </c>
      <c r="EF124" s="60"/>
      <c r="EG124" s="60">
        <v>7</v>
      </c>
      <c r="EH124" s="60"/>
      <c r="EI124" s="62">
        <v>1</v>
      </c>
      <c r="EJ124" s="62"/>
      <c r="EK124" s="60">
        <f>1/7</f>
        <v>0.14285714285714285</v>
      </c>
      <c r="EL124" s="60"/>
      <c r="EM124" s="60">
        <f>1/5</f>
        <v>0.2</v>
      </c>
      <c r="EN124" s="60"/>
      <c r="EO124" s="60">
        <f>1/3</f>
        <v>0.33333333333333331</v>
      </c>
      <c r="EP124" s="60"/>
      <c r="EQ124" s="60">
        <v>3</v>
      </c>
      <c r="ER124" s="60"/>
      <c r="ES124" s="60">
        <v>3</v>
      </c>
      <c r="ET124" s="60"/>
      <c r="EY124" s="60" t="s">
        <v>19</v>
      </c>
      <c r="EZ124" s="60"/>
      <c r="FA124" s="60">
        <v>5</v>
      </c>
      <c r="FB124" s="60"/>
      <c r="FC124" s="60">
        <f>1/5</f>
        <v>0.2</v>
      </c>
      <c r="FD124" s="60"/>
      <c r="FE124" s="62">
        <v>1</v>
      </c>
      <c r="FF124" s="62"/>
      <c r="FG124" s="60">
        <f>1/7</f>
        <v>0.14285714285714285</v>
      </c>
      <c r="FH124" s="60"/>
      <c r="FI124" s="60">
        <f>1/9</f>
        <v>0.1111111111111111</v>
      </c>
      <c r="FJ124" s="60"/>
      <c r="FK124" s="60">
        <v>7</v>
      </c>
      <c r="FL124" s="60"/>
      <c r="FM124" s="60">
        <f>1/9</f>
        <v>0.1111111111111111</v>
      </c>
      <c r="FN124" s="60"/>
      <c r="FO124" s="60">
        <v>5</v>
      </c>
      <c r="FP124" s="60"/>
      <c r="FV124" s="60" t="s">
        <v>19</v>
      </c>
      <c r="FW124" s="60"/>
      <c r="FX124" s="60">
        <f>1/7</f>
        <v>0.14285714285714285</v>
      </c>
      <c r="FY124" s="60"/>
      <c r="FZ124" s="60">
        <v>6</v>
      </c>
      <c r="GA124" s="60"/>
      <c r="GB124" s="62">
        <v>1</v>
      </c>
      <c r="GC124" s="62"/>
      <c r="GD124" s="60">
        <f>1/4</f>
        <v>0.25</v>
      </c>
      <c r="GE124" s="60"/>
      <c r="GF124" s="60">
        <f>1/9</f>
        <v>0.1111111111111111</v>
      </c>
      <c r="GG124" s="60"/>
      <c r="GH124" s="60">
        <f>1/5</f>
        <v>0.2</v>
      </c>
      <c r="GI124" s="60"/>
      <c r="GJ124" s="60">
        <v>5</v>
      </c>
      <c r="GK124" s="60"/>
      <c r="GL124" s="60">
        <v>3</v>
      </c>
      <c r="GM124" s="60"/>
      <c r="GR124" s="60" t="s">
        <v>19</v>
      </c>
      <c r="GS124" s="60"/>
      <c r="GT124" s="60">
        <f>1/7</f>
        <v>0.14285714285714285</v>
      </c>
      <c r="GU124" s="60"/>
      <c r="GV124" s="60">
        <f>1/5</f>
        <v>0.2</v>
      </c>
      <c r="GW124" s="60"/>
      <c r="GX124" s="62">
        <v>1</v>
      </c>
      <c r="GY124" s="62"/>
      <c r="GZ124" s="60">
        <v>4</v>
      </c>
      <c r="HA124" s="60"/>
      <c r="HB124" s="60">
        <f>1/7</f>
        <v>0.14285714285714285</v>
      </c>
      <c r="HC124" s="60"/>
      <c r="HD124" s="60">
        <f>1/5</f>
        <v>0.2</v>
      </c>
      <c r="HE124" s="60"/>
      <c r="HF124" s="60">
        <v>7</v>
      </c>
      <c r="HG124" s="60"/>
      <c r="HH124" s="60">
        <v>3</v>
      </c>
      <c r="HI124" s="60"/>
      <c r="HN124" s="60" t="s">
        <v>19</v>
      </c>
      <c r="HO124" s="60"/>
      <c r="HP124" s="60">
        <f>1/7</f>
        <v>0.14285714285714285</v>
      </c>
      <c r="HQ124" s="60"/>
      <c r="HR124" s="60">
        <v>2</v>
      </c>
      <c r="HS124" s="60"/>
      <c r="HT124" s="62">
        <v>1</v>
      </c>
      <c r="HU124" s="62"/>
      <c r="HV124" s="60">
        <v>6</v>
      </c>
      <c r="HW124" s="60"/>
      <c r="HX124" s="60">
        <f>1/9</f>
        <v>0.1111111111111111</v>
      </c>
      <c r="HY124" s="60"/>
      <c r="HZ124" s="60">
        <f>1/5</f>
        <v>0.2</v>
      </c>
      <c r="IA124" s="60"/>
      <c r="IB124" s="60">
        <v>5</v>
      </c>
      <c r="IC124" s="60"/>
      <c r="ID124" s="60">
        <v>3</v>
      </c>
      <c r="IE124" s="60"/>
      <c r="IK124" s="60" t="s">
        <v>19</v>
      </c>
      <c r="IL124" s="60"/>
      <c r="IM124" s="60">
        <f>1/7</f>
        <v>0.14285714285714285</v>
      </c>
      <c r="IN124" s="60"/>
      <c r="IO124" s="60">
        <v>7</v>
      </c>
      <c r="IP124" s="60"/>
      <c r="IQ124" s="62">
        <v>1</v>
      </c>
      <c r="IR124" s="62"/>
      <c r="IS124" s="60">
        <f>1/7</f>
        <v>0.14285714285714285</v>
      </c>
      <c r="IT124" s="60"/>
      <c r="IU124" s="60">
        <f>1/5</f>
        <v>0.2</v>
      </c>
      <c r="IV124" s="60"/>
      <c r="IW124" s="60">
        <f>1/3</f>
        <v>0.33333333333333331</v>
      </c>
      <c r="IX124" s="60"/>
      <c r="IY124" s="60">
        <v>3</v>
      </c>
      <c r="IZ124" s="60"/>
      <c r="JA124" s="60">
        <v>3</v>
      </c>
      <c r="JB124" s="60"/>
      <c r="JI124" s="60" t="s">
        <v>19</v>
      </c>
      <c r="JJ124" s="60"/>
      <c r="JK124" s="60">
        <f>1/9</f>
        <v>0.1111111111111111</v>
      </c>
      <c r="JL124" s="60"/>
      <c r="JM124" s="60">
        <v>5</v>
      </c>
      <c r="JN124" s="60"/>
      <c r="JO124" s="62">
        <v>1</v>
      </c>
      <c r="JP124" s="62"/>
      <c r="JQ124" s="60">
        <f>1/7</f>
        <v>0.14285714285714285</v>
      </c>
      <c r="JR124" s="60"/>
      <c r="JS124" s="60">
        <f>1/9</f>
        <v>0.1111111111111111</v>
      </c>
      <c r="JT124" s="60"/>
      <c r="JU124" s="60">
        <f>1/3</f>
        <v>0.33333333333333331</v>
      </c>
      <c r="JV124" s="60"/>
      <c r="JW124" s="60">
        <v>7</v>
      </c>
      <c r="JX124" s="60"/>
      <c r="JY124" s="60">
        <f>1/5</f>
        <v>0.2</v>
      </c>
      <c r="JZ124" s="60"/>
      <c r="KF124" s="60" t="s">
        <v>19</v>
      </c>
      <c r="KG124" s="60"/>
      <c r="KH124" s="60">
        <f>1/7</f>
        <v>0.14285714285714285</v>
      </c>
      <c r="KI124" s="60"/>
      <c r="KJ124" s="60">
        <v>2</v>
      </c>
      <c r="KK124" s="60"/>
      <c r="KL124" s="62">
        <v>1</v>
      </c>
      <c r="KM124" s="62"/>
      <c r="KN124" s="60">
        <f>1/6</f>
        <v>0.16666666666666666</v>
      </c>
      <c r="KO124" s="60"/>
      <c r="KP124" s="60">
        <f>1/7</f>
        <v>0.14285714285714285</v>
      </c>
      <c r="KQ124" s="60"/>
      <c r="KR124" s="60">
        <f>1/9</f>
        <v>0.1111111111111111</v>
      </c>
      <c r="KS124" s="60"/>
      <c r="KT124" s="60">
        <v>5</v>
      </c>
      <c r="KU124" s="60"/>
      <c r="KV124" s="60">
        <v>3</v>
      </c>
      <c r="KW124" s="60"/>
      <c r="LA124" s="46"/>
      <c r="LB124" s="46"/>
      <c r="LC124" s="46"/>
      <c r="LD124" s="46"/>
      <c r="LE124" s="46"/>
      <c r="LF124" s="46"/>
      <c r="LG124" s="46"/>
      <c r="LH124" s="46"/>
      <c r="LI124" s="46"/>
      <c r="LJ124" s="46"/>
      <c r="LK124" s="46"/>
      <c r="LL124" s="46"/>
      <c r="LM124" s="46"/>
      <c r="LN124" s="46"/>
      <c r="LO124" s="46"/>
      <c r="LP124" s="46"/>
      <c r="LQ124" s="46"/>
      <c r="LR124" s="46"/>
      <c r="LS124" s="46"/>
      <c r="LT124" s="46"/>
      <c r="LU124" s="46"/>
      <c r="LV124" s="46"/>
      <c r="LW124" s="46"/>
      <c r="LX124" s="46"/>
      <c r="LY124" s="46"/>
      <c r="LZ124" s="46"/>
      <c r="MA124" s="46"/>
      <c r="MB124" s="46"/>
      <c r="MC124" s="46"/>
      <c r="MD124" s="46"/>
      <c r="ME124" s="46"/>
      <c r="MF124" s="46"/>
      <c r="MG124" s="46"/>
      <c r="MH124" s="46"/>
      <c r="MI124" s="46"/>
      <c r="MJ124" s="46"/>
      <c r="MK124" s="46"/>
      <c r="ML124" s="46"/>
      <c r="MM124" s="46"/>
      <c r="MN124" s="46"/>
      <c r="MO124" s="46"/>
      <c r="MP124" s="46"/>
      <c r="MQ124" s="46"/>
      <c r="MR124" s="46"/>
      <c r="MS124" s="46"/>
      <c r="MT124" s="46"/>
      <c r="MU124" s="46"/>
      <c r="MV124" s="46"/>
      <c r="MW124" s="46"/>
      <c r="MX124" s="46"/>
      <c r="MY124" s="46"/>
      <c r="MZ124" s="46"/>
      <c r="NA124" s="46"/>
      <c r="NB124" s="46"/>
      <c r="NC124" s="46"/>
      <c r="ND124" s="46"/>
      <c r="NE124" s="46"/>
      <c r="NF124" s="46"/>
      <c r="NG124" s="46"/>
    </row>
    <row r="125" spans="3:371" ht="15" customHeight="1" x14ac:dyDescent="0.35">
      <c r="C125" s="60"/>
      <c r="D125" s="60"/>
      <c r="E125" s="60"/>
      <c r="F125" s="60"/>
      <c r="G125" s="60"/>
      <c r="H125" s="60"/>
      <c r="I125" s="62"/>
      <c r="J125" s="62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X125" s="60"/>
      <c r="Y125" s="60"/>
      <c r="Z125" s="60"/>
      <c r="AA125" s="60"/>
      <c r="AB125" s="60"/>
      <c r="AC125" s="60"/>
      <c r="AD125" s="62"/>
      <c r="AE125" s="62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S125" s="60"/>
      <c r="AT125" s="60"/>
      <c r="AU125" s="60"/>
      <c r="AV125" s="60"/>
      <c r="AW125" s="60"/>
      <c r="AX125" s="60"/>
      <c r="AY125" s="62"/>
      <c r="AZ125" s="62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N125" s="60"/>
      <c r="BO125" s="60"/>
      <c r="BP125" s="60"/>
      <c r="BQ125" s="60"/>
      <c r="BR125" s="60"/>
      <c r="BS125" s="60"/>
      <c r="BT125" s="62"/>
      <c r="BU125" s="62"/>
      <c r="BV125" s="60"/>
      <c r="BW125" s="60"/>
      <c r="BX125" s="60"/>
      <c r="BY125" s="60"/>
      <c r="BZ125" s="60"/>
      <c r="CA125" s="60"/>
      <c r="CB125" s="60"/>
      <c r="CC125" s="60"/>
      <c r="CK125" s="60"/>
      <c r="CL125" s="60"/>
      <c r="CM125" s="60"/>
      <c r="CN125" s="60"/>
      <c r="CO125" s="60"/>
      <c r="CP125" s="60"/>
      <c r="CQ125" s="62"/>
      <c r="CR125" s="62"/>
      <c r="CS125" s="60"/>
      <c r="CT125" s="60"/>
      <c r="CU125" s="60"/>
      <c r="CV125" s="60"/>
      <c r="CW125" s="60"/>
      <c r="CX125" s="60"/>
      <c r="CY125" s="60"/>
      <c r="CZ125" s="60"/>
      <c r="DA125" s="60"/>
      <c r="DB125" s="60"/>
      <c r="DF125" s="60"/>
      <c r="DG125" s="60"/>
      <c r="DH125" s="60"/>
      <c r="DI125" s="60"/>
      <c r="DJ125" s="60"/>
      <c r="DK125" s="60"/>
      <c r="DL125" s="62"/>
      <c r="DM125" s="62"/>
      <c r="DN125" s="60"/>
      <c r="DO125" s="60"/>
      <c r="DP125" s="60"/>
      <c r="DQ125" s="60"/>
      <c r="DR125" s="60"/>
      <c r="DS125" s="60"/>
      <c r="DT125" s="60"/>
      <c r="DU125" s="60"/>
      <c r="DV125" s="60"/>
      <c r="DW125" s="60"/>
      <c r="EC125" s="60"/>
      <c r="ED125" s="60"/>
      <c r="EE125" s="60"/>
      <c r="EF125" s="60"/>
      <c r="EG125" s="60"/>
      <c r="EH125" s="60"/>
      <c r="EI125" s="62"/>
      <c r="EJ125" s="62"/>
      <c r="EK125" s="60"/>
      <c r="EL125" s="60"/>
      <c r="EM125" s="60"/>
      <c r="EN125" s="60"/>
      <c r="EO125" s="60"/>
      <c r="EP125" s="60"/>
      <c r="EQ125" s="60"/>
      <c r="ER125" s="60"/>
      <c r="ES125" s="60"/>
      <c r="ET125" s="60"/>
      <c r="EY125" s="60"/>
      <c r="EZ125" s="60"/>
      <c r="FA125" s="60"/>
      <c r="FB125" s="60"/>
      <c r="FC125" s="60"/>
      <c r="FD125" s="60"/>
      <c r="FE125" s="62"/>
      <c r="FF125" s="62"/>
      <c r="FG125" s="60"/>
      <c r="FH125" s="60"/>
      <c r="FI125" s="60"/>
      <c r="FJ125" s="60"/>
      <c r="FK125" s="60"/>
      <c r="FL125" s="60"/>
      <c r="FM125" s="60"/>
      <c r="FN125" s="60"/>
      <c r="FO125" s="60"/>
      <c r="FP125" s="60"/>
      <c r="FV125" s="60"/>
      <c r="FW125" s="60"/>
      <c r="FX125" s="60"/>
      <c r="FY125" s="60"/>
      <c r="FZ125" s="60"/>
      <c r="GA125" s="60"/>
      <c r="GB125" s="62"/>
      <c r="GC125" s="62"/>
      <c r="GD125" s="60"/>
      <c r="GE125" s="60"/>
      <c r="GF125" s="60"/>
      <c r="GG125" s="60"/>
      <c r="GH125" s="60"/>
      <c r="GI125" s="60"/>
      <c r="GJ125" s="60"/>
      <c r="GK125" s="60"/>
      <c r="GL125" s="60"/>
      <c r="GM125" s="60"/>
      <c r="GR125" s="60"/>
      <c r="GS125" s="60"/>
      <c r="GT125" s="60"/>
      <c r="GU125" s="60"/>
      <c r="GV125" s="60"/>
      <c r="GW125" s="60"/>
      <c r="GX125" s="62"/>
      <c r="GY125" s="62"/>
      <c r="GZ125" s="60"/>
      <c r="HA125" s="60"/>
      <c r="HB125" s="60"/>
      <c r="HC125" s="60"/>
      <c r="HD125" s="60"/>
      <c r="HE125" s="60"/>
      <c r="HF125" s="60"/>
      <c r="HG125" s="60"/>
      <c r="HH125" s="60"/>
      <c r="HI125" s="60"/>
      <c r="HN125" s="60"/>
      <c r="HO125" s="60"/>
      <c r="HP125" s="60"/>
      <c r="HQ125" s="60"/>
      <c r="HR125" s="60"/>
      <c r="HS125" s="60"/>
      <c r="HT125" s="62"/>
      <c r="HU125" s="62"/>
      <c r="HV125" s="60"/>
      <c r="HW125" s="60"/>
      <c r="HX125" s="60"/>
      <c r="HY125" s="60"/>
      <c r="HZ125" s="60"/>
      <c r="IA125" s="60"/>
      <c r="IB125" s="60"/>
      <c r="IC125" s="60"/>
      <c r="ID125" s="60"/>
      <c r="IE125" s="60"/>
      <c r="IK125" s="60"/>
      <c r="IL125" s="60"/>
      <c r="IM125" s="60"/>
      <c r="IN125" s="60"/>
      <c r="IO125" s="60"/>
      <c r="IP125" s="60"/>
      <c r="IQ125" s="62"/>
      <c r="IR125" s="62"/>
      <c r="IS125" s="60"/>
      <c r="IT125" s="60"/>
      <c r="IU125" s="60"/>
      <c r="IV125" s="60"/>
      <c r="IW125" s="60"/>
      <c r="IX125" s="60"/>
      <c r="IY125" s="60"/>
      <c r="IZ125" s="60"/>
      <c r="JA125" s="60"/>
      <c r="JB125" s="60"/>
      <c r="JI125" s="60"/>
      <c r="JJ125" s="60"/>
      <c r="JK125" s="60"/>
      <c r="JL125" s="60"/>
      <c r="JM125" s="60"/>
      <c r="JN125" s="60"/>
      <c r="JO125" s="62"/>
      <c r="JP125" s="62"/>
      <c r="JQ125" s="60"/>
      <c r="JR125" s="60"/>
      <c r="JS125" s="60"/>
      <c r="JT125" s="60"/>
      <c r="JU125" s="60"/>
      <c r="JV125" s="60"/>
      <c r="JW125" s="60"/>
      <c r="JX125" s="60"/>
      <c r="JY125" s="60"/>
      <c r="JZ125" s="60"/>
      <c r="KF125" s="60"/>
      <c r="KG125" s="60"/>
      <c r="KH125" s="60"/>
      <c r="KI125" s="60"/>
      <c r="KJ125" s="60"/>
      <c r="KK125" s="60"/>
      <c r="KL125" s="62"/>
      <c r="KM125" s="62"/>
      <c r="KN125" s="60"/>
      <c r="KO125" s="60"/>
      <c r="KP125" s="60"/>
      <c r="KQ125" s="60"/>
      <c r="KR125" s="60"/>
      <c r="KS125" s="60"/>
      <c r="KT125" s="60"/>
      <c r="KU125" s="60"/>
      <c r="KV125" s="60"/>
      <c r="KW125" s="60"/>
      <c r="LA125" s="46"/>
      <c r="LB125" s="46"/>
      <c r="LC125" s="46"/>
      <c r="LD125" s="46"/>
      <c r="LE125" s="46"/>
      <c r="LF125" s="46"/>
      <c r="LG125" s="46"/>
      <c r="LH125" s="46"/>
      <c r="LI125" s="46"/>
      <c r="LJ125" s="46"/>
      <c r="LK125" s="46"/>
      <c r="LL125" s="46"/>
      <c r="LM125" s="46"/>
      <c r="LN125" s="46"/>
      <c r="LO125" s="46"/>
      <c r="LP125" s="46"/>
      <c r="LQ125" s="46"/>
      <c r="LR125" s="46"/>
      <c r="LS125" s="46"/>
      <c r="LT125" s="46"/>
      <c r="LU125" s="46"/>
      <c r="LV125" s="46"/>
      <c r="LW125" s="46"/>
      <c r="LX125" s="46"/>
      <c r="LY125" s="46"/>
      <c r="LZ125" s="46"/>
      <c r="MA125" s="46"/>
      <c r="MB125" s="46"/>
      <c r="MC125" s="46"/>
      <c r="MD125" s="46"/>
      <c r="ME125" s="46"/>
      <c r="MF125" s="46"/>
      <c r="MG125" s="46"/>
      <c r="MH125" s="46"/>
      <c r="MI125" s="46"/>
      <c r="MJ125" s="46"/>
      <c r="MK125" s="46"/>
      <c r="ML125" s="46"/>
      <c r="MM125" s="46"/>
      <c r="MN125" s="46"/>
      <c r="MO125" s="46"/>
      <c r="MP125" s="46"/>
      <c r="MQ125" s="46"/>
      <c r="MR125" s="46"/>
      <c r="MS125" s="46"/>
      <c r="MT125" s="46"/>
      <c r="MU125" s="46"/>
      <c r="MV125" s="46"/>
      <c r="MW125" s="46"/>
      <c r="MX125" s="46"/>
      <c r="MY125" s="46"/>
      <c r="MZ125" s="46"/>
      <c r="NA125" s="46"/>
      <c r="NB125" s="46"/>
      <c r="NC125" s="46"/>
      <c r="ND125" s="46"/>
      <c r="NE125" s="46"/>
      <c r="NF125" s="46"/>
      <c r="NG125" s="46"/>
    </row>
    <row r="126" spans="3:371" ht="15" customHeight="1" x14ac:dyDescent="0.35">
      <c r="C126" s="60" t="s">
        <v>31</v>
      </c>
      <c r="D126" s="60"/>
      <c r="E126" s="60">
        <f>1/7</f>
        <v>0.14285714285714285</v>
      </c>
      <c r="F126" s="60"/>
      <c r="G126" s="60">
        <v>5</v>
      </c>
      <c r="H126" s="60"/>
      <c r="I126" s="60">
        <v>7</v>
      </c>
      <c r="J126" s="60"/>
      <c r="K126" s="62">
        <v>1</v>
      </c>
      <c r="L126" s="62"/>
      <c r="M126" s="60">
        <f>1/7</f>
        <v>0.14285714285714285</v>
      </c>
      <c r="N126" s="60"/>
      <c r="O126" s="60">
        <v>3</v>
      </c>
      <c r="P126" s="60"/>
      <c r="Q126" s="60">
        <v>5</v>
      </c>
      <c r="R126" s="60"/>
      <c r="S126" s="60">
        <f>1/7</f>
        <v>0.14285714285714285</v>
      </c>
      <c r="T126" s="60"/>
      <c r="X126" s="60" t="s">
        <v>31</v>
      </c>
      <c r="Y126" s="60"/>
      <c r="Z126" s="60">
        <f>1/7</f>
        <v>0.14285714285714285</v>
      </c>
      <c r="AA126" s="60"/>
      <c r="AB126" s="60">
        <f>1/3</f>
        <v>0.33333333333333331</v>
      </c>
      <c r="AC126" s="60"/>
      <c r="AD126" s="60">
        <v>7</v>
      </c>
      <c r="AE126" s="60"/>
      <c r="AF126" s="62">
        <v>1</v>
      </c>
      <c r="AG126" s="62"/>
      <c r="AH126" s="60">
        <f>1/7</f>
        <v>0.14285714285714285</v>
      </c>
      <c r="AI126" s="60"/>
      <c r="AJ126" s="60">
        <f>1/9</f>
        <v>0.1111111111111111</v>
      </c>
      <c r="AK126" s="60"/>
      <c r="AL126" s="60">
        <v>5</v>
      </c>
      <c r="AM126" s="60"/>
      <c r="AN126" s="60">
        <f>1/7</f>
        <v>0.14285714285714285</v>
      </c>
      <c r="AO126" s="60"/>
      <c r="AS126" s="60" t="s">
        <v>31</v>
      </c>
      <c r="AT126" s="60"/>
      <c r="AU126" s="60">
        <f>1/7</f>
        <v>0.14285714285714285</v>
      </c>
      <c r="AV126" s="60"/>
      <c r="AW126" s="60">
        <v>6</v>
      </c>
      <c r="AX126" s="60"/>
      <c r="AY126" s="60">
        <f>1/5</f>
        <v>0.2</v>
      </c>
      <c r="AZ126" s="60"/>
      <c r="BA126" s="62">
        <v>1</v>
      </c>
      <c r="BB126" s="62"/>
      <c r="BC126" s="60">
        <f>1/7</f>
        <v>0.14285714285714285</v>
      </c>
      <c r="BD126" s="60"/>
      <c r="BE126" s="60">
        <v>5</v>
      </c>
      <c r="BF126" s="60"/>
      <c r="BG126" s="60">
        <v>7</v>
      </c>
      <c r="BH126" s="60"/>
      <c r="BI126" s="60">
        <f>1/7</f>
        <v>0.14285714285714285</v>
      </c>
      <c r="BJ126" s="60"/>
      <c r="BN126" s="60" t="s">
        <v>31</v>
      </c>
      <c r="BO126" s="60"/>
      <c r="BP126" s="60">
        <f>1/7</f>
        <v>0.14285714285714285</v>
      </c>
      <c r="BQ126" s="60"/>
      <c r="BR126" s="60">
        <v>6</v>
      </c>
      <c r="BS126" s="60"/>
      <c r="BT126" s="60">
        <f>1/5</f>
        <v>0.2</v>
      </c>
      <c r="BU126" s="60"/>
      <c r="BV126" s="62">
        <v>1</v>
      </c>
      <c r="BW126" s="62"/>
      <c r="BX126" s="60">
        <f>1/7</f>
        <v>0.14285714285714285</v>
      </c>
      <c r="BY126" s="60"/>
      <c r="BZ126" s="60">
        <v>5</v>
      </c>
      <c r="CA126" s="60"/>
      <c r="CB126" s="60">
        <v>7</v>
      </c>
      <c r="CC126" s="60"/>
      <c r="CK126" s="60" t="s">
        <v>31</v>
      </c>
      <c r="CL126" s="60"/>
      <c r="CM126" s="60">
        <f>1/7</f>
        <v>0.14285714285714285</v>
      </c>
      <c r="CN126" s="60"/>
      <c r="CO126" s="60">
        <v>2</v>
      </c>
      <c r="CP126" s="60"/>
      <c r="CQ126" s="60">
        <v>6</v>
      </c>
      <c r="CR126" s="60"/>
      <c r="CS126" s="62">
        <v>1</v>
      </c>
      <c r="CT126" s="62"/>
      <c r="CU126" s="60">
        <f>1/7</f>
        <v>0.14285714285714285</v>
      </c>
      <c r="CV126" s="60"/>
      <c r="CW126" s="60">
        <v>3</v>
      </c>
      <c r="CX126" s="60"/>
      <c r="CY126" s="60">
        <v>5</v>
      </c>
      <c r="CZ126" s="60"/>
      <c r="DA126" s="60">
        <f>1/7</f>
        <v>0.14285714285714285</v>
      </c>
      <c r="DB126" s="60"/>
      <c r="DF126" s="60" t="s">
        <v>31</v>
      </c>
      <c r="DG126" s="60"/>
      <c r="DH126" s="60">
        <v>7</v>
      </c>
      <c r="DI126" s="60"/>
      <c r="DJ126" s="60">
        <v>2</v>
      </c>
      <c r="DK126" s="60"/>
      <c r="DL126" s="60">
        <v>3</v>
      </c>
      <c r="DM126" s="60"/>
      <c r="DN126" s="62">
        <v>1</v>
      </c>
      <c r="DO126" s="62"/>
      <c r="DP126" s="60">
        <f>1/7</f>
        <v>0.14285714285714285</v>
      </c>
      <c r="DQ126" s="60"/>
      <c r="DR126" s="60">
        <v>3</v>
      </c>
      <c r="DS126" s="60"/>
      <c r="DT126" s="60">
        <v>5</v>
      </c>
      <c r="DU126" s="60"/>
      <c r="DV126" s="60">
        <f>1/7</f>
        <v>0.14285714285714285</v>
      </c>
      <c r="DW126" s="60"/>
      <c r="EC126" s="60" t="s">
        <v>31</v>
      </c>
      <c r="ED126" s="60"/>
      <c r="EE126" s="60">
        <f>1/7</f>
        <v>0.14285714285714285</v>
      </c>
      <c r="EF126" s="60"/>
      <c r="EG126" s="60">
        <v>5</v>
      </c>
      <c r="EH126" s="60"/>
      <c r="EI126" s="60">
        <v>7</v>
      </c>
      <c r="EJ126" s="60"/>
      <c r="EK126" s="62">
        <v>1</v>
      </c>
      <c r="EL126" s="62"/>
      <c r="EM126" s="60">
        <f>1/7</f>
        <v>0.14285714285714285</v>
      </c>
      <c r="EN126" s="60"/>
      <c r="EO126" s="60">
        <v>3</v>
      </c>
      <c r="EP126" s="60"/>
      <c r="EQ126" s="60">
        <v>5</v>
      </c>
      <c r="ER126" s="60"/>
      <c r="ES126" s="60">
        <f>1/7</f>
        <v>0.14285714285714285</v>
      </c>
      <c r="ET126" s="60"/>
      <c r="EY126" s="60" t="s">
        <v>31</v>
      </c>
      <c r="EZ126" s="60"/>
      <c r="FA126" s="60">
        <f>1/7</f>
        <v>0.14285714285714285</v>
      </c>
      <c r="FB126" s="60"/>
      <c r="FC126" s="60">
        <f>1/3</f>
        <v>0.33333333333333331</v>
      </c>
      <c r="FD126" s="60"/>
      <c r="FE126" s="60">
        <v>7</v>
      </c>
      <c r="FF126" s="60"/>
      <c r="FG126" s="62">
        <v>1</v>
      </c>
      <c r="FH126" s="62"/>
      <c r="FI126" s="60">
        <f>1/7</f>
        <v>0.14285714285714285</v>
      </c>
      <c r="FJ126" s="60"/>
      <c r="FK126" s="60">
        <f>1/9</f>
        <v>0.1111111111111111</v>
      </c>
      <c r="FL126" s="60"/>
      <c r="FM126" s="60">
        <v>5</v>
      </c>
      <c r="FN126" s="60"/>
      <c r="FO126" s="60">
        <f>1/7</f>
        <v>0.14285714285714285</v>
      </c>
      <c r="FP126" s="60"/>
      <c r="FV126" s="60" t="s">
        <v>31</v>
      </c>
      <c r="FW126" s="60"/>
      <c r="FX126" s="60">
        <f>1/7</f>
        <v>0.14285714285714285</v>
      </c>
      <c r="FY126" s="60"/>
      <c r="FZ126" s="60">
        <f>1/7</f>
        <v>0.14285714285714285</v>
      </c>
      <c r="GA126" s="60"/>
      <c r="GB126" s="60">
        <v>4</v>
      </c>
      <c r="GC126" s="60"/>
      <c r="GD126" s="62">
        <v>1</v>
      </c>
      <c r="GE126" s="62"/>
      <c r="GF126" s="60">
        <f>1/5</f>
        <v>0.2</v>
      </c>
      <c r="GG126" s="60"/>
      <c r="GH126" s="60">
        <v>3</v>
      </c>
      <c r="GI126" s="60"/>
      <c r="GJ126" s="60">
        <v>5</v>
      </c>
      <c r="GK126" s="60"/>
      <c r="GL126" s="60">
        <v>7</v>
      </c>
      <c r="GM126" s="60"/>
      <c r="GR126" s="60" t="s">
        <v>31</v>
      </c>
      <c r="GS126" s="60"/>
      <c r="GT126" s="60">
        <f>1/7</f>
        <v>0.14285714285714285</v>
      </c>
      <c r="GU126" s="60"/>
      <c r="GV126" s="60">
        <f>1/7</f>
        <v>0.14285714285714285</v>
      </c>
      <c r="GW126" s="60"/>
      <c r="GX126" s="60">
        <f>1/4</f>
        <v>0.25</v>
      </c>
      <c r="GY126" s="60"/>
      <c r="GZ126" s="62">
        <v>1</v>
      </c>
      <c r="HA126" s="62"/>
      <c r="HB126" s="60">
        <f>1/5</f>
        <v>0.2</v>
      </c>
      <c r="HC126" s="60"/>
      <c r="HD126" s="60">
        <v>3</v>
      </c>
      <c r="HE126" s="60"/>
      <c r="HF126" s="60">
        <f>1/9</f>
        <v>0.1111111111111111</v>
      </c>
      <c r="HG126" s="60"/>
      <c r="HH126" s="60">
        <f>1/7</f>
        <v>0.14285714285714285</v>
      </c>
      <c r="HI126" s="60"/>
      <c r="HN126" s="60" t="s">
        <v>31</v>
      </c>
      <c r="HO126" s="60"/>
      <c r="HP126" s="60">
        <f>1/7</f>
        <v>0.14285714285714285</v>
      </c>
      <c r="HQ126" s="60"/>
      <c r="HR126" s="60">
        <v>2</v>
      </c>
      <c r="HS126" s="60"/>
      <c r="HT126" s="60">
        <f>1/6</f>
        <v>0.16666666666666666</v>
      </c>
      <c r="HU126" s="60"/>
      <c r="HV126" s="62">
        <v>1</v>
      </c>
      <c r="HW126" s="62"/>
      <c r="HX126" s="60">
        <f>1/9</f>
        <v>0.1111111111111111</v>
      </c>
      <c r="HY126" s="60"/>
      <c r="HZ126" s="60">
        <v>3</v>
      </c>
      <c r="IA126" s="60"/>
      <c r="IB126" s="60">
        <v>5</v>
      </c>
      <c r="IC126" s="60"/>
      <c r="ID126" s="60">
        <f>1/7</f>
        <v>0.14285714285714285</v>
      </c>
      <c r="IE126" s="60"/>
      <c r="IK126" s="60" t="s">
        <v>31</v>
      </c>
      <c r="IL126" s="60"/>
      <c r="IM126" s="60">
        <f>1/7</f>
        <v>0.14285714285714285</v>
      </c>
      <c r="IN126" s="60"/>
      <c r="IO126" s="60">
        <v>5</v>
      </c>
      <c r="IP126" s="60"/>
      <c r="IQ126" s="60">
        <v>7</v>
      </c>
      <c r="IR126" s="60"/>
      <c r="IS126" s="62">
        <v>1</v>
      </c>
      <c r="IT126" s="62"/>
      <c r="IU126" s="60">
        <f>1/7</f>
        <v>0.14285714285714285</v>
      </c>
      <c r="IV126" s="60"/>
      <c r="IW126" s="60">
        <v>3</v>
      </c>
      <c r="IX126" s="60"/>
      <c r="IY126" s="60">
        <v>5</v>
      </c>
      <c r="IZ126" s="60"/>
      <c r="JA126" s="60">
        <f>1/7</f>
        <v>0.14285714285714285</v>
      </c>
      <c r="JB126" s="60"/>
      <c r="JI126" s="60" t="s">
        <v>31</v>
      </c>
      <c r="JJ126" s="60"/>
      <c r="JK126" s="60">
        <f>1/5</f>
        <v>0.2</v>
      </c>
      <c r="JL126" s="60"/>
      <c r="JM126" s="60">
        <f>1/3</f>
        <v>0.33333333333333331</v>
      </c>
      <c r="JN126" s="60"/>
      <c r="JO126" s="60">
        <v>7</v>
      </c>
      <c r="JP126" s="60"/>
      <c r="JQ126" s="62">
        <v>1</v>
      </c>
      <c r="JR126" s="62"/>
      <c r="JS126" s="60">
        <f>1/5</f>
        <v>0.2</v>
      </c>
      <c r="JT126" s="60"/>
      <c r="JU126" s="60">
        <v>3</v>
      </c>
      <c r="JV126" s="60"/>
      <c r="JW126" s="60">
        <f>1/9</f>
        <v>0.1111111111111111</v>
      </c>
      <c r="JX126" s="60"/>
      <c r="JY126" s="60">
        <f>1/7</f>
        <v>0.14285714285714285</v>
      </c>
      <c r="JZ126" s="60"/>
      <c r="KF126" s="60" t="s">
        <v>31</v>
      </c>
      <c r="KG126" s="60"/>
      <c r="KH126" s="60">
        <f>1/7</f>
        <v>0.14285714285714285</v>
      </c>
      <c r="KI126" s="60"/>
      <c r="KJ126" s="60">
        <v>2</v>
      </c>
      <c r="KK126" s="60"/>
      <c r="KL126" s="60">
        <v>6</v>
      </c>
      <c r="KM126" s="60"/>
      <c r="KN126" s="62">
        <v>1</v>
      </c>
      <c r="KO126" s="62"/>
      <c r="KP126" s="60">
        <f>1/7</f>
        <v>0.14285714285714285</v>
      </c>
      <c r="KQ126" s="60"/>
      <c r="KR126" s="60">
        <v>3</v>
      </c>
      <c r="KS126" s="60"/>
      <c r="KT126" s="60">
        <v>5</v>
      </c>
      <c r="KU126" s="60"/>
      <c r="KV126" s="60">
        <f>1/7</f>
        <v>0.14285714285714285</v>
      </c>
      <c r="KW126" s="60"/>
      <c r="LA126" s="46"/>
      <c r="LB126" s="46"/>
      <c r="LC126" s="46"/>
      <c r="LD126" s="46"/>
      <c r="LE126" s="46"/>
      <c r="LF126" s="46"/>
      <c r="LG126" s="46"/>
      <c r="LH126" s="46"/>
      <c r="LI126" s="46"/>
      <c r="LJ126" s="46"/>
      <c r="LK126" s="46"/>
      <c r="LL126" s="46"/>
      <c r="LM126" s="46"/>
      <c r="LN126" s="46"/>
      <c r="LO126" s="46"/>
      <c r="LP126" s="46"/>
      <c r="LQ126" s="46"/>
      <c r="LR126" s="46"/>
      <c r="LS126" s="46"/>
      <c r="LT126" s="46"/>
      <c r="LU126" s="46"/>
      <c r="LV126" s="46"/>
      <c r="LW126" s="46"/>
      <c r="LX126" s="46"/>
      <c r="LY126" s="46"/>
      <c r="LZ126" s="46"/>
      <c r="MA126" s="46"/>
      <c r="MB126" s="46"/>
      <c r="MC126" s="46"/>
      <c r="MD126" s="46"/>
      <c r="ME126" s="46"/>
      <c r="MF126" s="46"/>
      <c r="MG126" s="46"/>
      <c r="MH126" s="46"/>
      <c r="MI126" s="46"/>
      <c r="MJ126" s="46"/>
      <c r="MK126" s="46"/>
      <c r="ML126" s="46"/>
      <c r="MM126" s="46"/>
      <c r="MN126" s="46"/>
      <c r="MO126" s="46"/>
      <c r="MP126" s="46"/>
      <c r="MQ126" s="46"/>
      <c r="MR126" s="46"/>
      <c r="MS126" s="46"/>
      <c r="MT126" s="46"/>
      <c r="MU126" s="46"/>
      <c r="MV126" s="46"/>
      <c r="MW126" s="46"/>
      <c r="MX126" s="46"/>
      <c r="MY126" s="46"/>
      <c r="MZ126" s="46"/>
      <c r="NA126" s="46"/>
      <c r="NB126" s="46"/>
      <c r="NC126" s="46"/>
      <c r="ND126" s="46"/>
      <c r="NE126" s="46"/>
      <c r="NF126" s="46"/>
      <c r="NG126" s="46"/>
    </row>
    <row r="127" spans="3:371" x14ac:dyDescent="0.35">
      <c r="C127" s="60"/>
      <c r="D127" s="60"/>
      <c r="E127" s="60"/>
      <c r="F127" s="60"/>
      <c r="G127" s="60"/>
      <c r="H127" s="60"/>
      <c r="I127" s="60"/>
      <c r="J127" s="60"/>
      <c r="K127" s="62"/>
      <c r="L127" s="62"/>
      <c r="M127" s="60"/>
      <c r="N127" s="60"/>
      <c r="O127" s="60"/>
      <c r="P127" s="60"/>
      <c r="Q127" s="60"/>
      <c r="R127" s="60"/>
      <c r="S127" s="60"/>
      <c r="T127" s="60"/>
      <c r="X127" s="60"/>
      <c r="Y127" s="60"/>
      <c r="Z127" s="60"/>
      <c r="AA127" s="60"/>
      <c r="AB127" s="60"/>
      <c r="AC127" s="60"/>
      <c r="AD127" s="60"/>
      <c r="AE127" s="60"/>
      <c r="AF127" s="62"/>
      <c r="AG127" s="62"/>
      <c r="AH127" s="60"/>
      <c r="AI127" s="60"/>
      <c r="AJ127" s="60"/>
      <c r="AK127" s="60"/>
      <c r="AL127" s="60"/>
      <c r="AM127" s="60"/>
      <c r="AN127" s="60"/>
      <c r="AO127" s="60"/>
      <c r="AS127" s="60"/>
      <c r="AT127" s="60"/>
      <c r="AU127" s="60"/>
      <c r="AV127" s="60"/>
      <c r="AW127" s="60"/>
      <c r="AX127" s="60"/>
      <c r="AY127" s="60"/>
      <c r="AZ127" s="60"/>
      <c r="BA127" s="62"/>
      <c r="BB127" s="62"/>
      <c r="BC127" s="60"/>
      <c r="BD127" s="60"/>
      <c r="BE127" s="60"/>
      <c r="BF127" s="60"/>
      <c r="BG127" s="60"/>
      <c r="BH127" s="60"/>
      <c r="BI127" s="60"/>
      <c r="BJ127" s="60"/>
      <c r="BN127" s="60"/>
      <c r="BO127" s="60"/>
      <c r="BP127" s="60"/>
      <c r="BQ127" s="60"/>
      <c r="BR127" s="60"/>
      <c r="BS127" s="60"/>
      <c r="BT127" s="60"/>
      <c r="BU127" s="60"/>
      <c r="BV127" s="62"/>
      <c r="BW127" s="62"/>
      <c r="BX127" s="60"/>
      <c r="BY127" s="60"/>
      <c r="BZ127" s="60"/>
      <c r="CA127" s="60"/>
      <c r="CB127" s="60"/>
      <c r="CC127" s="60"/>
      <c r="CK127" s="60"/>
      <c r="CL127" s="60"/>
      <c r="CM127" s="60"/>
      <c r="CN127" s="60"/>
      <c r="CO127" s="60"/>
      <c r="CP127" s="60"/>
      <c r="CQ127" s="60"/>
      <c r="CR127" s="60"/>
      <c r="CS127" s="62"/>
      <c r="CT127" s="62"/>
      <c r="CU127" s="60"/>
      <c r="CV127" s="60"/>
      <c r="CW127" s="60"/>
      <c r="CX127" s="60"/>
      <c r="CY127" s="60"/>
      <c r="CZ127" s="60"/>
      <c r="DA127" s="60"/>
      <c r="DB127" s="60"/>
      <c r="DF127" s="60"/>
      <c r="DG127" s="60"/>
      <c r="DH127" s="60"/>
      <c r="DI127" s="60"/>
      <c r="DJ127" s="60"/>
      <c r="DK127" s="60"/>
      <c r="DL127" s="60"/>
      <c r="DM127" s="60"/>
      <c r="DN127" s="62"/>
      <c r="DO127" s="62"/>
      <c r="DP127" s="60"/>
      <c r="DQ127" s="60"/>
      <c r="DR127" s="60"/>
      <c r="DS127" s="60"/>
      <c r="DT127" s="60"/>
      <c r="DU127" s="60"/>
      <c r="DV127" s="60"/>
      <c r="DW127" s="60"/>
      <c r="EC127" s="60"/>
      <c r="ED127" s="60"/>
      <c r="EE127" s="60"/>
      <c r="EF127" s="60"/>
      <c r="EG127" s="60"/>
      <c r="EH127" s="60"/>
      <c r="EI127" s="60"/>
      <c r="EJ127" s="60"/>
      <c r="EK127" s="62"/>
      <c r="EL127" s="62"/>
      <c r="EM127" s="60"/>
      <c r="EN127" s="60"/>
      <c r="EO127" s="60"/>
      <c r="EP127" s="60"/>
      <c r="EQ127" s="60"/>
      <c r="ER127" s="60"/>
      <c r="ES127" s="60"/>
      <c r="ET127" s="60"/>
      <c r="EY127" s="60"/>
      <c r="EZ127" s="60"/>
      <c r="FA127" s="60"/>
      <c r="FB127" s="60"/>
      <c r="FC127" s="60"/>
      <c r="FD127" s="60"/>
      <c r="FE127" s="60"/>
      <c r="FF127" s="60"/>
      <c r="FG127" s="62"/>
      <c r="FH127" s="62"/>
      <c r="FI127" s="60"/>
      <c r="FJ127" s="60"/>
      <c r="FK127" s="60"/>
      <c r="FL127" s="60"/>
      <c r="FM127" s="60"/>
      <c r="FN127" s="60"/>
      <c r="FO127" s="60"/>
      <c r="FP127" s="60"/>
      <c r="FV127" s="60"/>
      <c r="FW127" s="60"/>
      <c r="FX127" s="60"/>
      <c r="FY127" s="60"/>
      <c r="FZ127" s="60"/>
      <c r="GA127" s="60"/>
      <c r="GB127" s="60"/>
      <c r="GC127" s="60"/>
      <c r="GD127" s="62"/>
      <c r="GE127" s="62"/>
      <c r="GF127" s="60"/>
      <c r="GG127" s="60"/>
      <c r="GH127" s="60"/>
      <c r="GI127" s="60"/>
      <c r="GJ127" s="60"/>
      <c r="GK127" s="60"/>
      <c r="GL127" s="60"/>
      <c r="GM127" s="60"/>
      <c r="GR127" s="60"/>
      <c r="GS127" s="60"/>
      <c r="GT127" s="60"/>
      <c r="GU127" s="60"/>
      <c r="GV127" s="60"/>
      <c r="GW127" s="60"/>
      <c r="GX127" s="60"/>
      <c r="GY127" s="60"/>
      <c r="GZ127" s="62"/>
      <c r="HA127" s="62"/>
      <c r="HB127" s="60"/>
      <c r="HC127" s="60"/>
      <c r="HD127" s="60"/>
      <c r="HE127" s="60"/>
      <c r="HF127" s="60"/>
      <c r="HG127" s="60"/>
      <c r="HH127" s="60"/>
      <c r="HI127" s="60"/>
      <c r="HN127" s="60"/>
      <c r="HO127" s="60"/>
      <c r="HP127" s="60"/>
      <c r="HQ127" s="60"/>
      <c r="HR127" s="60"/>
      <c r="HS127" s="60"/>
      <c r="HT127" s="60"/>
      <c r="HU127" s="60"/>
      <c r="HV127" s="62"/>
      <c r="HW127" s="62"/>
      <c r="HX127" s="60"/>
      <c r="HY127" s="60"/>
      <c r="HZ127" s="60"/>
      <c r="IA127" s="60"/>
      <c r="IB127" s="60"/>
      <c r="IC127" s="60"/>
      <c r="ID127" s="60"/>
      <c r="IE127" s="60"/>
      <c r="IK127" s="60"/>
      <c r="IL127" s="60"/>
      <c r="IM127" s="60"/>
      <c r="IN127" s="60"/>
      <c r="IO127" s="60"/>
      <c r="IP127" s="60"/>
      <c r="IQ127" s="60"/>
      <c r="IR127" s="60"/>
      <c r="IS127" s="62"/>
      <c r="IT127" s="62"/>
      <c r="IU127" s="60"/>
      <c r="IV127" s="60"/>
      <c r="IW127" s="60"/>
      <c r="IX127" s="60"/>
      <c r="IY127" s="60"/>
      <c r="IZ127" s="60"/>
      <c r="JA127" s="60"/>
      <c r="JB127" s="60"/>
      <c r="JI127" s="60"/>
      <c r="JJ127" s="60"/>
      <c r="JK127" s="60"/>
      <c r="JL127" s="60"/>
      <c r="JM127" s="60"/>
      <c r="JN127" s="60"/>
      <c r="JO127" s="60"/>
      <c r="JP127" s="60"/>
      <c r="JQ127" s="62"/>
      <c r="JR127" s="62"/>
      <c r="JS127" s="60"/>
      <c r="JT127" s="60"/>
      <c r="JU127" s="60"/>
      <c r="JV127" s="60"/>
      <c r="JW127" s="60"/>
      <c r="JX127" s="60"/>
      <c r="JY127" s="60"/>
      <c r="JZ127" s="60"/>
      <c r="KF127" s="60"/>
      <c r="KG127" s="60"/>
      <c r="KH127" s="60"/>
      <c r="KI127" s="60"/>
      <c r="KJ127" s="60"/>
      <c r="KK127" s="60"/>
      <c r="KL127" s="60"/>
      <c r="KM127" s="60"/>
      <c r="KN127" s="62"/>
      <c r="KO127" s="62"/>
      <c r="KP127" s="60"/>
      <c r="KQ127" s="60"/>
      <c r="KR127" s="60"/>
      <c r="KS127" s="60"/>
      <c r="KT127" s="60"/>
      <c r="KU127" s="60"/>
      <c r="KV127" s="60"/>
      <c r="KW127" s="60"/>
      <c r="LA127" s="46"/>
      <c r="LB127" s="46"/>
      <c r="LC127" s="46"/>
      <c r="LD127" s="46"/>
      <c r="LE127" s="46"/>
      <c r="LF127" s="46"/>
      <c r="LG127" s="46"/>
      <c r="LH127" s="46"/>
      <c r="LI127" s="46"/>
      <c r="LJ127" s="46"/>
      <c r="LK127" s="46"/>
      <c r="LL127" s="46"/>
      <c r="LM127" s="46"/>
      <c r="LN127" s="46"/>
      <c r="LO127" s="46"/>
      <c r="LP127" s="46"/>
      <c r="LQ127" s="46"/>
      <c r="LR127" s="46"/>
      <c r="LS127" s="46"/>
      <c r="LT127" s="46"/>
      <c r="LU127" s="46"/>
      <c r="LV127" s="46"/>
      <c r="LW127" s="46"/>
      <c r="LX127" s="46"/>
      <c r="LY127" s="46"/>
      <c r="LZ127" s="46"/>
      <c r="MA127" s="46"/>
      <c r="MB127" s="46"/>
      <c r="MC127" s="46"/>
      <c r="MD127" s="46"/>
      <c r="ME127" s="46"/>
      <c r="MF127" s="46"/>
      <c r="MG127" s="46"/>
      <c r="MH127" s="46"/>
      <c r="MI127" s="46"/>
      <c r="MJ127" s="46"/>
      <c r="MK127" s="46"/>
      <c r="ML127" s="46"/>
      <c r="MM127" s="46"/>
      <c r="MN127" s="46"/>
      <c r="MO127" s="46"/>
      <c r="MP127" s="46"/>
      <c r="MQ127" s="46"/>
      <c r="MR127" s="46"/>
      <c r="MS127" s="46"/>
      <c r="MT127" s="46"/>
      <c r="MU127" s="46"/>
      <c r="MV127" s="46"/>
      <c r="MW127" s="46"/>
      <c r="MX127" s="46"/>
      <c r="MY127" s="46"/>
      <c r="MZ127" s="46"/>
      <c r="NA127" s="46"/>
      <c r="NB127" s="46"/>
      <c r="NC127" s="46"/>
      <c r="ND127" s="46"/>
      <c r="NE127" s="46"/>
      <c r="NF127" s="46"/>
      <c r="NG127" s="46"/>
    </row>
    <row r="128" spans="3:371" ht="15" customHeight="1" x14ac:dyDescent="0.35">
      <c r="C128" s="60" t="s">
        <v>20</v>
      </c>
      <c r="D128" s="60"/>
      <c r="E128" s="60">
        <v>5</v>
      </c>
      <c r="F128" s="60"/>
      <c r="G128" s="60">
        <v>5</v>
      </c>
      <c r="H128" s="60"/>
      <c r="I128" s="60">
        <v>5</v>
      </c>
      <c r="J128" s="60"/>
      <c r="K128" s="60">
        <v>7</v>
      </c>
      <c r="L128" s="60"/>
      <c r="M128" s="62">
        <v>1</v>
      </c>
      <c r="N128" s="62"/>
      <c r="O128" s="60">
        <v>3</v>
      </c>
      <c r="P128" s="60"/>
      <c r="Q128" s="60">
        <v>3</v>
      </c>
      <c r="R128" s="60"/>
      <c r="S128" s="60">
        <f>1/3</f>
        <v>0.33333333333333331</v>
      </c>
      <c r="T128" s="60"/>
      <c r="X128" s="60" t="s">
        <v>20</v>
      </c>
      <c r="Y128" s="60"/>
      <c r="Z128" s="60">
        <v>5</v>
      </c>
      <c r="AA128" s="60"/>
      <c r="AB128" s="60">
        <v>5</v>
      </c>
      <c r="AC128" s="60"/>
      <c r="AD128" s="60">
        <v>9</v>
      </c>
      <c r="AE128" s="60"/>
      <c r="AF128" s="60">
        <v>7</v>
      </c>
      <c r="AG128" s="60"/>
      <c r="AH128" s="62">
        <v>1</v>
      </c>
      <c r="AI128" s="62"/>
      <c r="AJ128" s="60">
        <v>7</v>
      </c>
      <c r="AK128" s="60"/>
      <c r="AL128" s="60">
        <f>1/7</f>
        <v>0.14285714285714285</v>
      </c>
      <c r="AM128" s="60"/>
      <c r="AN128" s="60">
        <v>9</v>
      </c>
      <c r="AO128" s="60"/>
      <c r="AS128" s="60" t="s">
        <v>20</v>
      </c>
      <c r="AT128" s="60"/>
      <c r="AU128" s="60">
        <v>5</v>
      </c>
      <c r="AV128" s="60"/>
      <c r="AW128" s="60">
        <v>5</v>
      </c>
      <c r="AX128" s="60"/>
      <c r="AY128" s="60">
        <v>9</v>
      </c>
      <c r="AZ128" s="60"/>
      <c r="BA128" s="60">
        <v>7</v>
      </c>
      <c r="BB128" s="60"/>
      <c r="BC128" s="62">
        <v>1</v>
      </c>
      <c r="BD128" s="62"/>
      <c r="BE128" s="60">
        <v>9</v>
      </c>
      <c r="BF128" s="60"/>
      <c r="BG128" s="60">
        <f>1/5</f>
        <v>0.2</v>
      </c>
      <c r="BH128" s="60"/>
      <c r="BI128" s="60">
        <f>1/3</f>
        <v>0.33333333333333331</v>
      </c>
      <c r="BJ128" s="60"/>
      <c r="BN128" s="60" t="s">
        <v>20</v>
      </c>
      <c r="BO128" s="60"/>
      <c r="BP128" s="60">
        <v>5</v>
      </c>
      <c r="BQ128" s="60"/>
      <c r="BR128" s="60">
        <v>5</v>
      </c>
      <c r="BS128" s="60"/>
      <c r="BT128" s="60">
        <v>9</v>
      </c>
      <c r="BU128" s="60"/>
      <c r="BV128" s="60">
        <v>7</v>
      </c>
      <c r="BW128" s="60"/>
      <c r="BX128" s="62">
        <v>1</v>
      </c>
      <c r="BY128" s="62"/>
      <c r="BZ128" s="60">
        <v>9</v>
      </c>
      <c r="CA128" s="60"/>
      <c r="CB128" s="60">
        <f>1/5</f>
        <v>0.2</v>
      </c>
      <c r="CC128" s="60"/>
      <c r="CK128" s="60" t="s">
        <v>20</v>
      </c>
      <c r="CL128" s="60"/>
      <c r="CM128" s="60">
        <v>5</v>
      </c>
      <c r="CN128" s="60"/>
      <c r="CO128" s="60">
        <v>5</v>
      </c>
      <c r="CP128" s="60"/>
      <c r="CQ128" s="60">
        <v>7</v>
      </c>
      <c r="CR128" s="60"/>
      <c r="CS128" s="60">
        <v>7</v>
      </c>
      <c r="CT128" s="60"/>
      <c r="CU128" s="62">
        <v>1</v>
      </c>
      <c r="CV128" s="62"/>
      <c r="CW128" s="60">
        <v>5</v>
      </c>
      <c r="CX128" s="60"/>
      <c r="CY128" s="60">
        <v>3</v>
      </c>
      <c r="CZ128" s="60"/>
      <c r="DA128" s="60">
        <f>1/3</f>
        <v>0.33333333333333331</v>
      </c>
      <c r="DB128" s="60"/>
      <c r="DF128" s="60" t="s">
        <v>20</v>
      </c>
      <c r="DG128" s="60"/>
      <c r="DH128" s="60">
        <f>1/5</f>
        <v>0.2</v>
      </c>
      <c r="DI128" s="60"/>
      <c r="DJ128" s="60">
        <v>5</v>
      </c>
      <c r="DK128" s="60"/>
      <c r="DL128" s="60">
        <v>3</v>
      </c>
      <c r="DM128" s="60"/>
      <c r="DN128" s="60">
        <v>7</v>
      </c>
      <c r="DO128" s="60"/>
      <c r="DP128" s="62">
        <v>1</v>
      </c>
      <c r="DQ128" s="62"/>
      <c r="DR128" s="60">
        <v>7</v>
      </c>
      <c r="DS128" s="60"/>
      <c r="DT128" s="60">
        <v>3</v>
      </c>
      <c r="DU128" s="60"/>
      <c r="DV128" s="60">
        <f>1/3</f>
        <v>0.33333333333333331</v>
      </c>
      <c r="DW128" s="60"/>
      <c r="EC128" s="60" t="s">
        <v>20</v>
      </c>
      <c r="ED128" s="60"/>
      <c r="EE128" s="60">
        <v>5</v>
      </c>
      <c r="EF128" s="60"/>
      <c r="EG128" s="60">
        <v>5</v>
      </c>
      <c r="EH128" s="60"/>
      <c r="EI128" s="60">
        <v>5</v>
      </c>
      <c r="EJ128" s="60"/>
      <c r="EK128" s="60">
        <v>7</v>
      </c>
      <c r="EL128" s="60"/>
      <c r="EM128" s="62">
        <v>1</v>
      </c>
      <c r="EN128" s="62"/>
      <c r="EO128" s="60">
        <v>7</v>
      </c>
      <c r="EP128" s="60"/>
      <c r="EQ128" s="60">
        <v>9</v>
      </c>
      <c r="ER128" s="60"/>
      <c r="ES128" s="60">
        <f>1/5</f>
        <v>0.2</v>
      </c>
      <c r="ET128" s="60"/>
      <c r="EY128" s="60" t="s">
        <v>20</v>
      </c>
      <c r="EZ128" s="60"/>
      <c r="FA128" s="60">
        <v>5</v>
      </c>
      <c r="FB128" s="60"/>
      <c r="FC128" s="60">
        <v>5</v>
      </c>
      <c r="FD128" s="60"/>
      <c r="FE128" s="60">
        <v>9</v>
      </c>
      <c r="FF128" s="60"/>
      <c r="FG128" s="60">
        <v>7</v>
      </c>
      <c r="FH128" s="60"/>
      <c r="FI128" s="62">
        <v>1</v>
      </c>
      <c r="FJ128" s="62"/>
      <c r="FK128" s="60">
        <v>7</v>
      </c>
      <c r="FL128" s="60"/>
      <c r="FM128" s="60">
        <f>1/7</f>
        <v>0.14285714285714285</v>
      </c>
      <c r="FN128" s="60"/>
      <c r="FO128" s="60">
        <v>9</v>
      </c>
      <c r="FP128" s="60"/>
      <c r="FV128" s="60" t="s">
        <v>20</v>
      </c>
      <c r="FW128" s="60"/>
      <c r="FX128" s="60">
        <v>5</v>
      </c>
      <c r="FY128" s="60"/>
      <c r="FZ128" s="60">
        <v>5</v>
      </c>
      <c r="GA128" s="60"/>
      <c r="GB128" s="60">
        <v>9</v>
      </c>
      <c r="GC128" s="60"/>
      <c r="GD128" s="60">
        <v>5</v>
      </c>
      <c r="GE128" s="60"/>
      <c r="GF128" s="62">
        <v>1</v>
      </c>
      <c r="GG128" s="62"/>
      <c r="GH128" s="60">
        <v>5</v>
      </c>
      <c r="GI128" s="60"/>
      <c r="GJ128" s="60">
        <v>9</v>
      </c>
      <c r="GK128" s="60"/>
      <c r="GL128" s="60">
        <v>7</v>
      </c>
      <c r="GM128" s="60"/>
      <c r="GR128" s="60" t="s">
        <v>20</v>
      </c>
      <c r="GS128" s="60"/>
      <c r="GT128" s="60">
        <v>5</v>
      </c>
      <c r="GU128" s="60"/>
      <c r="GV128" s="60">
        <v>6</v>
      </c>
      <c r="GW128" s="60"/>
      <c r="GX128" s="60">
        <v>7</v>
      </c>
      <c r="GY128" s="60"/>
      <c r="GZ128" s="60">
        <v>5</v>
      </c>
      <c r="HA128" s="60"/>
      <c r="HB128" s="62">
        <v>1</v>
      </c>
      <c r="HC128" s="62"/>
      <c r="HD128" s="60">
        <v>3</v>
      </c>
      <c r="HE128" s="60"/>
      <c r="HF128" s="60">
        <v>3</v>
      </c>
      <c r="HG128" s="60"/>
      <c r="HH128" s="60">
        <f>1/3</f>
        <v>0.33333333333333331</v>
      </c>
      <c r="HI128" s="60"/>
      <c r="HN128" s="60" t="s">
        <v>20</v>
      </c>
      <c r="HO128" s="60"/>
      <c r="HP128" s="60">
        <v>5</v>
      </c>
      <c r="HQ128" s="60"/>
      <c r="HR128" s="60">
        <v>5</v>
      </c>
      <c r="HS128" s="60"/>
      <c r="HT128" s="60">
        <v>9</v>
      </c>
      <c r="HU128" s="60"/>
      <c r="HV128" s="60">
        <v>9</v>
      </c>
      <c r="HW128" s="60"/>
      <c r="HX128" s="62">
        <v>1</v>
      </c>
      <c r="HY128" s="62"/>
      <c r="HZ128" s="60">
        <v>4</v>
      </c>
      <c r="IA128" s="60"/>
      <c r="IB128" s="60">
        <v>3</v>
      </c>
      <c r="IC128" s="60"/>
      <c r="ID128" s="60">
        <v>5</v>
      </c>
      <c r="IE128" s="60"/>
      <c r="IK128" s="60" t="s">
        <v>20</v>
      </c>
      <c r="IL128" s="60"/>
      <c r="IM128" s="60">
        <v>5</v>
      </c>
      <c r="IN128" s="60"/>
      <c r="IO128" s="60">
        <v>5</v>
      </c>
      <c r="IP128" s="60"/>
      <c r="IQ128" s="60">
        <v>5</v>
      </c>
      <c r="IR128" s="60"/>
      <c r="IS128" s="60">
        <v>7</v>
      </c>
      <c r="IT128" s="60"/>
      <c r="IU128" s="62">
        <v>1</v>
      </c>
      <c r="IV128" s="62"/>
      <c r="IW128" s="60">
        <v>7</v>
      </c>
      <c r="IX128" s="60"/>
      <c r="IY128" s="60">
        <v>9</v>
      </c>
      <c r="IZ128" s="60"/>
      <c r="JA128" s="60">
        <f>1/5</f>
        <v>0.2</v>
      </c>
      <c r="JB128" s="60"/>
      <c r="JI128" s="60" t="s">
        <v>20</v>
      </c>
      <c r="JJ128" s="60"/>
      <c r="JK128" s="60">
        <v>5</v>
      </c>
      <c r="JL128" s="60"/>
      <c r="JM128" s="60">
        <v>5</v>
      </c>
      <c r="JN128" s="60"/>
      <c r="JO128" s="60">
        <v>9</v>
      </c>
      <c r="JP128" s="60"/>
      <c r="JQ128" s="60">
        <v>5</v>
      </c>
      <c r="JR128" s="60"/>
      <c r="JS128" s="62">
        <v>1</v>
      </c>
      <c r="JT128" s="62"/>
      <c r="JU128" s="60">
        <v>5</v>
      </c>
      <c r="JV128" s="60"/>
      <c r="JW128" s="60">
        <f>1/3</f>
        <v>0.33333333333333331</v>
      </c>
      <c r="JX128" s="60"/>
      <c r="JY128" s="60">
        <f>1/3</f>
        <v>0.33333333333333331</v>
      </c>
      <c r="JZ128" s="60"/>
      <c r="KF128" s="60" t="s">
        <v>20</v>
      </c>
      <c r="KG128" s="60"/>
      <c r="KH128" s="60">
        <v>5</v>
      </c>
      <c r="KI128" s="60"/>
      <c r="KJ128" s="60">
        <v>5</v>
      </c>
      <c r="KK128" s="60"/>
      <c r="KL128" s="60">
        <v>7</v>
      </c>
      <c r="KM128" s="60"/>
      <c r="KN128" s="60">
        <v>7</v>
      </c>
      <c r="KO128" s="60"/>
      <c r="KP128" s="62">
        <v>1</v>
      </c>
      <c r="KQ128" s="62"/>
      <c r="KR128" s="60">
        <v>5</v>
      </c>
      <c r="KS128" s="60"/>
      <c r="KT128" s="60">
        <v>3</v>
      </c>
      <c r="KU128" s="60"/>
      <c r="KV128" s="60">
        <f>1/3</f>
        <v>0.33333333333333331</v>
      </c>
      <c r="KW128" s="60"/>
      <c r="LA128" s="46"/>
      <c r="LB128" s="46"/>
      <c r="LC128" s="46"/>
      <c r="LD128" s="46"/>
      <c r="LE128" s="46"/>
      <c r="LF128" s="46"/>
      <c r="LG128" s="46"/>
      <c r="LH128" s="46"/>
      <c r="LI128" s="46"/>
      <c r="LJ128" s="46"/>
      <c r="LK128" s="46"/>
      <c r="LL128" s="46"/>
      <c r="LM128" s="46"/>
      <c r="LN128" s="46"/>
      <c r="LO128" s="46"/>
      <c r="LP128" s="46"/>
      <c r="LQ128" s="46"/>
      <c r="LR128" s="46"/>
      <c r="LS128" s="46"/>
      <c r="LT128" s="46"/>
      <c r="LU128" s="46"/>
      <c r="LV128" s="46"/>
      <c r="LW128" s="46"/>
      <c r="LX128" s="46"/>
      <c r="LY128" s="46"/>
      <c r="LZ128" s="46"/>
      <c r="MA128" s="46"/>
      <c r="MB128" s="46"/>
      <c r="MC128" s="46"/>
      <c r="MD128" s="46"/>
      <c r="ME128" s="46"/>
      <c r="MF128" s="46"/>
      <c r="MG128" s="46"/>
      <c r="MH128" s="46"/>
      <c r="MI128" s="46"/>
      <c r="MJ128" s="46"/>
      <c r="MK128" s="46"/>
      <c r="ML128" s="46"/>
      <c r="MM128" s="46"/>
      <c r="MN128" s="46"/>
      <c r="MO128" s="46"/>
      <c r="MP128" s="46"/>
      <c r="MQ128" s="46"/>
      <c r="MR128" s="46"/>
      <c r="MS128" s="46"/>
      <c r="MT128" s="46"/>
      <c r="MU128" s="46"/>
      <c r="MV128" s="46"/>
      <c r="MW128" s="46"/>
      <c r="MX128" s="46"/>
      <c r="MY128" s="46"/>
      <c r="MZ128" s="46"/>
      <c r="NA128" s="46"/>
      <c r="NB128" s="46"/>
      <c r="NC128" s="46"/>
      <c r="ND128" s="46"/>
      <c r="NE128" s="46"/>
      <c r="NF128" s="46"/>
      <c r="NG128" s="46"/>
    </row>
    <row r="129" spans="3:371" x14ac:dyDescent="0.35"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2"/>
      <c r="N129" s="62"/>
      <c r="O129" s="60"/>
      <c r="P129" s="60"/>
      <c r="Q129" s="60"/>
      <c r="R129" s="60"/>
      <c r="S129" s="60"/>
      <c r="T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2"/>
      <c r="AI129" s="62"/>
      <c r="AJ129" s="60"/>
      <c r="AK129" s="60"/>
      <c r="AL129" s="60"/>
      <c r="AM129" s="60"/>
      <c r="AN129" s="60"/>
      <c r="AO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2"/>
      <c r="BD129" s="62"/>
      <c r="BE129" s="60"/>
      <c r="BF129" s="60"/>
      <c r="BG129" s="60"/>
      <c r="BH129" s="60"/>
      <c r="BI129" s="60"/>
      <c r="BJ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2"/>
      <c r="BY129" s="62"/>
      <c r="BZ129" s="60"/>
      <c r="CA129" s="60"/>
      <c r="CB129" s="60"/>
      <c r="CC129" s="60"/>
      <c r="CK129" s="60"/>
      <c r="CL129" s="60"/>
      <c r="CM129" s="60"/>
      <c r="CN129" s="60"/>
      <c r="CO129" s="60"/>
      <c r="CP129" s="60"/>
      <c r="CQ129" s="60"/>
      <c r="CR129" s="60"/>
      <c r="CS129" s="60"/>
      <c r="CT129" s="60"/>
      <c r="CU129" s="62"/>
      <c r="CV129" s="62"/>
      <c r="CW129" s="60"/>
      <c r="CX129" s="60"/>
      <c r="CY129" s="60"/>
      <c r="CZ129" s="60"/>
      <c r="DA129" s="60"/>
      <c r="DB129" s="60"/>
      <c r="DF129" s="60"/>
      <c r="DG129" s="60"/>
      <c r="DH129" s="60"/>
      <c r="DI129" s="60"/>
      <c r="DJ129" s="60"/>
      <c r="DK129" s="60"/>
      <c r="DL129" s="60"/>
      <c r="DM129" s="60"/>
      <c r="DN129" s="60"/>
      <c r="DO129" s="60"/>
      <c r="DP129" s="62"/>
      <c r="DQ129" s="62"/>
      <c r="DR129" s="60"/>
      <c r="DS129" s="60"/>
      <c r="DT129" s="60"/>
      <c r="DU129" s="60"/>
      <c r="DV129" s="60"/>
      <c r="DW129" s="60"/>
      <c r="EC129" s="60"/>
      <c r="ED129" s="60"/>
      <c r="EE129" s="60"/>
      <c r="EF129" s="60"/>
      <c r="EG129" s="60"/>
      <c r="EH129" s="60"/>
      <c r="EI129" s="60"/>
      <c r="EJ129" s="60"/>
      <c r="EK129" s="60"/>
      <c r="EL129" s="60"/>
      <c r="EM129" s="62"/>
      <c r="EN129" s="62"/>
      <c r="EO129" s="60"/>
      <c r="EP129" s="60"/>
      <c r="EQ129" s="60"/>
      <c r="ER129" s="60"/>
      <c r="ES129" s="60"/>
      <c r="ET129" s="60"/>
      <c r="EY129" s="60"/>
      <c r="EZ129" s="60"/>
      <c r="FA129" s="60"/>
      <c r="FB129" s="60"/>
      <c r="FC129" s="60"/>
      <c r="FD129" s="60"/>
      <c r="FE129" s="60"/>
      <c r="FF129" s="60"/>
      <c r="FG129" s="60"/>
      <c r="FH129" s="60"/>
      <c r="FI129" s="62"/>
      <c r="FJ129" s="62"/>
      <c r="FK129" s="60"/>
      <c r="FL129" s="60"/>
      <c r="FM129" s="60"/>
      <c r="FN129" s="60"/>
      <c r="FO129" s="60"/>
      <c r="FP129" s="60"/>
      <c r="FV129" s="60"/>
      <c r="FW129" s="60"/>
      <c r="FX129" s="60"/>
      <c r="FY129" s="60"/>
      <c r="FZ129" s="60"/>
      <c r="GA129" s="60"/>
      <c r="GB129" s="60"/>
      <c r="GC129" s="60"/>
      <c r="GD129" s="60"/>
      <c r="GE129" s="60"/>
      <c r="GF129" s="62"/>
      <c r="GG129" s="62"/>
      <c r="GH129" s="60"/>
      <c r="GI129" s="60"/>
      <c r="GJ129" s="60"/>
      <c r="GK129" s="60"/>
      <c r="GL129" s="60"/>
      <c r="GM129" s="60"/>
      <c r="GR129" s="60"/>
      <c r="GS129" s="60"/>
      <c r="GT129" s="60"/>
      <c r="GU129" s="60"/>
      <c r="GV129" s="60"/>
      <c r="GW129" s="60"/>
      <c r="GX129" s="60"/>
      <c r="GY129" s="60"/>
      <c r="GZ129" s="60"/>
      <c r="HA129" s="60"/>
      <c r="HB129" s="62"/>
      <c r="HC129" s="62"/>
      <c r="HD129" s="60"/>
      <c r="HE129" s="60"/>
      <c r="HF129" s="60"/>
      <c r="HG129" s="60"/>
      <c r="HH129" s="60"/>
      <c r="HI129" s="60"/>
      <c r="HN129" s="60"/>
      <c r="HO129" s="60"/>
      <c r="HP129" s="60"/>
      <c r="HQ129" s="60"/>
      <c r="HR129" s="60"/>
      <c r="HS129" s="60"/>
      <c r="HT129" s="60"/>
      <c r="HU129" s="60"/>
      <c r="HV129" s="60"/>
      <c r="HW129" s="60"/>
      <c r="HX129" s="62"/>
      <c r="HY129" s="62"/>
      <c r="HZ129" s="60"/>
      <c r="IA129" s="60"/>
      <c r="IB129" s="60"/>
      <c r="IC129" s="60"/>
      <c r="ID129" s="60"/>
      <c r="IE129" s="60"/>
      <c r="IK129" s="60"/>
      <c r="IL129" s="60"/>
      <c r="IM129" s="60"/>
      <c r="IN129" s="60"/>
      <c r="IO129" s="60"/>
      <c r="IP129" s="60"/>
      <c r="IQ129" s="60"/>
      <c r="IR129" s="60"/>
      <c r="IS129" s="60"/>
      <c r="IT129" s="60"/>
      <c r="IU129" s="62"/>
      <c r="IV129" s="62"/>
      <c r="IW129" s="60"/>
      <c r="IX129" s="60"/>
      <c r="IY129" s="60"/>
      <c r="IZ129" s="60"/>
      <c r="JA129" s="60"/>
      <c r="JB129" s="60"/>
      <c r="JI129" s="60"/>
      <c r="JJ129" s="60"/>
      <c r="JK129" s="60"/>
      <c r="JL129" s="60"/>
      <c r="JM129" s="60"/>
      <c r="JN129" s="60"/>
      <c r="JO129" s="60"/>
      <c r="JP129" s="60"/>
      <c r="JQ129" s="60"/>
      <c r="JR129" s="60"/>
      <c r="JS129" s="62"/>
      <c r="JT129" s="62"/>
      <c r="JU129" s="60"/>
      <c r="JV129" s="60"/>
      <c r="JW129" s="60"/>
      <c r="JX129" s="60"/>
      <c r="JY129" s="60"/>
      <c r="JZ129" s="60"/>
      <c r="KF129" s="60"/>
      <c r="KG129" s="60"/>
      <c r="KH129" s="60"/>
      <c r="KI129" s="60"/>
      <c r="KJ129" s="60"/>
      <c r="KK129" s="60"/>
      <c r="KL129" s="60"/>
      <c r="KM129" s="60"/>
      <c r="KN129" s="60"/>
      <c r="KO129" s="60"/>
      <c r="KP129" s="62"/>
      <c r="KQ129" s="62"/>
      <c r="KR129" s="60"/>
      <c r="KS129" s="60"/>
      <c r="KT129" s="60"/>
      <c r="KU129" s="60"/>
      <c r="KV129" s="60"/>
      <c r="KW129" s="60"/>
      <c r="LA129" s="46"/>
      <c r="LB129" s="46"/>
      <c r="LC129" s="46"/>
      <c r="LD129" s="46"/>
      <c r="LE129" s="46"/>
      <c r="LF129" s="46"/>
      <c r="LG129" s="46"/>
      <c r="LH129" s="46"/>
      <c r="LI129" s="46"/>
      <c r="LJ129" s="46"/>
      <c r="LK129" s="46"/>
      <c r="LL129" s="46"/>
      <c r="LM129" s="46"/>
      <c r="LN129" s="46"/>
      <c r="LO129" s="46"/>
      <c r="LP129" s="46"/>
      <c r="LQ129" s="46"/>
      <c r="LR129" s="46"/>
      <c r="LS129" s="46"/>
      <c r="LT129" s="46"/>
      <c r="LU129" s="46"/>
      <c r="LV129" s="46"/>
      <c r="LW129" s="46"/>
      <c r="LX129" s="46"/>
      <c r="LY129" s="46"/>
      <c r="LZ129" s="46"/>
      <c r="MA129" s="46"/>
      <c r="MB129" s="46"/>
      <c r="MC129" s="46"/>
      <c r="MD129" s="46"/>
      <c r="ME129" s="46"/>
      <c r="MF129" s="46"/>
      <c r="MG129" s="46"/>
      <c r="MH129" s="46"/>
      <c r="MI129" s="46"/>
      <c r="MJ129" s="46"/>
      <c r="MK129" s="46"/>
      <c r="ML129" s="46"/>
      <c r="MM129" s="46"/>
      <c r="MN129" s="46"/>
      <c r="MO129" s="46"/>
      <c r="MP129" s="46"/>
      <c r="MQ129" s="46"/>
      <c r="MR129" s="46"/>
      <c r="MS129" s="46"/>
      <c r="MT129" s="46"/>
      <c r="MU129" s="46"/>
      <c r="MV129" s="46"/>
      <c r="MW129" s="46"/>
      <c r="MX129" s="46"/>
      <c r="MY129" s="46"/>
      <c r="MZ129" s="46"/>
      <c r="NA129" s="46"/>
      <c r="NB129" s="46"/>
      <c r="NC129" s="46"/>
      <c r="ND129" s="46"/>
      <c r="NE129" s="46"/>
      <c r="NF129" s="46"/>
      <c r="NG129" s="46"/>
    </row>
    <row r="130" spans="3:371" ht="15" customHeight="1" x14ac:dyDescent="0.35">
      <c r="C130" s="60" t="s">
        <v>21</v>
      </c>
      <c r="D130" s="60"/>
      <c r="E130" s="60">
        <v>3</v>
      </c>
      <c r="F130" s="60"/>
      <c r="G130" s="60">
        <f>1/3</f>
        <v>0.33333333333333331</v>
      </c>
      <c r="H130" s="60"/>
      <c r="I130" s="60">
        <v>3</v>
      </c>
      <c r="J130" s="60"/>
      <c r="K130" s="60">
        <f>1/3</f>
        <v>0.33333333333333331</v>
      </c>
      <c r="L130" s="60"/>
      <c r="M130" s="60">
        <f>1/3</f>
        <v>0.33333333333333331</v>
      </c>
      <c r="N130" s="60"/>
      <c r="O130" s="62">
        <v>1</v>
      </c>
      <c r="P130" s="62"/>
      <c r="Q130" s="60">
        <v>3</v>
      </c>
      <c r="R130" s="60"/>
      <c r="S130" s="60">
        <f>1/3</f>
        <v>0.33333333333333331</v>
      </c>
      <c r="T130" s="60"/>
      <c r="X130" s="60" t="s">
        <v>21</v>
      </c>
      <c r="Y130" s="60"/>
      <c r="Z130" s="60">
        <f>1/5</f>
        <v>0.2</v>
      </c>
      <c r="AA130" s="60"/>
      <c r="AB130" s="60">
        <f>1/7</f>
        <v>0.14285714285714285</v>
      </c>
      <c r="AC130" s="60"/>
      <c r="AD130" s="60">
        <f>1/7</f>
        <v>0.14285714285714285</v>
      </c>
      <c r="AE130" s="60"/>
      <c r="AF130" s="60">
        <v>9</v>
      </c>
      <c r="AG130" s="60"/>
      <c r="AH130" s="60">
        <f>1/7</f>
        <v>0.14285714285714285</v>
      </c>
      <c r="AI130" s="60"/>
      <c r="AJ130" s="62">
        <v>1</v>
      </c>
      <c r="AK130" s="62"/>
      <c r="AL130" s="60">
        <f>1/5</f>
        <v>0.2</v>
      </c>
      <c r="AM130" s="60"/>
      <c r="AN130" s="60">
        <v>6</v>
      </c>
      <c r="AO130" s="60"/>
      <c r="AS130" s="60" t="s">
        <v>21</v>
      </c>
      <c r="AT130" s="60"/>
      <c r="AU130" s="60">
        <v>3</v>
      </c>
      <c r="AV130" s="60"/>
      <c r="AW130" s="60">
        <f>1/3</f>
        <v>0.33333333333333331</v>
      </c>
      <c r="AX130" s="60"/>
      <c r="AY130" s="60">
        <v>7</v>
      </c>
      <c r="AZ130" s="60"/>
      <c r="BA130" s="60">
        <f>1/5</f>
        <v>0.2</v>
      </c>
      <c r="BB130" s="60"/>
      <c r="BC130" s="60">
        <f>1/9</f>
        <v>0.1111111111111111</v>
      </c>
      <c r="BD130" s="60"/>
      <c r="BE130" s="62">
        <v>1</v>
      </c>
      <c r="BF130" s="62"/>
      <c r="BG130" s="60">
        <f>1/7</f>
        <v>0.14285714285714285</v>
      </c>
      <c r="BH130" s="60"/>
      <c r="BI130" s="60">
        <v>8</v>
      </c>
      <c r="BJ130" s="60"/>
      <c r="BN130" s="60" t="s">
        <v>21</v>
      </c>
      <c r="BO130" s="60"/>
      <c r="BP130" s="60">
        <v>3</v>
      </c>
      <c r="BQ130" s="60"/>
      <c r="BR130" s="60">
        <f>1/3</f>
        <v>0.33333333333333331</v>
      </c>
      <c r="BS130" s="60"/>
      <c r="BT130" s="60">
        <v>7</v>
      </c>
      <c r="BU130" s="60"/>
      <c r="BV130" s="60">
        <f>1/5</f>
        <v>0.2</v>
      </c>
      <c r="BW130" s="60"/>
      <c r="BX130" s="60">
        <f>1/9</f>
        <v>0.1111111111111111</v>
      </c>
      <c r="BY130" s="60"/>
      <c r="BZ130" s="62">
        <v>1</v>
      </c>
      <c r="CA130" s="62"/>
      <c r="CB130" s="60">
        <f>1/7</f>
        <v>0.14285714285714285</v>
      </c>
      <c r="CC130" s="60"/>
      <c r="CK130" s="60" t="s">
        <v>21</v>
      </c>
      <c r="CL130" s="60"/>
      <c r="CM130" s="60">
        <v>3</v>
      </c>
      <c r="CN130" s="60"/>
      <c r="CO130" s="60">
        <f>1/3</f>
        <v>0.33333333333333331</v>
      </c>
      <c r="CP130" s="60"/>
      <c r="CQ130" s="60">
        <v>9</v>
      </c>
      <c r="CR130" s="60"/>
      <c r="CS130" s="60">
        <f>1/3</f>
        <v>0.33333333333333331</v>
      </c>
      <c r="CT130" s="60"/>
      <c r="CU130" s="60">
        <f>1/5</f>
        <v>0.2</v>
      </c>
      <c r="CV130" s="60"/>
      <c r="CW130" s="62">
        <v>1</v>
      </c>
      <c r="CX130" s="62"/>
      <c r="CY130" s="60">
        <v>5</v>
      </c>
      <c r="CZ130" s="60"/>
      <c r="DA130" s="60">
        <f>1/3</f>
        <v>0.33333333333333331</v>
      </c>
      <c r="DB130" s="60"/>
      <c r="DF130" s="60" t="s">
        <v>21</v>
      </c>
      <c r="DG130" s="60"/>
      <c r="DH130" s="60">
        <f>1/3</f>
        <v>0.33333333333333331</v>
      </c>
      <c r="DI130" s="60"/>
      <c r="DJ130" s="60">
        <f>1/3</f>
        <v>0.33333333333333331</v>
      </c>
      <c r="DK130" s="60"/>
      <c r="DL130" s="60">
        <v>3</v>
      </c>
      <c r="DM130" s="60"/>
      <c r="DN130" s="60">
        <f>1/3</f>
        <v>0.33333333333333331</v>
      </c>
      <c r="DO130" s="60"/>
      <c r="DP130" s="60">
        <f>1/7</f>
        <v>0.14285714285714285</v>
      </c>
      <c r="DQ130" s="60"/>
      <c r="DR130" s="62">
        <v>1</v>
      </c>
      <c r="DS130" s="62"/>
      <c r="DT130" s="60">
        <v>6</v>
      </c>
      <c r="DU130" s="60"/>
      <c r="DV130" s="60">
        <f>1/3</f>
        <v>0.33333333333333331</v>
      </c>
      <c r="DW130" s="60"/>
      <c r="EC130" s="60" t="s">
        <v>21</v>
      </c>
      <c r="ED130" s="60"/>
      <c r="EE130" s="60">
        <v>3</v>
      </c>
      <c r="EF130" s="60"/>
      <c r="EG130" s="60">
        <f>1/3</f>
        <v>0.33333333333333331</v>
      </c>
      <c r="EH130" s="60"/>
      <c r="EI130" s="60">
        <v>3</v>
      </c>
      <c r="EJ130" s="60"/>
      <c r="EK130" s="60">
        <f>1/3</f>
        <v>0.33333333333333331</v>
      </c>
      <c r="EL130" s="60"/>
      <c r="EM130" s="60">
        <f>1/7</f>
        <v>0.14285714285714285</v>
      </c>
      <c r="EN130" s="60"/>
      <c r="EO130" s="62">
        <v>1</v>
      </c>
      <c r="EP130" s="62"/>
      <c r="EQ130" s="60">
        <v>8</v>
      </c>
      <c r="ER130" s="60"/>
      <c r="ES130" s="60">
        <v>5</v>
      </c>
      <c r="ET130" s="60"/>
      <c r="EY130" s="60" t="s">
        <v>21</v>
      </c>
      <c r="EZ130" s="60"/>
      <c r="FA130" s="60">
        <f>1/5</f>
        <v>0.2</v>
      </c>
      <c r="FB130" s="60"/>
      <c r="FC130" s="60">
        <f>1/7</f>
        <v>0.14285714285714285</v>
      </c>
      <c r="FD130" s="60"/>
      <c r="FE130" s="60">
        <f>1/7</f>
        <v>0.14285714285714285</v>
      </c>
      <c r="FF130" s="60"/>
      <c r="FG130" s="60">
        <v>9</v>
      </c>
      <c r="FH130" s="60"/>
      <c r="FI130" s="60">
        <f>1/7</f>
        <v>0.14285714285714285</v>
      </c>
      <c r="FJ130" s="60"/>
      <c r="FK130" s="62">
        <v>1</v>
      </c>
      <c r="FL130" s="62"/>
      <c r="FM130" s="60">
        <f>1/5</f>
        <v>0.2</v>
      </c>
      <c r="FN130" s="60"/>
      <c r="FO130" s="60">
        <v>6</v>
      </c>
      <c r="FP130" s="60"/>
      <c r="FV130" s="60" t="s">
        <v>21</v>
      </c>
      <c r="FW130" s="60"/>
      <c r="FX130" s="60">
        <v>3</v>
      </c>
      <c r="FY130" s="60"/>
      <c r="FZ130" s="60">
        <f>1/3</f>
        <v>0.33333333333333331</v>
      </c>
      <c r="GA130" s="60"/>
      <c r="GB130" s="60">
        <v>5</v>
      </c>
      <c r="GC130" s="60"/>
      <c r="GD130" s="60">
        <f>1/3</f>
        <v>0.33333333333333331</v>
      </c>
      <c r="GE130" s="60"/>
      <c r="GF130" s="60">
        <f>1/5</f>
        <v>0.2</v>
      </c>
      <c r="GG130" s="60"/>
      <c r="GH130" s="62">
        <v>1</v>
      </c>
      <c r="GI130" s="62"/>
      <c r="GJ130" s="60">
        <v>7</v>
      </c>
      <c r="GK130" s="60"/>
      <c r="GL130" s="60">
        <f>1/5</f>
        <v>0.2</v>
      </c>
      <c r="GM130" s="60"/>
      <c r="GR130" s="60" t="s">
        <v>21</v>
      </c>
      <c r="GS130" s="60"/>
      <c r="GT130" s="60">
        <v>3</v>
      </c>
      <c r="GU130" s="60"/>
      <c r="GV130" s="60">
        <v>3</v>
      </c>
      <c r="GW130" s="60"/>
      <c r="GX130" s="60">
        <v>5</v>
      </c>
      <c r="GY130" s="60"/>
      <c r="GZ130" s="60">
        <f>1/3</f>
        <v>0.33333333333333331</v>
      </c>
      <c r="HA130" s="60"/>
      <c r="HB130" s="60">
        <f>1/3</f>
        <v>0.33333333333333331</v>
      </c>
      <c r="HC130" s="60"/>
      <c r="HD130" s="62">
        <v>1</v>
      </c>
      <c r="HE130" s="62"/>
      <c r="HF130" s="60">
        <f>1/5</f>
        <v>0.2</v>
      </c>
      <c r="HG130" s="60"/>
      <c r="HH130" s="60">
        <f>1/3</f>
        <v>0.33333333333333331</v>
      </c>
      <c r="HI130" s="60"/>
      <c r="HN130" s="60" t="s">
        <v>21</v>
      </c>
      <c r="HO130" s="60"/>
      <c r="HP130" s="60">
        <v>3</v>
      </c>
      <c r="HQ130" s="60"/>
      <c r="HR130" s="60">
        <f>1/3</f>
        <v>0.33333333333333331</v>
      </c>
      <c r="HS130" s="60"/>
      <c r="HT130" s="60">
        <v>5</v>
      </c>
      <c r="HU130" s="60"/>
      <c r="HV130" s="60">
        <f>1/3</f>
        <v>0.33333333333333331</v>
      </c>
      <c r="HW130" s="60"/>
      <c r="HX130" s="60">
        <f>1/4</f>
        <v>0.25</v>
      </c>
      <c r="HY130" s="60"/>
      <c r="HZ130" s="62">
        <v>1</v>
      </c>
      <c r="IA130" s="62"/>
      <c r="IB130" s="60">
        <v>9</v>
      </c>
      <c r="IC130" s="60"/>
      <c r="ID130" s="60">
        <f>1/3</f>
        <v>0.33333333333333331</v>
      </c>
      <c r="IE130" s="60"/>
      <c r="IK130" s="60" t="s">
        <v>21</v>
      </c>
      <c r="IL130" s="60"/>
      <c r="IM130" s="60">
        <v>3</v>
      </c>
      <c r="IN130" s="60"/>
      <c r="IO130" s="60">
        <f>1/3</f>
        <v>0.33333333333333331</v>
      </c>
      <c r="IP130" s="60"/>
      <c r="IQ130" s="60">
        <v>3</v>
      </c>
      <c r="IR130" s="60"/>
      <c r="IS130" s="60">
        <f>1/3</f>
        <v>0.33333333333333331</v>
      </c>
      <c r="IT130" s="60"/>
      <c r="IU130" s="60">
        <f>1/7</f>
        <v>0.14285714285714285</v>
      </c>
      <c r="IV130" s="60"/>
      <c r="IW130" s="62">
        <v>1</v>
      </c>
      <c r="IX130" s="62"/>
      <c r="IY130" s="60">
        <v>8</v>
      </c>
      <c r="IZ130" s="60"/>
      <c r="JA130" s="60">
        <v>5</v>
      </c>
      <c r="JB130" s="60"/>
      <c r="JI130" s="60" t="s">
        <v>21</v>
      </c>
      <c r="JJ130" s="60"/>
      <c r="JK130" s="60">
        <v>3</v>
      </c>
      <c r="JL130" s="60"/>
      <c r="JM130" s="60">
        <f>1/3</f>
        <v>0.33333333333333331</v>
      </c>
      <c r="JN130" s="60"/>
      <c r="JO130" s="60">
        <v>3</v>
      </c>
      <c r="JP130" s="60"/>
      <c r="JQ130" s="60">
        <f>1/3</f>
        <v>0.33333333333333331</v>
      </c>
      <c r="JR130" s="60"/>
      <c r="JS130" s="60">
        <f>1/5</f>
        <v>0.2</v>
      </c>
      <c r="JT130" s="60"/>
      <c r="JU130" s="62">
        <v>1</v>
      </c>
      <c r="JV130" s="62"/>
      <c r="JW130" s="60">
        <f>1/5</f>
        <v>0.2</v>
      </c>
      <c r="JX130" s="60"/>
      <c r="JY130" s="60">
        <v>3</v>
      </c>
      <c r="JZ130" s="60"/>
      <c r="KF130" s="60" t="s">
        <v>21</v>
      </c>
      <c r="KG130" s="60"/>
      <c r="KH130" s="60">
        <v>3</v>
      </c>
      <c r="KI130" s="60"/>
      <c r="KJ130" s="60">
        <f>1/3</f>
        <v>0.33333333333333331</v>
      </c>
      <c r="KK130" s="60"/>
      <c r="KL130" s="60">
        <v>9</v>
      </c>
      <c r="KM130" s="60"/>
      <c r="KN130" s="60">
        <f>1/3</f>
        <v>0.33333333333333331</v>
      </c>
      <c r="KO130" s="60"/>
      <c r="KP130" s="60">
        <f>1/5</f>
        <v>0.2</v>
      </c>
      <c r="KQ130" s="60"/>
      <c r="KR130" s="62">
        <v>1</v>
      </c>
      <c r="KS130" s="62"/>
      <c r="KT130" s="60">
        <v>5</v>
      </c>
      <c r="KU130" s="60"/>
      <c r="KV130" s="60">
        <f>1/3</f>
        <v>0.33333333333333331</v>
      </c>
      <c r="KW130" s="60"/>
      <c r="LA130" s="46"/>
      <c r="LB130" s="46"/>
      <c r="LC130" s="46"/>
      <c r="LD130" s="46"/>
      <c r="LE130" s="46"/>
      <c r="LF130" s="46"/>
      <c r="LG130" s="46"/>
      <c r="LH130" s="46"/>
      <c r="LI130" s="46"/>
      <c r="LJ130" s="46"/>
      <c r="LK130" s="46"/>
      <c r="LL130" s="46"/>
      <c r="LM130" s="46"/>
      <c r="LN130" s="46"/>
      <c r="LO130" s="46"/>
      <c r="LP130" s="46"/>
      <c r="LQ130" s="46"/>
      <c r="LR130" s="46"/>
      <c r="LS130" s="46"/>
      <c r="LT130" s="46"/>
      <c r="LU130" s="46"/>
      <c r="LV130" s="46"/>
      <c r="LW130" s="46"/>
      <c r="LX130" s="46"/>
      <c r="LY130" s="46"/>
      <c r="LZ130" s="46"/>
      <c r="MA130" s="46"/>
      <c r="MB130" s="46"/>
      <c r="MC130" s="46"/>
      <c r="MD130" s="46"/>
      <c r="ME130" s="46"/>
      <c r="MF130" s="46"/>
      <c r="MG130" s="46"/>
      <c r="MH130" s="46"/>
      <c r="MI130" s="46"/>
      <c r="MJ130" s="46"/>
      <c r="MK130" s="46"/>
      <c r="ML130" s="46"/>
      <c r="MM130" s="46"/>
      <c r="MN130" s="46"/>
      <c r="MO130" s="46"/>
      <c r="MP130" s="46"/>
      <c r="MQ130" s="46"/>
      <c r="MR130" s="46"/>
      <c r="MS130" s="46"/>
      <c r="MT130" s="46"/>
      <c r="MU130" s="46"/>
      <c r="MV130" s="46"/>
      <c r="MW130" s="46"/>
      <c r="MX130" s="46"/>
      <c r="MY130" s="46"/>
      <c r="MZ130" s="46"/>
      <c r="NA130" s="46"/>
      <c r="NB130" s="46"/>
      <c r="NC130" s="46"/>
      <c r="ND130" s="46"/>
      <c r="NE130" s="46"/>
      <c r="NF130" s="46"/>
      <c r="NG130" s="46"/>
    </row>
    <row r="131" spans="3:371" x14ac:dyDescent="0.35"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2"/>
      <c r="P131" s="62"/>
      <c r="Q131" s="60"/>
      <c r="R131" s="60"/>
      <c r="S131" s="60"/>
      <c r="T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2"/>
      <c r="AK131" s="62"/>
      <c r="AL131" s="60"/>
      <c r="AM131" s="60"/>
      <c r="AN131" s="60"/>
      <c r="AO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2"/>
      <c r="BF131" s="62"/>
      <c r="BG131" s="60"/>
      <c r="BH131" s="60"/>
      <c r="BI131" s="60"/>
      <c r="BJ131" s="60"/>
      <c r="BN131" s="60"/>
      <c r="BO131" s="60"/>
      <c r="BP131" s="60"/>
      <c r="BQ131" s="60"/>
      <c r="BR131" s="60"/>
      <c r="BS131" s="60"/>
      <c r="BT131" s="60"/>
      <c r="BU131" s="60"/>
      <c r="BV131" s="60"/>
      <c r="BW131" s="60"/>
      <c r="BX131" s="60"/>
      <c r="BY131" s="60"/>
      <c r="BZ131" s="62"/>
      <c r="CA131" s="62"/>
      <c r="CB131" s="60"/>
      <c r="CC131" s="60"/>
      <c r="CK131" s="60"/>
      <c r="CL131" s="60"/>
      <c r="CM131" s="60"/>
      <c r="CN131" s="60"/>
      <c r="CO131" s="60"/>
      <c r="CP131" s="60"/>
      <c r="CQ131" s="60"/>
      <c r="CR131" s="60"/>
      <c r="CS131" s="60"/>
      <c r="CT131" s="60"/>
      <c r="CU131" s="60"/>
      <c r="CV131" s="60"/>
      <c r="CW131" s="62"/>
      <c r="CX131" s="62"/>
      <c r="CY131" s="60"/>
      <c r="CZ131" s="60"/>
      <c r="DA131" s="60"/>
      <c r="DB131" s="60"/>
      <c r="DF131" s="60"/>
      <c r="DG131" s="60"/>
      <c r="DH131" s="60"/>
      <c r="DI131" s="60"/>
      <c r="DJ131" s="60"/>
      <c r="DK131" s="60"/>
      <c r="DL131" s="60"/>
      <c r="DM131" s="60"/>
      <c r="DN131" s="60"/>
      <c r="DO131" s="60"/>
      <c r="DP131" s="60"/>
      <c r="DQ131" s="60"/>
      <c r="DR131" s="62"/>
      <c r="DS131" s="62"/>
      <c r="DT131" s="60"/>
      <c r="DU131" s="60"/>
      <c r="DV131" s="60"/>
      <c r="DW131" s="60"/>
      <c r="EC131" s="60"/>
      <c r="ED131" s="60"/>
      <c r="EE131" s="60"/>
      <c r="EF131" s="60"/>
      <c r="EG131" s="60"/>
      <c r="EH131" s="60"/>
      <c r="EI131" s="60"/>
      <c r="EJ131" s="60"/>
      <c r="EK131" s="60"/>
      <c r="EL131" s="60"/>
      <c r="EM131" s="60"/>
      <c r="EN131" s="60"/>
      <c r="EO131" s="62"/>
      <c r="EP131" s="62"/>
      <c r="EQ131" s="60"/>
      <c r="ER131" s="60"/>
      <c r="ES131" s="60"/>
      <c r="ET131" s="60"/>
      <c r="EY131" s="60"/>
      <c r="EZ131" s="60"/>
      <c r="FA131" s="60"/>
      <c r="FB131" s="60"/>
      <c r="FC131" s="60"/>
      <c r="FD131" s="60"/>
      <c r="FE131" s="60"/>
      <c r="FF131" s="60"/>
      <c r="FG131" s="60"/>
      <c r="FH131" s="60"/>
      <c r="FI131" s="60"/>
      <c r="FJ131" s="60"/>
      <c r="FK131" s="62"/>
      <c r="FL131" s="62"/>
      <c r="FM131" s="60"/>
      <c r="FN131" s="60"/>
      <c r="FO131" s="60"/>
      <c r="FP131" s="60"/>
      <c r="FV131" s="60"/>
      <c r="FW131" s="60"/>
      <c r="FX131" s="60"/>
      <c r="FY131" s="60"/>
      <c r="FZ131" s="60"/>
      <c r="GA131" s="60"/>
      <c r="GB131" s="60"/>
      <c r="GC131" s="60"/>
      <c r="GD131" s="60"/>
      <c r="GE131" s="60"/>
      <c r="GF131" s="60"/>
      <c r="GG131" s="60"/>
      <c r="GH131" s="62"/>
      <c r="GI131" s="62"/>
      <c r="GJ131" s="60"/>
      <c r="GK131" s="60"/>
      <c r="GL131" s="60"/>
      <c r="GM131" s="60"/>
      <c r="GR131" s="60"/>
      <c r="GS131" s="60"/>
      <c r="GT131" s="60"/>
      <c r="GU131" s="60"/>
      <c r="GV131" s="60"/>
      <c r="GW131" s="60"/>
      <c r="GX131" s="60"/>
      <c r="GY131" s="60"/>
      <c r="GZ131" s="60"/>
      <c r="HA131" s="60"/>
      <c r="HB131" s="60"/>
      <c r="HC131" s="60"/>
      <c r="HD131" s="62"/>
      <c r="HE131" s="62"/>
      <c r="HF131" s="60"/>
      <c r="HG131" s="60"/>
      <c r="HH131" s="60"/>
      <c r="HI131" s="60"/>
      <c r="HN131" s="60"/>
      <c r="HO131" s="60"/>
      <c r="HP131" s="60"/>
      <c r="HQ131" s="60"/>
      <c r="HR131" s="60"/>
      <c r="HS131" s="60"/>
      <c r="HT131" s="60"/>
      <c r="HU131" s="60"/>
      <c r="HV131" s="60"/>
      <c r="HW131" s="60"/>
      <c r="HX131" s="60"/>
      <c r="HY131" s="60"/>
      <c r="HZ131" s="62"/>
      <c r="IA131" s="62"/>
      <c r="IB131" s="60"/>
      <c r="IC131" s="60"/>
      <c r="ID131" s="60"/>
      <c r="IE131" s="60"/>
      <c r="IK131" s="60"/>
      <c r="IL131" s="60"/>
      <c r="IM131" s="60"/>
      <c r="IN131" s="60"/>
      <c r="IO131" s="60"/>
      <c r="IP131" s="60"/>
      <c r="IQ131" s="60"/>
      <c r="IR131" s="60"/>
      <c r="IS131" s="60"/>
      <c r="IT131" s="60"/>
      <c r="IU131" s="60"/>
      <c r="IV131" s="60"/>
      <c r="IW131" s="62"/>
      <c r="IX131" s="62"/>
      <c r="IY131" s="60"/>
      <c r="IZ131" s="60"/>
      <c r="JA131" s="60"/>
      <c r="JB131" s="60"/>
      <c r="JI131" s="60"/>
      <c r="JJ131" s="60"/>
      <c r="JK131" s="60"/>
      <c r="JL131" s="60"/>
      <c r="JM131" s="60"/>
      <c r="JN131" s="60"/>
      <c r="JO131" s="60"/>
      <c r="JP131" s="60"/>
      <c r="JQ131" s="60"/>
      <c r="JR131" s="60"/>
      <c r="JS131" s="60"/>
      <c r="JT131" s="60"/>
      <c r="JU131" s="62"/>
      <c r="JV131" s="62"/>
      <c r="JW131" s="60"/>
      <c r="JX131" s="60"/>
      <c r="JY131" s="60"/>
      <c r="JZ131" s="60"/>
      <c r="KF131" s="60"/>
      <c r="KG131" s="60"/>
      <c r="KH131" s="60"/>
      <c r="KI131" s="60"/>
      <c r="KJ131" s="60"/>
      <c r="KK131" s="60"/>
      <c r="KL131" s="60"/>
      <c r="KM131" s="60"/>
      <c r="KN131" s="60"/>
      <c r="KO131" s="60"/>
      <c r="KP131" s="60"/>
      <c r="KQ131" s="60"/>
      <c r="KR131" s="62"/>
      <c r="KS131" s="62"/>
      <c r="KT131" s="60"/>
      <c r="KU131" s="60"/>
      <c r="KV131" s="60"/>
      <c r="KW131" s="60"/>
      <c r="LA131" s="46"/>
      <c r="LB131" s="46"/>
      <c r="LC131" s="46"/>
      <c r="LD131" s="46"/>
      <c r="LE131" s="46"/>
      <c r="LF131" s="46"/>
      <c r="LG131" s="46"/>
      <c r="LH131" s="46"/>
      <c r="LI131" s="46"/>
      <c r="LJ131" s="46"/>
      <c r="LK131" s="46"/>
      <c r="LL131" s="46"/>
      <c r="LM131" s="46"/>
      <c r="LN131" s="46"/>
      <c r="LO131" s="46"/>
      <c r="LP131" s="46"/>
      <c r="LQ131" s="46"/>
      <c r="LR131" s="46"/>
      <c r="LS131" s="46"/>
      <c r="LT131" s="46"/>
      <c r="LU131" s="46"/>
      <c r="LV131" s="46"/>
      <c r="LW131" s="46"/>
      <c r="LX131" s="46"/>
      <c r="LY131" s="46"/>
      <c r="LZ131" s="46"/>
      <c r="MA131" s="46"/>
      <c r="MB131" s="46"/>
      <c r="MC131" s="46"/>
      <c r="MD131" s="46"/>
      <c r="ME131" s="46"/>
      <c r="MF131" s="46"/>
      <c r="MG131" s="46"/>
      <c r="MH131" s="46"/>
      <c r="MI131" s="46"/>
      <c r="MJ131" s="46"/>
      <c r="MK131" s="46"/>
      <c r="ML131" s="46"/>
      <c r="MM131" s="46"/>
      <c r="MN131" s="46"/>
      <c r="MO131" s="46"/>
      <c r="MP131" s="46"/>
      <c r="MQ131" s="46"/>
      <c r="MR131" s="46"/>
      <c r="MS131" s="46"/>
      <c r="MT131" s="46"/>
      <c r="MU131" s="46"/>
      <c r="MV131" s="46"/>
      <c r="MW131" s="46"/>
      <c r="MX131" s="46"/>
      <c r="MY131" s="46"/>
      <c r="MZ131" s="46"/>
      <c r="NA131" s="46"/>
      <c r="NB131" s="46"/>
      <c r="NC131" s="46"/>
      <c r="ND131" s="46"/>
      <c r="NE131" s="46"/>
      <c r="NF131" s="46"/>
      <c r="NG131" s="46"/>
    </row>
    <row r="132" spans="3:371" ht="15" customHeight="1" x14ac:dyDescent="0.35">
      <c r="C132" s="60" t="s">
        <v>22</v>
      </c>
      <c r="D132" s="60"/>
      <c r="E132" s="60">
        <f>1/7</f>
        <v>0.14285714285714285</v>
      </c>
      <c r="F132" s="60"/>
      <c r="G132" s="60">
        <f>1/7</f>
        <v>0.14285714285714285</v>
      </c>
      <c r="H132" s="60"/>
      <c r="I132" s="60">
        <f>1/9</f>
        <v>0.1111111111111111</v>
      </c>
      <c r="J132" s="60"/>
      <c r="K132" s="60">
        <f>1/5</f>
        <v>0.2</v>
      </c>
      <c r="L132" s="60"/>
      <c r="M132" s="60">
        <f>1/3</f>
        <v>0.33333333333333331</v>
      </c>
      <c r="N132" s="60"/>
      <c r="O132" s="60">
        <f>1/3</f>
        <v>0.33333333333333331</v>
      </c>
      <c r="P132" s="60"/>
      <c r="Q132" s="62">
        <v>1</v>
      </c>
      <c r="R132" s="62"/>
      <c r="S132" s="60">
        <v>3</v>
      </c>
      <c r="T132" s="60"/>
      <c r="X132" s="60" t="s">
        <v>22</v>
      </c>
      <c r="Y132" s="60"/>
      <c r="Z132" s="60">
        <f>1/7</f>
        <v>0.14285714285714285</v>
      </c>
      <c r="AA132" s="60"/>
      <c r="AB132" s="60">
        <v>0.57999999999999996</v>
      </c>
      <c r="AC132" s="60"/>
      <c r="AD132" s="60">
        <v>9</v>
      </c>
      <c r="AE132" s="60"/>
      <c r="AF132" s="60">
        <f>1/5</f>
        <v>0.2</v>
      </c>
      <c r="AG132" s="60"/>
      <c r="AH132" s="60">
        <v>7</v>
      </c>
      <c r="AI132" s="60"/>
      <c r="AJ132" s="60">
        <v>5</v>
      </c>
      <c r="AK132" s="60"/>
      <c r="AL132" s="62">
        <v>1</v>
      </c>
      <c r="AM132" s="62"/>
      <c r="AN132" s="60">
        <v>5</v>
      </c>
      <c r="AO132" s="60"/>
      <c r="AS132" s="60" t="s">
        <v>22</v>
      </c>
      <c r="AT132" s="60"/>
      <c r="AU132" s="60">
        <f>1/7</f>
        <v>0.14285714285714285</v>
      </c>
      <c r="AV132" s="60"/>
      <c r="AW132" s="60">
        <f>1/7</f>
        <v>0.14285714285714285</v>
      </c>
      <c r="AX132" s="60"/>
      <c r="AY132" s="60">
        <f>1/8</f>
        <v>0.125</v>
      </c>
      <c r="AZ132" s="60"/>
      <c r="BA132" s="60">
        <f>1/7</f>
        <v>0.14285714285714285</v>
      </c>
      <c r="BB132" s="60"/>
      <c r="BC132" s="60">
        <v>5</v>
      </c>
      <c r="BD132" s="60"/>
      <c r="BE132" s="60">
        <v>7</v>
      </c>
      <c r="BF132" s="60"/>
      <c r="BG132" s="62">
        <v>1</v>
      </c>
      <c r="BH132" s="62"/>
      <c r="BI132" s="60">
        <v>4</v>
      </c>
      <c r="BJ132" s="60"/>
      <c r="BN132" s="60" t="s">
        <v>22</v>
      </c>
      <c r="BO132" s="60"/>
      <c r="BP132" s="60">
        <f>1/7</f>
        <v>0.14285714285714285</v>
      </c>
      <c r="BQ132" s="60"/>
      <c r="BR132" s="60">
        <f>1/7</f>
        <v>0.14285714285714285</v>
      </c>
      <c r="BS132" s="60"/>
      <c r="BT132" s="60">
        <f>1/8</f>
        <v>0.125</v>
      </c>
      <c r="BU132" s="60"/>
      <c r="BV132" s="60">
        <f>1/7</f>
        <v>0.14285714285714285</v>
      </c>
      <c r="BW132" s="60"/>
      <c r="BX132" s="60">
        <v>5</v>
      </c>
      <c r="BY132" s="60"/>
      <c r="BZ132" s="60">
        <v>7</v>
      </c>
      <c r="CA132" s="60"/>
      <c r="CB132" s="62">
        <v>1</v>
      </c>
      <c r="CC132" s="62"/>
      <c r="CK132" s="60" t="s">
        <v>22</v>
      </c>
      <c r="CL132" s="60"/>
      <c r="CM132" s="60">
        <f>1/7</f>
        <v>0.14285714285714285</v>
      </c>
      <c r="CN132" s="60"/>
      <c r="CO132" s="60">
        <f>1/7</f>
        <v>0.14285714285714285</v>
      </c>
      <c r="CP132" s="60"/>
      <c r="CQ132" s="60">
        <f>1/5</f>
        <v>0.2</v>
      </c>
      <c r="CR132" s="60"/>
      <c r="CS132" s="60">
        <f>1/5</f>
        <v>0.2</v>
      </c>
      <c r="CT132" s="60"/>
      <c r="CU132" s="60">
        <f>1/3</f>
        <v>0.33333333333333331</v>
      </c>
      <c r="CV132" s="60"/>
      <c r="CW132" s="60">
        <f>1/5</f>
        <v>0.2</v>
      </c>
      <c r="CX132" s="60"/>
      <c r="CY132" s="62">
        <v>1</v>
      </c>
      <c r="CZ132" s="62"/>
      <c r="DA132" s="60">
        <v>9</v>
      </c>
      <c r="DB132" s="60"/>
      <c r="DF132" s="60" t="s">
        <v>22</v>
      </c>
      <c r="DG132" s="60"/>
      <c r="DH132" s="60">
        <v>7</v>
      </c>
      <c r="DI132" s="60"/>
      <c r="DJ132" s="60">
        <f>1/7</f>
        <v>0.14285714285714285</v>
      </c>
      <c r="DK132" s="60"/>
      <c r="DL132" s="60">
        <f>1/5</f>
        <v>0.2</v>
      </c>
      <c r="DM132" s="60"/>
      <c r="DN132" s="60">
        <f>1/5</f>
        <v>0.2</v>
      </c>
      <c r="DO132" s="60"/>
      <c r="DP132" s="60">
        <f>1/3</f>
        <v>0.33333333333333331</v>
      </c>
      <c r="DQ132" s="60"/>
      <c r="DR132" s="60">
        <f>1/6</f>
        <v>0.16666666666666666</v>
      </c>
      <c r="DS132" s="60"/>
      <c r="DT132" s="62">
        <v>1</v>
      </c>
      <c r="DU132" s="62"/>
      <c r="DV132" s="60">
        <f>1/9</f>
        <v>0.1111111111111111</v>
      </c>
      <c r="DW132" s="60"/>
      <c r="EC132" s="60" t="s">
        <v>22</v>
      </c>
      <c r="ED132" s="60"/>
      <c r="EE132" s="60">
        <f>1/7</f>
        <v>0.14285714285714285</v>
      </c>
      <c r="EF132" s="60"/>
      <c r="EG132" s="60">
        <f>1/7</f>
        <v>0.14285714285714285</v>
      </c>
      <c r="EH132" s="60"/>
      <c r="EI132" s="60">
        <f>1/3</f>
        <v>0.33333333333333331</v>
      </c>
      <c r="EJ132" s="60"/>
      <c r="EK132" s="60">
        <f>1/5</f>
        <v>0.2</v>
      </c>
      <c r="EL132" s="60"/>
      <c r="EM132" s="60">
        <f>1/9</f>
        <v>0.1111111111111111</v>
      </c>
      <c r="EN132" s="60"/>
      <c r="EO132" s="60">
        <f>1/8</f>
        <v>0.125</v>
      </c>
      <c r="EP132" s="60"/>
      <c r="EQ132" s="62">
        <v>1</v>
      </c>
      <c r="ER132" s="62"/>
      <c r="ES132" s="60">
        <f>1/7</f>
        <v>0.14285714285714285</v>
      </c>
      <c r="ET132" s="60"/>
      <c r="EY132" s="60" t="s">
        <v>22</v>
      </c>
      <c r="EZ132" s="60"/>
      <c r="FA132" s="60">
        <f>1/7</f>
        <v>0.14285714285714285</v>
      </c>
      <c r="FB132" s="60"/>
      <c r="FC132" s="60">
        <v>9</v>
      </c>
      <c r="FD132" s="60"/>
      <c r="FE132" s="60">
        <v>9</v>
      </c>
      <c r="FF132" s="60"/>
      <c r="FG132" s="60">
        <f>1/5</f>
        <v>0.2</v>
      </c>
      <c r="FH132" s="60"/>
      <c r="FI132" s="60">
        <v>7</v>
      </c>
      <c r="FJ132" s="60"/>
      <c r="FK132" s="60">
        <v>5</v>
      </c>
      <c r="FL132" s="60"/>
      <c r="FM132" s="62">
        <v>1</v>
      </c>
      <c r="FN132" s="62"/>
      <c r="FO132" s="60">
        <v>5</v>
      </c>
      <c r="FP132" s="60"/>
      <c r="FV132" s="60" t="s">
        <v>22</v>
      </c>
      <c r="FW132" s="60"/>
      <c r="FX132" s="60">
        <f>1/7</f>
        <v>0.14285714285714285</v>
      </c>
      <c r="FY132" s="60"/>
      <c r="FZ132" s="60">
        <f>1/7</f>
        <v>0.14285714285714285</v>
      </c>
      <c r="GA132" s="60"/>
      <c r="GB132" s="60">
        <f>1/5</f>
        <v>0.2</v>
      </c>
      <c r="GC132" s="60"/>
      <c r="GD132" s="60">
        <f>1/5</f>
        <v>0.2</v>
      </c>
      <c r="GE132" s="60"/>
      <c r="GF132" s="60">
        <f>1/9</f>
        <v>0.1111111111111111</v>
      </c>
      <c r="GG132" s="60"/>
      <c r="GH132" s="60">
        <f>1/7</f>
        <v>0.14285714285714285</v>
      </c>
      <c r="GI132" s="60"/>
      <c r="GJ132" s="62">
        <v>1</v>
      </c>
      <c r="GK132" s="62"/>
      <c r="GL132" s="60">
        <f>1/5</f>
        <v>0.2</v>
      </c>
      <c r="GM132" s="60"/>
      <c r="GR132" s="60" t="s">
        <v>22</v>
      </c>
      <c r="GS132" s="60"/>
      <c r="GT132" s="60">
        <f>1/7</f>
        <v>0.14285714285714285</v>
      </c>
      <c r="GU132" s="60"/>
      <c r="GV132" s="60">
        <f>1/7</f>
        <v>0.14285714285714285</v>
      </c>
      <c r="GW132" s="60"/>
      <c r="GX132" s="60">
        <f>1/7</f>
        <v>0.14285714285714285</v>
      </c>
      <c r="GY132" s="60"/>
      <c r="GZ132" s="60">
        <v>9</v>
      </c>
      <c r="HA132" s="60"/>
      <c r="HB132" s="60">
        <f>1/3</f>
        <v>0.33333333333333331</v>
      </c>
      <c r="HC132" s="60"/>
      <c r="HD132" s="60">
        <v>5</v>
      </c>
      <c r="HE132" s="60"/>
      <c r="HF132" s="62">
        <v>1</v>
      </c>
      <c r="HG132" s="62"/>
      <c r="HH132" s="60">
        <v>5</v>
      </c>
      <c r="HI132" s="60"/>
      <c r="HN132" s="60" t="s">
        <v>22</v>
      </c>
      <c r="HO132" s="60"/>
      <c r="HP132" s="60">
        <f>1/5</f>
        <v>0.2</v>
      </c>
      <c r="HQ132" s="60"/>
      <c r="HR132" s="60">
        <f>1/7</f>
        <v>0.14285714285714285</v>
      </c>
      <c r="HS132" s="60"/>
      <c r="HT132" s="60">
        <f>1/5</f>
        <v>0.2</v>
      </c>
      <c r="HU132" s="60"/>
      <c r="HV132" s="60">
        <f>1/5</f>
        <v>0.2</v>
      </c>
      <c r="HW132" s="60"/>
      <c r="HX132" s="60">
        <f>1/3</f>
        <v>0.33333333333333331</v>
      </c>
      <c r="HY132" s="60"/>
      <c r="HZ132" s="60">
        <f>1/9</f>
        <v>0.1111111111111111</v>
      </c>
      <c r="IA132" s="60"/>
      <c r="IB132" s="62">
        <v>1</v>
      </c>
      <c r="IC132" s="62"/>
      <c r="ID132" s="60"/>
      <c r="IE132" s="60"/>
      <c r="IK132" s="60" t="s">
        <v>22</v>
      </c>
      <c r="IL132" s="60"/>
      <c r="IM132" s="60">
        <f>1/7</f>
        <v>0.14285714285714285</v>
      </c>
      <c r="IN132" s="60"/>
      <c r="IO132" s="60">
        <f>1/7</f>
        <v>0.14285714285714285</v>
      </c>
      <c r="IP132" s="60"/>
      <c r="IQ132" s="60">
        <f>1/3</f>
        <v>0.33333333333333331</v>
      </c>
      <c r="IR132" s="60"/>
      <c r="IS132" s="60">
        <f>1/5</f>
        <v>0.2</v>
      </c>
      <c r="IT132" s="60"/>
      <c r="IU132" s="60">
        <f>1/9</f>
        <v>0.1111111111111111</v>
      </c>
      <c r="IV132" s="60"/>
      <c r="IW132" s="60">
        <f>1/8</f>
        <v>0.125</v>
      </c>
      <c r="IX132" s="60"/>
      <c r="IY132" s="62">
        <v>1</v>
      </c>
      <c r="IZ132" s="62"/>
      <c r="JA132" s="60">
        <f>1/7</f>
        <v>0.14285714285714285</v>
      </c>
      <c r="JB132" s="60"/>
      <c r="JI132" s="60" t="s">
        <v>22</v>
      </c>
      <c r="JJ132" s="60"/>
      <c r="JK132" s="60">
        <f>1/7</f>
        <v>0.14285714285714285</v>
      </c>
      <c r="JL132" s="60"/>
      <c r="JM132" s="60">
        <f>1/5</f>
        <v>0.2</v>
      </c>
      <c r="JN132" s="60"/>
      <c r="JO132" s="60">
        <f>1/7</f>
        <v>0.14285714285714285</v>
      </c>
      <c r="JP132" s="60"/>
      <c r="JQ132" s="60">
        <v>9</v>
      </c>
      <c r="JR132" s="60"/>
      <c r="JS132" s="60">
        <v>3</v>
      </c>
      <c r="JT132" s="60"/>
      <c r="JU132" s="60">
        <v>5</v>
      </c>
      <c r="JV132" s="60"/>
      <c r="JW132" s="62">
        <v>1</v>
      </c>
      <c r="JX132" s="62"/>
      <c r="JY132" s="60">
        <v>5</v>
      </c>
      <c r="JZ132" s="60"/>
      <c r="KF132" s="60" t="s">
        <v>22</v>
      </c>
      <c r="KG132" s="60"/>
      <c r="KH132" s="60">
        <f>1/7</f>
        <v>0.14285714285714285</v>
      </c>
      <c r="KI132" s="60"/>
      <c r="KJ132" s="60">
        <f>1/7</f>
        <v>0.14285714285714285</v>
      </c>
      <c r="KK132" s="60"/>
      <c r="KL132" s="60">
        <f>1/5</f>
        <v>0.2</v>
      </c>
      <c r="KM132" s="60"/>
      <c r="KN132" s="60">
        <f>1/5</f>
        <v>0.2</v>
      </c>
      <c r="KO132" s="60"/>
      <c r="KP132" s="60">
        <f>1/3</f>
        <v>0.33333333333333331</v>
      </c>
      <c r="KQ132" s="60"/>
      <c r="KR132" s="60">
        <f>1/5</f>
        <v>0.2</v>
      </c>
      <c r="KS132" s="60"/>
      <c r="KT132" s="62">
        <v>1</v>
      </c>
      <c r="KU132" s="62"/>
      <c r="KV132" s="60">
        <v>9</v>
      </c>
      <c r="KW132" s="60"/>
      <c r="LA132" s="46"/>
      <c r="LB132" s="46"/>
      <c r="LC132" s="46"/>
      <c r="LD132" s="46"/>
      <c r="LE132" s="46"/>
      <c r="LF132" s="46"/>
      <c r="LG132" s="46"/>
      <c r="LH132" s="46"/>
      <c r="LI132" s="46"/>
      <c r="LJ132" s="46"/>
      <c r="LK132" s="46"/>
      <c r="LL132" s="46"/>
      <c r="LM132" s="46"/>
      <c r="LN132" s="46"/>
      <c r="LO132" s="46"/>
      <c r="LP132" s="46"/>
      <c r="LQ132" s="46"/>
      <c r="LR132" s="46"/>
      <c r="LS132" s="46"/>
      <c r="LT132" s="46"/>
      <c r="LU132" s="46"/>
      <c r="LV132" s="46"/>
      <c r="LW132" s="46"/>
      <c r="LX132" s="46"/>
      <c r="LY132" s="46"/>
      <c r="LZ132" s="46"/>
      <c r="MA132" s="46"/>
      <c r="MB132" s="46"/>
      <c r="MC132" s="46"/>
      <c r="MD132" s="46"/>
      <c r="ME132" s="46"/>
      <c r="MF132" s="46"/>
      <c r="MG132" s="46"/>
      <c r="MH132" s="46"/>
      <c r="MI132" s="46"/>
      <c r="MJ132" s="46"/>
      <c r="MK132" s="46"/>
      <c r="ML132" s="46"/>
      <c r="MM132" s="46"/>
      <c r="MN132" s="46"/>
      <c r="MO132" s="46"/>
      <c r="MP132" s="46"/>
      <c r="MQ132" s="46"/>
      <c r="MR132" s="46"/>
      <c r="MS132" s="46"/>
      <c r="MT132" s="46"/>
      <c r="MU132" s="46"/>
      <c r="MV132" s="46"/>
      <c r="MW132" s="46"/>
      <c r="MX132" s="46"/>
      <c r="MY132" s="46"/>
      <c r="MZ132" s="46"/>
      <c r="NA132" s="46"/>
      <c r="NB132" s="46"/>
      <c r="NC132" s="46"/>
      <c r="ND132" s="46"/>
      <c r="NE132" s="46"/>
      <c r="NF132" s="46"/>
      <c r="NG132" s="46"/>
    </row>
    <row r="133" spans="3:371" x14ac:dyDescent="0.35"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2"/>
      <c r="R133" s="62"/>
      <c r="S133" s="60"/>
      <c r="T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2"/>
      <c r="AM133" s="62"/>
      <c r="AN133" s="60"/>
      <c r="AO133" s="60"/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62"/>
      <c r="BH133" s="62"/>
      <c r="BI133" s="60"/>
      <c r="BJ133" s="60"/>
      <c r="BN133" s="60"/>
      <c r="BO133" s="60"/>
      <c r="BP133" s="60"/>
      <c r="BQ133" s="60"/>
      <c r="BR133" s="60"/>
      <c r="BS133" s="60"/>
      <c r="BT133" s="60"/>
      <c r="BU133" s="60"/>
      <c r="BV133" s="60"/>
      <c r="BW133" s="60"/>
      <c r="BX133" s="60"/>
      <c r="BY133" s="60"/>
      <c r="BZ133" s="60"/>
      <c r="CA133" s="60"/>
      <c r="CB133" s="62"/>
      <c r="CC133" s="62"/>
      <c r="CK133" s="60"/>
      <c r="CL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2"/>
      <c r="CZ133" s="62"/>
      <c r="DA133" s="60"/>
      <c r="DB133" s="60"/>
      <c r="DF133" s="60"/>
      <c r="DG133" s="60"/>
      <c r="DH133" s="60"/>
      <c r="DI133" s="60"/>
      <c r="DJ133" s="60"/>
      <c r="DK133" s="60"/>
      <c r="DL133" s="60"/>
      <c r="DM133" s="60"/>
      <c r="DN133" s="60"/>
      <c r="DO133" s="60"/>
      <c r="DP133" s="60"/>
      <c r="DQ133" s="60"/>
      <c r="DR133" s="60"/>
      <c r="DS133" s="60"/>
      <c r="DT133" s="62"/>
      <c r="DU133" s="62"/>
      <c r="DV133" s="60"/>
      <c r="DW133" s="60"/>
      <c r="EC133" s="60"/>
      <c r="ED133" s="60"/>
      <c r="EE133" s="60"/>
      <c r="EF133" s="60"/>
      <c r="EG133" s="60"/>
      <c r="EH133" s="60"/>
      <c r="EI133" s="60"/>
      <c r="EJ133" s="60"/>
      <c r="EK133" s="60"/>
      <c r="EL133" s="60"/>
      <c r="EM133" s="60"/>
      <c r="EN133" s="60"/>
      <c r="EO133" s="60"/>
      <c r="EP133" s="60"/>
      <c r="EQ133" s="62"/>
      <c r="ER133" s="62"/>
      <c r="ES133" s="60"/>
      <c r="ET133" s="60"/>
      <c r="EY133" s="60"/>
      <c r="EZ133" s="60"/>
      <c r="FA133" s="60"/>
      <c r="FB133" s="60"/>
      <c r="FC133" s="60"/>
      <c r="FD133" s="60"/>
      <c r="FE133" s="60"/>
      <c r="FF133" s="60"/>
      <c r="FG133" s="60"/>
      <c r="FH133" s="60"/>
      <c r="FI133" s="60"/>
      <c r="FJ133" s="60"/>
      <c r="FK133" s="60"/>
      <c r="FL133" s="60"/>
      <c r="FM133" s="62"/>
      <c r="FN133" s="62"/>
      <c r="FO133" s="60"/>
      <c r="FP133" s="60"/>
      <c r="FV133" s="60"/>
      <c r="FW133" s="60"/>
      <c r="FX133" s="60"/>
      <c r="FY133" s="60"/>
      <c r="FZ133" s="60"/>
      <c r="GA133" s="60"/>
      <c r="GB133" s="60"/>
      <c r="GC133" s="60"/>
      <c r="GD133" s="60"/>
      <c r="GE133" s="60"/>
      <c r="GF133" s="60"/>
      <c r="GG133" s="60"/>
      <c r="GH133" s="60"/>
      <c r="GI133" s="60"/>
      <c r="GJ133" s="62"/>
      <c r="GK133" s="62"/>
      <c r="GL133" s="60"/>
      <c r="GM133" s="60"/>
      <c r="GR133" s="60"/>
      <c r="GS133" s="60"/>
      <c r="GT133" s="60"/>
      <c r="GU133" s="60"/>
      <c r="GV133" s="60"/>
      <c r="GW133" s="60"/>
      <c r="GX133" s="60"/>
      <c r="GY133" s="60"/>
      <c r="GZ133" s="60"/>
      <c r="HA133" s="60"/>
      <c r="HB133" s="60"/>
      <c r="HC133" s="60"/>
      <c r="HD133" s="60"/>
      <c r="HE133" s="60"/>
      <c r="HF133" s="62"/>
      <c r="HG133" s="62"/>
      <c r="HH133" s="60"/>
      <c r="HI133" s="60"/>
      <c r="HN133" s="60"/>
      <c r="HO133" s="60"/>
      <c r="HP133" s="60"/>
      <c r="HQ133" s="60"/>
      <c r="HR133" s="60"/>
      <c r="HS133" s="60"/>
      <c r="HT133" s="60"/>
      <c r="HU133" s="60"/>
      <c r="HV133" s="60"/>
      <c r="HW133" s="60"/>
      <c r="HX133" s="60"/>
      <c r="HY133" s="60"/>
      <c r="HZ133" s="60"/>
      <c r="IA133" s="60"/>
      <c r="IB133" s="62"/>
      <c r="IC133" s="62"/>
      <c r="ID133" s="60"/>
      <c r="IE133" s="60"/>
      <c r="IK133" s="60"/>
      <c r="IL133" s="60"/>
      <c r="IM133" s="60"/>
      <c r="IN133" s="60"/>
      <c r="IO133" s="60"/>
      <c r="IP133" s="60"/>
      <c r="IQ133" s="60"/>
      <c r="IR133" s="60"/>
      <c r="IS133" s="60"/>
      <c r="IT133" s="60"/>
      <c r="IU133" s="60"/>
      <c r="IV133" s="60"/>
      <c r="IW133" s="60"/>
      <c r="IX133" s="60"/>
      <c r="IY133" s="62"/>
      <c r="IZ133" s="62"/>
      <c r="JA133" s="60"/>
      <c r="JB133" s="60"/>
      <c r="JI133" s="60"/>
      <c r="JJ133" s="60"/>
      <c r="JK133" s="60"/>
      <c r="JL133" s="60"/>
      <c r="JM133" s="60"/>
      <c r="JN133" s="60"/>
      <c r="JO133" s="60"/>
      <c r="JP133" s="60"/>
      <c r="JQ133" s="60"/>
      <c r="JR133" s="60"/>
      <c r="JS133" s="60"/>
      <c r="JT133" s="60"/>
      <c r="JU133" s="60"/>
      <c r="JV133" s="60"/>
      <c r="JW133" s="62"/>
      <c r="JX133" s="62"/>
      <c r="JY133" s="60"/>
      <c r="JZ133" s="60"/>
      <c r="KF133" s="60"/>
      <c r="KG133" s="60"/>
      <c r="KH133" s="60"/>
      <c r="KI133" s="60"/>
      <c r="KJ133" s="60"/>
      <c r="KK133" s="60"/>
      <c r="KL133" s="60"/>
      <c r="KM133" s="60"/>
      <c r="KN133" s="60"/>
      <c r="KO133" s="60"/>
      <c r="KP133" s="60"/>
      <c r="KQ133" s="60"/>
      <c r="KR133" s="60"/>
      <c r="KS133" s="60"/>
      <c r="KT133" s="62"/>
      <c r="KU133" s="62"/>
      <c r="KV133" s="60"/>
      <c r="KW133" s="60"/>
      <c r="LA133" s="46"/>
      <c r="LB133" s="46"/>
      <c r="LC133" s="46"/>
      <c r="LD133" s="46"/>
      <c r="LE133" s="46"/>
      <c r="LF133" s="46"/>
      <c r="LG133" s="46"/>
      <c r="LH133" s="46"/>
      <c r="LI133" s="46"/>
      <c r="LJ133" s="46"/>
      <c r="LK133" s="46"/>
      <c r="LL133" s="46"/>
      <c r="LM133" s="46"/>
      <c r="LN133" s="46"/>
      <c r="LO133" s="46"/>
      <c r="LP133" s="46"/>
      <c r="LQ133" s="46"/>
      <c r="LR133" s="46"/>
      <c r="LS133" s="46"/>
      <c r="LT133" s="46"/>
      <c r="LU133" s="46"/>
      <c r="LV133" s="46"/>
      <c r="LW133" s="46"/>
      <c r="LX133" s="46"/>
      <c r="LY133" s="46"/>
      <c r="LZ133" s="46"/>
      <c r="MA133" s="46"/>
      <c r="MB133" s="46"/>
      <c r="MC133" s="46"/>
      <c r="MD133" s="46"/>
      <c r="ME133" s="46"/>
      <c r="MF133" s="46"/>
      <c r="MG133" s="46"/>
      <c r="MH133" s="46"/>
      <c r="MI133" s="46"/>
      <c r="MJ133" s="46"/>
      <c r="MK133" s="46"/>
      <c r="ML133" s="46"/>
      <c r="MM133" s="46"/>
      <c r="MN133" s="46"/>
      <c r="MO133" s="46"/>
      <c r="MP133" s="46"/>
      <c r="MQ133" s="46"/>
      <c r="MR133" s="46"/>
      <c r="MS133" s="46"/>
      <c r="MT133" s="46"/>
      <c r="MU133" s="46"/>
      <c r="MV133" s="46"/>
      <c r="MW133" s="46"/>
      <c r="MX133" s="46"/>
      <c r="MY133" s="46"/>
      <c r="MZ133" s="46"/>
      <c r="NA133" s="46"/>
      <c r="NB133" s="46"/>
      <c r="NC133" s="46"/>
      <c r="ND133" s="46"/>
      <c r="NE133" s="46"/>
      <c r="NF133" s="46"/>
      <c r="NG133" s="46"/>
    </row>
    <row r="134" spans="3:371" ht="15" customHeight="1" x14ac:dyDescent="0.35">
      <c r="C134" s="60" t="s">
        <v>83</v>
      </c>
      <c r="D134" s="60"/>
      <c r="E134" s="60">
        <f>1/3</f>
        <v>0.33333333333333331</v>
      </c>
      <c r="F134" s="60"/>
      <c r="G134" s="60">
        <v>5</v>
      </c>
      <c r="H134" s="60"/>
      <c r="I134" s="60">
        <f>1/9</f>
        <v>0.1111111111111111</v>
      </c>
      <c r="J134" s="60"/>
      <c r="K134" s="60">
        <v>7</v>
      </c>
      <c r="L134" s="60"/>
      <c r="M134" s="60">
        <v>3</v>
      </c>
      <c r="N134" s="60"/>
      <c r="O134" s="60">
        <v>3</v>
      </c>
      <c r="P134" s="60"/>
      <c r="Q134" s="60">
        <f>1/3</f>
        <v>0.33333333333333331</v>
      </c>
      <c r="R134" s="60"/>
      <c r="S134" s="62">
        <v>1</v>
      </c>
      <c r="T134" s="62"/>
      <c r="X134" s="60" t="s">
        <v>83</v>
      </c>
      <c r="Y134" s="60"/>
      <c r="Z134" s="60">
        <f>1/3</f>
        <v>0.33333333333333331</v>
      </c>
      <c r="AA134" s="60"/>
      <c r="AB134" s="60">
        <v>5</v>
      </c>
      <c r="AC134" s="60"/>
      <c r="AD134" s="60">
        <f>1/5</f>
        <v>0.2</v>
      </c>
      <c r="AE134" s="60"/>
      <c r="AF134" s="60">
        <v>7</v>
      </c>
      <c r="AG134" s="60"/>
      <c r="AH134" s="60">
        <f>1/9</f>
        <v>0.1111111111111111</v>
      </c>
      <c r="AI134" s="60"/>
      <c r="AJ134" s="60">
        <f>1/6</f>
        <v>0.16666666666666666</v>
      </c>
      <c r="AK134" s="60"/>
      <c r="AL134" s="60">
        <f>1/5</f>
        <v>0.2</v>
      </c>
      <c r="AM134" s="60"/>
      <c r="AN134" s="62">
        <v>1</v>
      </c>
      <c r="AO134" s="62"/>
      <c r="AS134" s="60" t="s">
        <v>83</v>
      </c>
      <c r="AT134" s="60"/>
      <c r="AU134" s="60">
        <f>1/3</f>
        <v>0.33333333333333331</v>
      </c>
      <c r="AV134" s="60"/>
      <c r="AW134" s="60">
        <v>5</v>
      </c>
      <c r="AX134" s="60"/>
      <c r="AY134" s="60">
        <v>6</v>
      </c>
      <c r="AZ134" s="60"/>
      <c r="BA134" s="60">
        <v>7</v>
      </c>
      <c r="BB134" s="60"/>
      <c r="BC134" s="60">
        <v>3</v>
      </c>
      <c r="BD134" s="60"/>
      <c r="BE134" s="60">
        <f>1/8</f>
        <v>0.125</v>
      </c>
      <c r="BF134" s="60"/>
      <c r="BG134" s="60">
        <f>1/4</f>
        <v>0.25</v>
      </c>
      <c r="BH134" s="60"/>
      <c r="BI134" s="62">
        <v>1</v>
      </c>
      <c r="BJ134" s="62"/>
      <c r="BN134" s="60" t="s">
        <v>83</v>
      </c>
      <c r="BO134" s="60"/>
      <c r="BP134" s="60">
        <f>1/3</f>
        <v>0.33333333333333331</v>
      </c>
      <c r="BQ134" s="60"/>
      <c r="BR134" s="60">
        <v>5</v>
      </c>
      <c r="BS134" s="60"/>
      <c r="BT134" s="60">
        <v>6</v>
      </c>
      <c r="BU134" s="60"/>
      <c r="BV134" s="60">
        <v>7</v>
      </c>
      <c r="BW134" s="60"/>
      <c r="BX134" s="60">
        <v>3</v>
      </c>
      <c r="BY134" s="60"/>
      <c r="BZ134" s="60">
        <f>1/8</f>
        <v>0.125</v>
      </c>
      <c r="CA134" s="60"/>
      <c r="CB134" s="60">
        <f>1/4</f>
        <v>0.25</v>
      </c>
      <c r="CC134" s="60"/>
      <c r="CK134" s="60" t="s">
        <v>83</v>
      </c>
      <c r="CL134" s="60"/>
      <c r="CM134" s="60">
        <f>1/3</f>
        <v>0.33333333333333331</v>
      </c>
      <c r="CN134" s="60"/>
      <c r="CO134" s="60">
        <v>5</v>
      </c>
      <c r="CP134" s="60"/>
      <c r="CQ134" s="60">
        <f>1/3</f>
        <v>0.33333333333333331</v>
      </c>
      <c r="CR134" s="60"/>
      <c r="CS134" s="60">
        <v>7</v>
      </c>
      <c r="CT134" s="60"/>
      <c r="CU134" s="60">
        <v>3</v>
      </c>
      <c r="CV134" s="60"/>
      <c r="CW134" s="60">
        <v>3</v>
      </c>
      <c r="CX134" s="60"/>
      <c r="CY134" s="60">
        <f>1/9</f>
        <v>0.1111111111111111</v>
      </c>
      <c r="CZ134" s="60"/>
      <c r="DA134" s="62">
        <v>1</v>
      </c>
      <c r="DB134" s="62"/>
      <c r="DF134" s="60" t="s">
        <v>83</v>
      </c>
      <c r="DG134" s="60"/>
      <c r="DH134" s="60">
        <v>3</v>
      </c>
      <c r="DI134" s="60"/>
      <c r="DJ134" s="60">
        <v>3</v>
      </c>
      <c r="DK134" s="60"/>
      <c r="DL134" s="60">
        <f>1/3</f>
        <v>0.33333333333333331</v>
      </c>
      <c r="DM134" s="60"/>
      <c r="DN134" s="60">
        <v>7</v>
      </c>
      <c r="DO134" s="60"/>
      <c r="DP134" s="60">
        <v>3</v>
      </c>
      <c r="DQ134" s="60"/>
      <c r="DR134" s="60">
        <v>3</v>
      </c>
      <c r="DS134" s="60"/>
      <c r="DT134" s="60">
        <v>9</v>
      </c>
      <c r="DU134" s="60"/>
      <c r="DV134" s="62">
        <v>1</v>
      </c>
      <c r="DW134" s="62"/>
      <c r="EC134" s="60" t="s">
        <v>83</v>
      </c>
      <c r="ED134" s="60"/>
      <c r="EE134" s="60">
        <f>1/3</f>
        <v>0.33333333333333331</v>
      </c>
      <c r="EF134" s="60"/>
      <c r="EG134" s="60">
        <v>3</v>
      </c>
      <c r="EH134" s="60"/>
      <c r="EI134" s="60">
        <f>1/3</f>
        <v>0.33333333333333331</v>
      </c>
      <c r="EJ134" s="60"/>
      <c r="EK134" s="60">
        <v>7</v>
      </c>
      <c r="EL134" s="60"/>
      <c r="EM134" s="60">
        <v>5</v>
      </c>
      <c r="EN134" s="60"/>
      <c r="EO134" s="60">
        <f>1/5</f>
        <v>0.2</v>
      </c>
      <c r="EP134" s="60"/>
      <c r="EQ134" s="60">
        <v>7</v>
      </c>
      <c r="ER134" s="60"/>
      <c r="ES134" s="62">
        <v>1</v>
      </c>
      <c r="ET134" s="62"/>
      <c r="EY134" s="60" t="s">
        <v>83</v>
      </c>
      <c r="EZ134" s="60"/>
      <c r="FA134" s="60">
        <f>1/3</f>
        <v>0.33333333333333331</v>
      </c>
      <c r="FB134" s="60"/>
      <c r="FC134" s="60">
        <v>5</v>
      </c>
      <c r="FD134" s="60"/>
      <c r="FE134" s="60">
        <f>1/5</f>
        <v>0.2</v>
      </c>
      <c r="FF134" s="60"/>
      <c r="FG134" s="60">
        <v>7</v>
      </c>
      <c r="FH134" s="60"/>
      <c r="FI134" s="60">
        <f>1/9</f>
        <v>0.1111111111111111</v>
      </c>
      <c r="FJ134" s="60"/>
      <c r="FK134" s="60">
        <f>1/6</f>
        <v>0.16666666666666666</v>
      </c>
      <c r="FL134" s="60"/>
      <c r="FM134" s="60">
        <f>1/5</f>
        <v>0.2</v>
      </c>
      <c r="FN134" s="60"/>
      <c r="FO134" s="62">
        <v>1</v>
      </c>
      <c r="FP134" s="62"/>
      <c r="FV134" s="60" t="s">
        <v>83</v>
      </c>
      <c r="FW134" s="60"/>
      <c r="FX134" s="60">
        <f>1/3</f>
        <v>0.33333333333333331</v>
      </c>
      <c r="FY134" s="60"/>
      <c r="FZ134" s="60">
        <v>9</v>
      </c>
      <c r="GA134" s="60"/>
      <c r="GB134" s="60">
        <f>1/3</f>
        <v>0.33333333333333331</v>
      </c>
      <c r="GC134" s="60"/>
      <c r="GD134" s="60">
        <f>1/7</f>
        <v>0.14285714285714285</v>
      </c>
      <c r="GE134" s="60"/>
      <c r="GF134" s="60">
        <f>1/7</f>
        <v>0.14285714285714285</v>
      </c>
      <c r="GG134" s="60"/>
      <c r="GH134" s="60">
        <v>5</v>
      </c>
      <c r="GI134" s="60"/>
      <c r="GJ134" s="60">
        <v>5</v>
      </c>
      <c r="GK134" s="60"/>
      <c r="GL134" s="62">
        <v>1</v>
      </c>
      <c r="GM134" s="62"/>
      <c r="GR134" s="60" t="s">
        <v>83</v>
      </c>
      <c r="GS134" s="60"/>
      <c r="GT134" s="60">
        <f>1/3</f>
        <v>0.33333333333333331</v>
      </c>
      <c r="GU134" s="60"/>
      <c r="GV134" s="60">
        <v>5</v>
      </c>
      <c r="GW134" s="60"/>
      <c r="GX134" s="60">
        <f>1/3</f>
        <v>0.33333333333333331</v>
      </c>
      <c r="GY134" s="60"/>
      <c r="GZ134" s="60">
        <v>7</v>
      </c>
      <c r="HA134" s="60"/>
      <c r="HB134" s="60">
        <v>3</v>
      </c>
      <c r="HC134" s="60"/>
      <c r="HD134" s="60">
        <v>3</v>
      </c>
      <c r="HE134" s="60"/>
      <c r="HF134" s="60">
        <f>1/5</f>
        <v>0.2</v>
      </c>
      <c r="HG134" s="60"/>
      <c r="HH134" s="62">
        <v>1</v>
      </c>
      <c r="HI134" s="62"/>
      <c r="HN134" s="60" t="s">
        <v>83</v>
      </c>
      <c r="HO134" s="60"/>
      <c r="HP134" s="60">
        <f>1/3</f>
        <v>0.33333333333333331</v>
      </c>
      <c r="HQ134" s="60"/>
      <c r="HR134" s="60">
        <v>5</v>
      </c>
      <c r="HS134" s="60"/>
      <c r="HT134" s="60">
        <f>1/3</f>
        <v>0.33333333333333331</v>
      </c>
      <c r="HU134" s="60"/>
      <c r="HV134" s="60">
        <v>7</v>
      </c>
      <c r="HW134" s="60"/>
      <c r="HX134" s="60">
        <f>1/5</f>
        <v>0.2</v>
      </c>
      <c r="HY134" s="60"/>
      <c r="HZ134" s="60">
        <v>3</v>
      </c>
      <c r="IA134" s="60"/>
      <c r="IB134" s="60">
        <v>7</v>
      </c>
      <c r="IC134" s="60"/>
      <c r="ID134" s="62">
        <v>1</v>
      </c>
      <c r="IE134" s="62"/>
      <c r="IK134" s="60" t="s">
        <v>83</v>
      </c>
      <c r="IL134" s="60"/>
      <c r="IM134" s="60">
        <f>1/3</f>
        <v>0.33333333333333331</v>
      </c>
      <c r="IN134" s="60"/>
      <c r="IO134" s="60">
        <v>3</v>
      </c>
      <c r="IP134" s="60"/>
      <c r="IQ134" s="60">
        <f>1/3</f>
        <v>0.33333333333333331</v>
      </c>
      <c r="IR134" s="60"/>
      <c r="IS134" s="60">
        <v>7</v>
      </c>
      <c r="IT134" s="60"/>
      <c r="IU134" s="60">
        <v>5</v>
      </c>
      <c r="IV134" s="60"/>
      <c r="IW134" s="60">
        <f>1/5</f>
        <v>0.2</v>
      </c>
      <c r="IX134" s="60"/>
      <c r="IY134" s="60">
        <v>7</v>
      </c>
      <c r="IZ134" s="60"/>
      <c r="JA134" s="62">
        <v>1</v>
      </c>
      <c r="JB134" s="62"/>
      <c r="JI134" s="60" t="s">
        <v>83</v>
      </c>
      <c r="JJ134" s="60"/>
      <c r="JK134" s="60">
        <v>3</v>
      </c>
      <c r="JL134" s="60"/>
      <c r="JM134" s="60">
        <v>5</v>
      </c>
      <c r="JN134" s="60"/>
      <c r="JO134" s="60">
        <v>5</v>
      </c>
      <c r="JP134" s="60"/>
      <c r="JQ134" s="60">
        <v>7</v>
      </c>
      <c r="JR134" s="60"/>
      <c r="JS134" s="60">
        <v>3</v>
      </c>
      <c r="JT134" s="60"/>
      <c r="JU134" s="60">
        <f>1/3</f>
        <v>0.33333333333333331</v>
      </c>
      <c r="JV134" s="60"/>
      <c r="JW134" s="60">
        <f>1/5</f>
        <v>0.2</v>
      </c>
      <c r="JX134" s="60"/>
      <c r="JY134" s="62">
        <v>1</v>
      </c>
      <c r="JZ134" s="62"/>
      <c r="KF134" s="60" t="s">
        <v>83</v>
      </c>
      <c r="KG134" s="60"/>
      <c r="KH134" s="60">
        <f>1/3</f>
        <v>0.33333333333333331</v>
      </c>
      <c r="KI134" s="60"/>
      <c r="KJ134" s="60">
        <v>5</v>
      </c>
      <c r="KK134" s="60"/>
      <c r="KL134" s="60">
        <f>1/3</f>
        <v>0.33333333333333331</v>
      </c>
      <c r="KM134" s="60"/>
      <c r="KN134" s="60">
        <v>7</v>
      </c>
      <c r="KO134" s="60"/>
      <c r="KP134" s="60">
        <v>3</v>
      </c>
      <c r="KQ134" s="60"/>
      <c r="KR134" s="60">
        <v>3</v>
      </c>
      <c r="KS134" s="60"/>
      <c r="KT134" s="60">
        <f>1/9</f>
        <v>0.1111111111111111</v>
      </c>
      <c r="KU134" s="60"/>
      <c r="KV134" s="62">
        <v>1</v>
      </c>
      <c r="KW134" s="62"/>
      <c r="LA134" s="46"/>
      <c r="LB134" s="46"/>
      <c r="LC134" s="46"/>
      <c r="LD134" s="46"/>
      <c r="LE134" s="46"/>
      <c r="LF134" s="46"/>
      <c r="LG134" s="46"/>
      <c r="LH134" s="46"/>
      <c r="LI134" s="46"/>
      <c r="LJ134" s="46"/>
      <c r="LK134" s="46"/>
      <c r="LL134" s="46"/>
      <c r="LM134" s="46"/>
      <c r="LN134" s="46"/>
      <c r="LO134" s="46"/>
      <c r="LP134" s="46"/>
      <c r="LQ134" s="46"/>
      <c r="LR134" s="46"/>
      <c r="LS134" s="46"/>
      <c r="LT134" s="46"/>
      <c r="LU134" s="46"/>
      <c r="LV134" s="46"/>
      <c r="LW134" s="46"/>
      <c r="LX134" s="46"/>
      <c r="LY134" s="46"/>
      <c r="LZ134" s="46"/>
      <c r="MA134" s="46"/>
      <c r="MB134" s="46"/>
      <c r="MC134" s="46"/>
      <c r="MD134" s="46"/>
      <c r="ME134" s="46"/>
      <c r="MF134" s="46"/>
      <c r="MG134" s="46"/>
      <c r="MH134" s="46"/>
      <c r="MI134" s="46"/>
      <c r="MJ134" s="46"/>
      <c r="MK134" s="46"/>
      <c r="ML134" s="46"/>
      <c r="MM134" s="46"/>
      <c r="MN134" s="46"/>
      <c r="MO134" s="46"/>
      <c r="MP134" s="46"/>
      <c r="MQ134" s="46"/>
      <c r="MR134" s="46"/>
      <c r="MS134" s="46"/>
      <c r="MT134" s="46"/>
      <c r="MU134" s="46"/>
      <c r="MV134" s="46"/>
      <c r="MW134" s="46"/>
      <c r="MX134" s="46"/>
      <c r="MY134" s="46"/>
      <c r="MZ134" s="46"/>
      <c r="NA134" s="46"/>
      <c r="NB134" s="46"/>
      <c r="NC134" s="46"/>
      <c r="ND134" s="46"/>
      <c r="NE134" s="46"/>
      <c r="NF134" s="46"/>
      <c r="NG134" s="46"/>
    </row>
    <row r="135" spans="3:371" x14ac:dyDescent="0.35"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2"/>
      <c r="T135" s="62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2"/>
      <c r="AO135" s="62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60"/>
      <c r="BH135" s="60"/>
      <c r="BI135" s="62"/>
      <c r="BJ135" s="62"/>
      <c r="BN135" s="60"/>
      <c r="BO135" s="60"/>
      <c r="BP135" s="60"/>
      <c r="BQ135" s="60"/>
      <c r="BR135" s="60"/>
      <c r="BS135" s="60"/>
      <c r="BT135" s="60"/>
      <c r="BU135" s="60"/>
      <c r="BV135" s="60"/>
      <c r="BW135" s="60"/>
      <c r="BX135" s="60"/>
      <c r="BY135" s="60"/>
      <c r="BZ135" s="60"/>
      <c r="CA135" s="60"/>
      <c r="CB135" s="60"/>
      <c r="CC135" s="60"/>
      <c r="CK135" s="60"/>
      <c r="CL135" s="60"/>
      <c r="CM135" s="60"/>
      <c r="CN135" s="60"/>
      <c r="CO135" s="60"/>
      <c r="CP135" s="60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2"/>
      <c r="DB135" s="62"/>
      <c r="DF135" s="60"/>
      <c r="DG135" s="60"/>
      <c r="DH135" s="60"/>
      <c r="DI135" s="60"/>
      <c r="DJ135" s="60"/>
      <c r="DK135" s="60"/>
      <c r="DL135" s="60"/>
      <c r="DM135" s="60"/>
      <c r="DN135" s="60"/>
      <c r="DO135" s="60"/>
      <c r="DP135" s="60"/>
      <c r="DQ135" s="60"/>
      <c r="DR135" s="60"/>
      <c r="DS135" s="60"/>
      <c r="DT135" s="60"/>
      <c r="DU135" s="60"/>
      <c r="DV135" s="62"/>
      <c r="DW135" s="62"/>
      <c r="EC135" s="60"/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0"/>
      <c r="EO135" s="60"/>
      <c r="EP135" s="60"/>
      <c r="EQ135" s="60"/>
      <c r="ER135" s="60"/>
      <c r="ES135" s="62"/>
      <c r="ET135" s="62"/>
      <c r="EY135" s="60"/>
      <c r="EZ135" s="60"/>
      <c r="FA135" s="60"/>
      <c r="FB135" s="60"/>
      <c r="FC135" s="60"/>
      <c r="FD135" s="60"/>
      <c r="FE135" s="60"/>
      <c r="FF135" s="60"/>
      <c r="FG135" s="60"/>
      <c r="FH135" s="60"/>
      <c r="FI135" s="60"/>
      <c r="FJ135" s="60"/>
      <c r="FK135" s="60"/>
      <c r="FL135" s="60"/>
      <c r="FM135" s="60"/>
      <c r="FN135" s="60"/>
      <c r="FO135" s="62"/>
      <c r="FP135" s="62"/>
      <c r="FV135" s="60"/>
      <c r="FW135" s="60"/>
      <c r="FX135" s="60"/>
      <c r="FY135" s="60"/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0"/>
      <c r="GK135" s="60"/>
      <c r="GL135" s="62"/>
      <c r="GM135" s="62"/>
      <c r="GR135" s="60"/>
      <c r="GS135" s="60"/>
      <c r="GT135" s="60"/>
      <c r="GU135" s="60"/>
      <c r="GV135" s="60"/>
      <c r="GW135" s="60"/>
      <c r="GX135" s="60"/>
      <c r="GY135" s="60"/>
      <c r="GZ135" s="60"/>
      <c r="HA135" s="60"/>
      <c r="HB135" s="60"/>
      <c r="HC135" s="60"/>
      <c r="HD135" s="60"/>
      <c r="HE135" s="60"/>
      <c r="HF135" s="60"/>
      <c r="HG135" s="60"/>
      <c r="HH135" s="62"/>
      <c r="HI135" s="62"/>
      <c r="HN135" s="60"/>
      <c r="HO135" s="60"/>
      <c r="HP135" s="60"/>
      <c r="HQ135" s="60"/>
      <c r="HR135" s="60"/>
      <c r="HS135" s="60"/>
      <c r="HT135" s="60"/>
      <c r="HU135" s="60"/>
      <c r="HV135" s="60"/>
      <c r="HW135" s="60"/>
      <c r="HX135" s="60"/>
      <c r="HY135" s="60"/>
      <c r="HZ135" s="60"/>
      <c r="IA135" s="60"/>
      <c r="IB135" s="60"/>
      <c r="IC135" s="60"/>
      <c r="ID135" s="62"/>
      <c r="IE135" s="62"/>
      <c r="IK135" s="60"/>
      <c r="IL135" s="60"/>
      <c r="IM135" s="60"/>
      <c r="IN135" s="60"/>
      <c r="IO135" s="60"/>
      <c r="IP135" s="60"/>
      <c r="IQ135" s="60"/>
      <c r="IR135" s="60"/>
      <c r="IS135" s="60"/>
      <c r="IT135" s="60"/>
      <c r="IU135" s="60"/>
      <c r="IV135" s="60"/>
      <c r="IW135" s="60"/>
      <c r="IX135" s="60"/>
      <c r="IY135" s="60"/>
      <c r="IZ135" s="60"/>
      <c r="JA135" s="62"/>
      <c r="JB135" s="62"/>
      <c r="JI135" s="60"/>
      <c r="JJ135" s="60"/>
      <c r="JK135" s="60"/>
      <c r="JL135" s="60"/>
      <c r="JM135" s="60"/>
      <c r="JN135" s="60"/>
      <c r="JO135" s="60"/>
      <c r="JP135" s="60"/>
      <c r="JQ135" s="60"/>
      <c r="JR135" s="60"/>
      <c r="JS135" s="60"/>
      <c r="JT135" s="60"/>
      <c r="JU135" s="60"/>
      <c r="JV135" s="60"/>
      <c r="JW135" s="60"/>
      <c r="JX135" s="60"/>
      <c r="JY135" s="62"/>
      <c r="JZ135" s="62"/>
      <c r="KF135" s="60"/>
      <c r="KG135" s="60"/>
      <c r="KH135" s="60"/>
      <c r="KI135" s="60"/>
      <c r="KJ135" s="60"/>
      <c r="KK135" s="60"/>
      <c r="KL135" s="60"/>
      <c r="KM135" s="60"/>
      <c r="KN135" s="60"/>
      <c r="KO135" s="60"/>
      <c r="KP135" s="60"/>
      <c r="KQ135" s="60"/>
      <c r="KR135" s="60"/>
      <c r="KS135" s="60"/>
      <c r="KT135" s="60"/>
      <c r="KU135" s="60"/>
      <c r="KV135" s="62"/>
      <c r="KW135" s="62"/>
      <c r="LA135" s="46"/>
      <c r="LB135" s="46"/>
      <c r="LC135" s="46"/>
      <c r="LD135" s="46"/>
      <c r="LE135" s="46"/>
      <c r="LF135" s="46"/>
      <c r="LG135" s="46"/>
      <c r="LH135" s="46"/>
      <c r="LI135" s="46"/>
      <c r="LJ135" s="46"/>
      <c r="LK135" s="46"/>
      <c r="LL135" s="46"/>
      <c r="LM135" s="46"/>
      <c r="LN135" s="46"/>
      <c r="LO135" s="46"/>
      <c r="LP135" s="46"/>
      <c r="LQ135" s="46"/>
      <c r="LR135" s="46"/>
      <c r="LS135" s="46"/>
      <c r="LT135" s="46"/>
      <c r="LU135" s="46"/>
      <c r="LV135" s="46"/>
      <c r="LW135" s="46"/>
      <c r="LX135" s="46"/>
      <c r="LY135" s="46"/>
      <c r="LZ135" s="46"/>
      <c r="MA135" s="46"/>
      <c r="MB135" s="46"/>
      <c r="MC135" s="46"/>
      <c r="MD135" s="46"/>
      <c r="ME135" s="46"/>
      <c r="MF135" s="46"/>
      <c r="MG135" s="46"/>
      <c r="MH135" s="46"/>
      <c r="MI135" s="46"/>
      <c r="MJ135" s="46"/>
      <c r="MK135" s="46"/>
      <c r="ML135" s="46"/>
      <c r="MM135" s="46"/>
      <c r="MN135" s="46"/>
      <c r="MO135" s="46"/>
      <c r="MP135" s="46"/>
      <c r="MQ135" s="46"/>
      <c r="MR135" s="46"/>
      <c r="MS135" s="46"/>
      <c r="MT135" s="46"/>
      <c r="MU135" s="46"/>
      <c r="MV135" s="46"/>
      <c r="MW135" s="46"/>
      <c r="MX135" s="46"/>
      <c r="MY135" s="46"/>
      <c r="MZ135" s="46"/>
      <c r="NA135" s="46"/>
      <c r="NB135" s="46"/>
      <c r="NC135" s="46"/>
      <c r="ND135" s="46"/>
      <c r="NE135" s="46"/>
      <c r="NF135" s="46"/>
      <c r="NG135" s="46"/>
    </row>
    <row r="136" spans="3:371" ht="15" customHeight="1" x14ac:dyDescent="0.35">
      <c r="LS136" s="46"/>
      <c r="LT136" s="46"/>
      <c r="LU136" s="46"/>
      <c r="LV136" s="46"/>
      <c r="LW136" s="46"/>
      <c r="LX136" s="46"/>
      <c r="LY136" s="46"/>
      <c r="LZ136" s="46"/>
      <c r="MA136" s="46"/>
      <c r="MB136" s="46"/>
      <c r="MC136" s="46"/>
      <c r="MD136" s="46"/>
      <c r="ME136" s="46"/>
      <c r="MF136" s="46"/>
      <c r="MG136" s="46"/>
      <c r="MH136" s="46"/>
      <c r="MI136" s="46"/>
      <c r="MJ136" s="46"/>
      <c r="MK136" s="46"/>
      <c r="ML136" s="46"/>
      <c r="MM136" s="46"/>
      <c r="MN136" s="46"/>
      <c r="MO136" s="46"/>
      <c r="MP136" s="46"/>
      <c r="MQ136" s="46"/>
      <c r="MR136" s="46"/>
      <c r="MS136" s="46"/>
      <c r="MT136" s="46"/>
      <c r="MU136" s="46"/>
      <c r="MV136" s="46"/>
      <c r="MW136" s="46"/>
      <c r="MX136" s="46"/>
      <c r="MY136" s="46"/>
      <c r="MZ136" s="46"/>
      <c r="NA136" s="46"/>
      <c r="NB136" s="46"/>
      <c r="NC136" s="46"/>
      <c r="ND136" s="46"/>
      <c r="NE136" s="46"/>
      <c r="NF136" s="46"/>
      <c r="NG136" s="46"/>
    </row>
    <row r="137" spans="3:371" x14ac:dyDescent="0.35">
      <c r="LS137" s="46"/>
      <c r="LT137" s="46"/>
      <c r="LU137" s="46"/>
      <c r="LV137" s="46"/>
      <c r="LW137" s="46"/>
      <c r="LX137" s="46"/>
      <c r="LY137" s="46"/>
      <c r="LZ137" s="46"/>
      <c r="MA137" s="46"/>
      <c r="MB137" s="46"/>
      <c r="MC137" s="46"/>
      <c r="MD137" s="46"/>
      <c r="ME137" s="46"/>
      <c r="MF137" s="46"/>
      <c r="MG137" s="46"/>
      <c r="MH137" s="46"/>
      <c r="MI137" s="46"/>
      <c r="MJ137" s="46"/>
      <c r="MK137" s="46"/>
      <c r="ML137" s="46"/>
      <c r="MM137" s="46"/>
      <c r="MN137" s="46"/>
      <c r="MO137" s="46"/>
      <c r="MP137" s="46"/>
      <c r="MQ137" s="46"/>
      <c r="MR137" s="46"/>
      <c r="MS137" s="46"/>
      <c r="MT137" s="46"/>
      <c r="MU137" s="46"/>
      <c r="MV137" s="46"/>
      <c r="MW137" s="46"/>
      <c r="MX137" s="46"/>
      <c r="MY137" s="46"/>
      <c r="MZ137" s="46"/>
      <c r="NA137" s="46"/>
      <c r="NB137" s="46"/>
      <c r="NC137" s="46"/>
      <c r="ND137" s="46"/>
      <c r="NE137" s="46"/>
      <c r="NF137" s="46"/>
      <c r="NG137" s="46"/>
    </row>
    <row r="138" spans="3:371" ht="15" customHeight="1" x14ac:dyDescent="0.35">
      <c r="C138" s="60"/>
      <c r="D138" s="60"/>
      <c r="E138" s="60" t="s">
        <v>17</v>
      </c>
      <c r="F138" s="60"/>
      <c r="G138" s="60" t="s">
        <v>18</v>
      </c>
      <c r="H138" s="60"/>
      <c r="I138" s="60" t="s">
        <v>19</v>
      </c>
      <c r="J138" s="60"/>
      <c r="K138" s="60" t="s">
        <v>31</v>
      </c>
      <c r="L138" s="60"/>
      <c r="M138" s="60" t="s">
        <v>20</v>
      </c>
      <c r="N138" s="60"/>
      <c r="O138" s="60" t="s">
        <v>21</v>
      </c>
      <c r="P138" s="60"/>
      <c r="Q138" s="60" t="s">
        <v>22</v>
      </c>
      <c r="R138" s="60"/>
      <c r="S138" s="60" t="s">
        <v>83</v>
      </c>
      <c r="T138" s="60"/>
      <c r="X138" s="60"/>
      <c r="Y138" s="60"/>
      <c r="Z138" s="60" t="s">
        <v>17</v>
      </c>
      <c r="AA138" s="60"/>
      <c r="AB138" s="60" t="s">
        <v>18</v>
      </c>
      <c r="AC138" s="60"/>
      <c r="AD138" s="60" t="s">
        <v>19</v>
      </c>
      <c r="AE138" s="60"/>
      <c r="AF138" s="60" t="s">
        <v>31</v>
      </c>
      <c r="AG138" s="60"/>
      <c r="AH138" s="60" t="s">
        <v>20</v>
      </c>
      <c r="AI138" s="60"/>
      <c r="AJ138" s="60" t="s">
        <v>21</v>
      </c>
      <c r="AK138" s="60"/>
      <c r="AL138" s="60" t="s">
        <v>22</v>
      </c>
      <c r="AM138" s="60"/>
      <c r="AN138" s="60" t="s">
        <v>83</v>
      </c>
      <c r="AO138" s="60"/>
      <c r="AP138" s="60" t="s">
        <v>99</v>
      </c>
      <c r="AQ138" s="60"/>
      <c r="AR138" s="60" t="s">
        <v>100</v>
      </c>
      <c r="AS138" s="60"/>
      <c r="AT138" s="60" t="s">
        <v>105</v>
      </c>
      <c r="AU138" s="60"/>
      <c r="BN138" s="6"/>
      <c r="BO138" s="6"/>
      <c r="CK138" s="6"/>
      <c r="CL138" s="6"/>
      <c r="DF138" s="6"/>
      <c r="DG138" s="6"/>
      <c r="EC138" s="6"/>
      <c r="ED138" s="6"/>
      <c r="EY138" s="6"/>
      <c r="EZ138" s="6"/>
      <c r="FV138" s="6"/>
      <c r="FW138" s="6"/>
      <c r="GR138" s="6"/>
      <c r="GS138" s="6"/>
      <c r="HN138" s="6"/>
      <c r="HO138" s="6"/>
      <c r="IK138" s="6"/>
      <c r="IL138" s="6"/>
      <c r="JI138" s="6"/>
      <c r="JJ138" s="6"/>
      <c r="KF138" s="6"/>
      <c r="KG138" s="6"/>
      <c r="LA138" s="6"/>
      <c r="LB138" s="6"/>
      <c r="LS138" s="46"/>
      <c r="LT138" s="46"/>
      <c r="LU138" s="46"/>
      <c r="LV138" s="46"/>
      <c r="LW138" s="46"/>
      <c r="LX138" s="46"/>
      <c r="LY138" s="46"/>
      <c r="LZ138" s="46"/>
      <c r="MA138" s="46"/>
      <c r="MB138" s="46"/>
      <c r="MC138" s="46"/>
      <c r="MD138" s="46"/>
      <c r="ME138" s="46"/>
      <c r="MF138" s="46"/>
      <c r="MG138" s="46"/>
      <c r="MH138" s="46"/>
      <c r="MI138" s="46"/>
      <c r="MJ138" s="46"/>
      <c r="MK138" s="46"/>
      <c r="ML138" s="46"/>
      <c r="MM138" s="46"/>
      <c r="MN138" s="46"/>
      <c r="MO138" s="46"/>
      <c r="MP138" s="46"/>
      <c r="MQ138" s="46"/>
      <c r="MR138" s="46"/>
      <c r="MS138" s="46"/>
      <c r="MT138" s="46"/>
      <c r="MU138" s="46"/>
      <c r="MV138" s="46"/>
      <c r="MW138" s="46"/>
      <c r="MX138" s="46"/>
      <c r="MY138" s="46"/>
      <c r="MZ138" s="46"/>
      <c r="NA138" s="46"/>
      <c r="NB138" s="46"/>
      <c r="NC138" s="46"/>
      <c r="ND138" s="46"/>
      <c r="NE138" s="46"/>
      <c r="NF138" s="46"/>
      <c r="NG138" s="46"/>
    </row>
    <row r="139" spans="3:371" x14ac:dyDescent="0.35"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X139" t="s">
        <v>101</v>
      </c>
      <c r="AY139" s="55">
        <f>(AT156-8)/(8-1)</f>
        <v>0.13190143900884038</v>
      </c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6"/>
      <c r="MM139" s="46"/>
      <c r="MN139" s="46"/>
      <c r="MO139" s="46"/>
      <c r="MP139" s="46"/>
      <c r="MQ139" s="46"/>
      <c r="MR139" s="46"/>
      <c r="MS139" s="46"/>
      <c r="MT139" s="46"/>
      <c r="MU139" s="46"/>
      <c r="MV139" s="46"/>
      <c r="MW139" s="46"/>
      <c r="MX139" s="46"/>
      <c r="MY139" s="46"/>
      <c r="MZ139" s="46"/>
      <c r="NA139" s="46"/>
      <c r="NB139" s="46"/>
      <c r="NC139" s="46"/>
      <c r="ND139" s="46"/>
      <c r="NE139" s="46"/>
      <c r="NF139" s="46"/>
      <c r="NG139" s="46"/>
    </row>
    <row r="140" spans="3:371" x14ac:dyDescent="0.35">
      <c r="C140" s="60" t="s">
        <v>17</v>
      </c>
      <c r="D140" s="60"/>
      <c r="E140" s="87">
        <f>AVERAGE(E120,Z120,AU120,BP120,CM120,DH120,EE120,FA120,FX120,GT120,HP120,IM120,JK120,KH120,LC120)</f>
        <v>1</v>
      </c>
      <c r="F140" s="87"/>
      <c r="G140" s="88">
        <f>ROUND(AVERAGE(G120,AB120,AW120,BR120,CO120,DJ120,EG120,FC120,FZ120,GV120,HR120,IO120,JM120,KJ120,LE120),0)</f>
        <v>4</v>
      </c>
      <c r="H140" s="88"/>
      <c r="I140" s="88">
        <f>ROUND(AVERAGE(I120,AD120,AY120,BT120,CQ120,DL120,EI120,FE120,GB120,GX120,HT120,IQ120,JO120,KL120,LG120),0)</f>
        <v>6</v>
      </c>
      <c r="J140" s="88"/>
      <c r="K140" s="88">
        <f>ROUND(AVERAGE(K120,AF120,BA120,BV120,CS120,DN120,EK120,FG120,GD120,GZ120,HV120,IS120,JQ120,KN120,LI120),0)</f>
        <v>6</v>
      </c>
      <c r="L140" s="88"/>
      <c r="M140" s="88">
        <v>2</v>
      </c>
      <c r="N140" s="88"/>
      <c r="O140" s="88">
        <v>5</v>
      </c>
      <c r="P140" s="88"/>
      <c r="Q140" s="88">
        <v>8</v>
      </c>
      <c r="R140" s="88"/>
      <c r="S140" s="88">
        <v>9</v>
      </c>
      <c r="T140" s="88"/>
      <c r="X140" s="60" t="s">
        <v>17</v>
      </c>
      <c r="Y140" s="60"/>
      <c r="Z140" s="95">
        <f>E140/$E$156</f>
        <v>0.39691289966923921</v>
      </c>
      <c r="AA140" s="95"/>
      <c r="AB140" s="95">
        <f>G140/$G$156</f>
        <v>0.52173913043478259</v>
      </c>
      <c r="AC140" s="95"/>
      <c r="AD140" s="95">
        <f>I140/$I$156</f>
        <v>0.52023121387283233</v>
      </c>
      <c r="AE140" s="95"/>
      <c r="AF140" s="95">
        <f>K140/$K$156</f>
        <v>0.46632124352331605</v>
      </c>
      <c r="AG140" s="95"/>
      <c r="AH140" s="95">
        <f>M140/$M$156</f>
        <v>0.30379746835443033</v>
      </c>
      <c r="AI140" s="95"/>
      <c r="AJ140" s="95">
        <f>O140/$O$156</f>
        <v>0.24291497975708504</v>
      </c>
      <c r="AK140" s="95"/>
      <c r="AL140" s="95">
        <f>Q140/$Q$156</f>
        <v>0.24060150375939848</v>
      </c>
      <c r="AM140" s="95"/>
      <c r="AN140" s="95">
        <f>S140/$S$156</f>
        <v>0.25714285714285712</v>
      </c>
      <c r="AO140" s="95"/>
      <c r="AP140" s="94">
        <f>SUM(Z140:AO141)</f>
        <v>2.9496612965139408</v>
      </c>
      <c r="AQ140" s="94"/>
      <c r="AR140" s="94">
        <f>AP140/$AP$156</f>
        <v>0.3687076620642426</v>
      </c>
      <c r="AS140" s="94"/>
      <c r="AT140" s="94">
        <f>AR140*E156</f>
        <v>0.92893847081185577</v>
      </c>
      <c r="AU140" s="94"/>
      <c r="AX140" t="s">
        <v>102</v>
      </c>
      <c r="AY140">
        <v>1.41</v>
      </c>
      <c r="LS140" s="46"/>
      <c r="LT140" s="46"/>
      <c r="LU140" s="46"/>
      <c r="LV140" s="46"/>
      <c r="LW140" s="46"/>
      <c r="LX140" s="46"/>
      <c r="LY140" s="46"/>
      <c r="LZ140" s="46"/>
      <c r="MA140" s="46"/>
      <c r="MB140" s="46"/>
      <c r="MC140" s="46"/>
      <c r="MD140" s="46"/>
      <c r="ME140" s="46"/>
      <c r="MF140" s="46"/>
      <c r="MG140" s="46"/>
      <c r="MH140" s="46"/>
      <c r="MI140" s="46"/>
      <c r="MJ140" s="46"/>
      <c r="MK140" s="46"/>
      <c r="ML140" s="46"/>
      <c r="MM140" s="46"/>
      <c r="MN140" s="46"/>
      <c r="MO140" s="46"/>
      <c r="MP140" s="46"/>
      <c r="MQ140" s="46"/>
      <c r="MR140" s="46"/>
      <c r="MS140" s="46"/>
      <c r="MT140" s="46"/>
      <c r="MU140" s="46"/>
      <c r="MV140" s="46"/>
      <c r="MW140" s="46"/>
      <c r="MX140" s="46"/>
      <c r="MY140" s="46"/>
      <c r="MZ140" s="46"/>
      <c r="NA140" s="46"/>
      <c r="NB140" s="46"/>
      <c r="NC140" s="46"/>
      <c r="ND140" s="46"/>
      <c r="NE140" s="46"/>
      <c r="NF140" s="46"/>
      <c r="NG140" s="46"/>
    </row>
    <row r="141" spans="3:371" x14ac:dyDescent="0.35">
      <c r="C141" s="60"/>
      <c r="D141" s="60"/>
      <c r="E141" s="87"/>
      <c r="F141" s="87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X141" s="60"/>
      <c r="Y141" s="60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4"/>
      <c r="AQ141" s="94"/>
      <c r="AR141" s="94"/>
      <c r="AS141" s="94"/>
      <c r="AT141" s="94"/>
      <c r="AU141" s="94"/>
      <c r="AX141" t="s">
        <v>103</v>
      </c>
      <c r="AY141">
        <f>AY139/AY140</f>
        <v>9.3547119864425807E-2</v>
      </c>
      <c r="LS141" s="46"/>
      <c r="LT141" s="46"/>
      <c r="LU141" s="46"/>
      <c r="LV141" s="46"/>
      <c r="LW141" s="46"/>
      <c r="LX141" s="46"/>
      <c r="LY141" s="46"/>
      <c r="LZ141" s="46"/>
      <c r="MA141" s="46"/>
      <c r="MB141" s="46"/>
      <c r="MC141" s="46"/>
      <c r="MD141" s="46"/>
      <c r="ME141" s="46"/>
      <c r="MF141" s="46"/>
      <c r="MG141" s="46"/>
      <c r="MH141" s="46"/>
      <c r="MI141" s="46"/>
      <c r="MJ141" s="46"/>
      <c r="MK141" s="46"/>
      <c r="ML141" s="46"/>
      <c r="MM141" s="46"/>
      <c r="MN141" s="46"/>
      <c r="MO141" s="46"/>
      <c r="MP141" s="46"/>
      <c r="MQ141" s="46"/>
      <c r="MR141" s="46"/>
      <c r="MS141" s="46"/>
      <c r="MT141" s="46"/>
      <c r="MU141" s="46"/>
      <c r="MV141" s="46"/>
      <c r="MW141" s="46"/>
      <c r="MX141" s="46"/>
      <c r="MY141" s="46"/>
      <c r="MZ141" s="46"/>
      <c r="NA141" s="46"/>
      <c r="NB141" s="46"/>
      <c r="NC141" s="46"/>
      <c r="ND141" s="46"/>
      <c r="NE141" s="46"/>
      <c r="NF141" s="46"/>
      <c r="NG141" s="46"/>
    </row>
    <row r="142" spans="3:371" x14ac:dyDescent="0.35">
      <c r="C142" s="60" t="s">
        <v>18</v>
      </c>
      <c r="D142" s="60"/>
      <c r="E142" s="88">
        <f>1/G140</f>
        <v>0.25</v>
      </c>
      <c r="F142" s="88"/>
      <c r="G142" s="87">
        <f t="shared" ref="G142" si="179">AVERAGE(G122,AB122,AW122,BR122,CO122,DJ122,EG122,FC122,FZ122,GV122,HR122,IO122,JM122,KJ122,LE122)</f>
        <v>1</v>
      </c>
      <c r="H142" s="87"/>
      <c r="I142" s="88">
        <f>ROUND(AVERAGE(I122,AD122,AY122,BT122,CQ122,DL122,EI122,FE122,GB122,GX122,HT122,IQ122,JO122,KL122,LG122),0)</f>
        <v>2</v>
      </c>
      <c r="J142" s="88"/>
      <c r="K142" s="88">
        <f>ROUND(AVERAGE(K122,AF122,BA122,BV122,CS122,DN122,EK122,FG122,GD122,GZ122,HV122,IS122,JQ122,KN122,LI122),0)</f>
        <v>2</v>
      </c>
      <c r="L142" s="88"/>
      <c r="M142" s="88">
        <v>1</v>
      </c>
      <c r="N142" s="88"/>
      <c r="O142" s="88">
        <f>ROUND(AVERAGE(O122,AJ122,BE122,BZ122,CW122,DR122,EO122,FK122,GH122,HD122,HZ122,IW122,JU122,KR122,LM122),0)</f>
        <v>3</v>
      </c>
      <c r="P142" s="88"/>
      <c r="Q142" s="88">
        <f>ROUND(AVERAGE(Q122,AL122,BG122,CB122,CY122,DT122,EQ122,FM122,GJ122,HF122,IB122,IY122,JW122,KT122,LO122),0)</f>
        <v>6</v>
      </c>
      <c r="R142" s="88"/>
      <c r="S142" s="88">
        <v>6</v>
      </c>
      <c r="T142" s="88"/>
      <c r="X142" s="60" t="s">
        <v>18</v>
      </c>
      <c r="Y142" s="60"/>
      <c r="Z142" s="95">
        <f t="shared" ref="Z142" si="180">E142/$E$156</f>
        <v>9.9228224917309801E-2</v>
      </c>
      <c r="AA142" s="95"/>
      <c r="AB142" s="95">
        <f t="shared" ref="AB142" si="181">G142/$G$156</f>
        <v>0.13043478260869565</v>
      </c>
      <c r="AC142" s="95"/>
      <c r="AD142" s="95">
        <f t="shared" ref="AD142" si="182">I142/$I$156</f>
        <v>0.17341040462427745</v>
      </c>
      <c r="AE142" s="95"/>
      <c r="AF142" s="95">
        <f t="shared" ref="AF142" si="183">K142/$K$156</f>
        <v>0.15544041450777202</v>
      </c>
      <c r="AG142" s="95"/>
      <c r="AH142" s="95">
        <f t="shared" ref="AH142" si="184">M142/$M$156</f>
        <v>0.15189873417721517</v>
      </c>
      <c r="AI142" s="95"/>
      <c r="AJ142" s="95">
        <f t="shared" ref="AJ142" si="185">O142/$O$156</f>
        <v>0.14574898785425103</v>
      </c>
      <c r="AK142" s="95"/>
      <c r="AL142" s="95">
        <f t="shared" ref="AL142" si="186">Q142/$Q$156</f>
        <v>0.18045112781954886</v>
      </c>
      <c r="AM142" s="95"/>
      <c r="AN142" s="95">
        <f t="shared" ref="AN142" si="187">S142/$S$156</f>
        <v>0.17142857142857143</v>
      </c>
      <c r="AO142" s="95"/>
      <c r="AP142" s="94">
        <f t="shared" ref="AP142" si="188">SUM(Z142:AO143)</f>
        <v>1.2080412479376414</v>
      </c>
      <c r="AQ142" s="94"/>
      <c r="AR142" s="94">
        <f>AP142/$AP$156</f>
        <v>0.15100515599220518</v>
      </c>
      <c r="AS142" s="94"/>
      <c r="AT142" s="94">
        <f>AR142*G156</f>
        <v>1.1577061959402397</v>
      </c>
      <c r="AU142" s="94"/>
      <c r="AY142" t="s">
        <v>122</v>
      </c>
      <c r="LS142" s="46"/>
      <c r="LT142" s="46"/>
      <c r="LU142" s="46"/>
      <c r="LV142" s="46"/>
      <c r="LW142" s="46"/>
      <c r="LX142" s="46"/>
      <c r="LY142" s="46"/>
      <c r="LZ142" s="46"/>
      <c r="MA142" s="46"/>
      <c r="MB142" s="46"/>
      <c r="MC142" s="46"/>
      <c r="MD142" s="46"/>
      <c r="ME142" s="46"/>
      <c r="MF142" s="46"/>
      <c r="MG142" s="46"/>
      <c r="MH142" s="46"/>
      <c r="MI142" s="46"/>
      <c r="MJ142" s="46"/>
      <c r="MK142" s="46"/>
      <c r="ML142" s="46"/>
      <c r="MM142" s="46"/>
      <c r="MN142" s="46"/>
      <c r="MO142" s="46"/>
      <c r="MP142" s="46"/>
      <c r="MQ142" s="46"/>
      <c r="MR142" s="46"/>
      <c r="MS142" s="46"/>
      <c r="MT142" s="46"/>
      <c r="MU142" s="46"/>
      <c r="MV142" s="46"/>
      <c r="MW142" s="46"/>
      <c r="MX142" s="46"/>
      <c r="MY142" s="46"/>
      <c r="MZ142" s="46"/>
      <c r="NA142" s="46"/>
      <c r="NB142" s="46"/>
      <c r="NC142" s="46"/>
      <c r="ND142" s="46"/>
      <c r="NE142" s="46"/>
      <c r="NF142" s="46"/>
      <c r="NG142" s="46"/>
    </row>
    <row r="143" spans="3:371" x14ac:dyDescent="0.35">
      <c r="C143" s="60"/>
      <c r="D143" s="60"/>
      <c r="E143" s="88"/>
      <c r="F143" s="88"/>
      <c r="G143" s="87"/>
      <c r="H143" s="87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X143" s="60"/>
      <c r="Y143" s="60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4"/>
      <c r="AQ143" s="94"/>
      <c r="AR143" s="94"/>
      <c r="AS143" s="94"/>
      <c r="AT143" s="94"/>
      <c r="AU143" s="94"/>
      <c r="LS143" s="46"/>
      <c r="LT143" s="46"/>
      <c r="LU143" s="46"/>
      <c r="LV143" s="46"/>
      <c r="LW143" s="46"/>
      <c r="LX143" s="46"/>
      <c r="LY143" s="46"/>
      <c r="LZ143" s="46"/>
      <c r="MA143" s="46"/>
      <c r="MB143" s="46"/>
      <c r="MC143" s="46"/>
      <c r="MD143" s="46"/>
      <c r="ME143" s="46"/>
      <c r="MF143" s="46"/>
      <c r="MG143" s="46"/>
      <c r="MH143" s="46"/>
      <c r="MI143" s="46"/>
      <c r="MJ143" s="46"/>
      <c r="MK143" s="46"/>
      <c r="ML143" s="46"/>
      <c r="MM143" s="46"/>
      <c r="MN143" s="46"/>
      <c r="MO143" s="46"/>
      <c r="MP143" s="46"/>
      <c r="MQ143" s="46"/>
      <c r="MR143" s="46"/>
      <c r="MS143" s="46"/>
      <c r="MT143" s="46"/>
      <c r="MU143" s="46"/>
      <c r="MV143" s="46"/>
      <c r="MW143" s="46"/>
      <c r="MX143" s="46"/>
      <c r="MY143" s="46"/>
      <c r="MZ143" s="46"/>
      <c r="NA143" s="46"/>
      <c r="NB143" s="46"/>
      <c r="NC143" s="46"/>
      <c r="ND143" s="46"/>
      <c r="NE143" s="46"/>
      <c r="NF143" s="46"/>
      <c r="NG143" s="46"/>
    </row>
    <row r="144" spans="3:371" x14ac:dyDescent="0.35">
      <c r="C144" s="60" t="s">
        <v>19</v>
      </c>
      <c r="D144" s="60"/>
      <c r="E144" s="88">
        <f>1/I140</f>
        <v>0.16666666666666666</v>
      </c>
      <c r="F144" s="88"/>
      <c r="G144" s="88">
        <f>1/I142</f>
        <v>0.5</v>
      </c>
      <c r="H144" s="88"/>
      <c r="I144" s="87">
        <f t="shared" ref="I144" si="189">AVERAGE(I124,AD124,AY124,BT124,CQ124,DL124,EI124,FE124,GB124,GX124,HT124,IQ124,JO124,KL124,LG124)</f>
        <v>1</v>
      </c>
      <c r="J144" s="87"/>
      <c r="K144" s="88">
        <f>ROUND(AVERAGE(K124,AF124,BA124,BV124,CS124,DN124,EK124,FG124,GD124,GZ124,HV124,IS124,JQ124,KN124,LI124),0)</f>
        <v>2</v>
      </c>
      <c r="L144" s="88"/>
      <c r="M144" s="88">
        <v>1</v>
      </c>
      <c r="N144" s="88"/>
      <c r="O144" s="88">
        <v>2</v>
      </c>
      <c r="P144" s="88"/>
      <c r="Q144" s="88">
        <f>ROUND(AVERAGE(Q124,AL124,BG124,CB124,CY124,DT124,EQ124,FM124,GJ124,HF124,IB124,IY124,JW124,KT124,LO124),0)</f>
        <v>5</v>
      </c>
      <c r="R144" s="88"/>
      <c r="S144" s="88">
        <f>ROUND(AVERAGE(S124,AN124,BI124,CD124,DA124,DV124,ES124,FO124,GL124,HH124,ID124,JA124,JY124,KV124,LQ124),0)</f>
        <v>3</v>
      </c>
      <c r="T144" s="88"/>
      <c r="X144" s="60" t="s">
        <v>19</v>
      </c>
      <c r="Y144" s="60"/>
      <c r="Z144" s="95">
        <f t="shared" ref="Z144" si="190">E144/$E$156</f>
        <v>6.6152149944873201E-2</v>
      </c>
      <c r="AA144" s="95"/>
      <c r="AB144" s="95">
        <f t="shared" ref="AB144" si="191">G144/$G$156</f>
        <v>6.5217391304347824E-2</v>
      </c>
      <c r="AC144" s="95"/>
      <c r="AD144" s="95">
        <f t="shared" ref="AD144" si="192">I144/$I$156</f>
        <v>8.6705202312138727E-2</v>
      </c>
      <c r="AE144" s="95"/>
      <c r="AF144" s="95">
        <f t="shared" ref="AF144" si="193">K144/$K$156</f>
        <v>0.15544041450777202</v>
      </c>
      <c r="AG144" s="95"/>
      <c r="AH144" s="95">
        <f t="shared" ref="AH144" si="194">M144/$M$156</f>
        <v>0.15189873417721517</v>
      </c>
      <c r="AI144" s="95"/>
      <c r="AJ144" s="95">
        <f t="shared" ref="AJ144" si="195">O144/$O$156</f>
        <v>9.7165991902834009E-2</v>
      </c>
      <c r="AK144" s="95"/>
      <c r="AL144" s="95">
        <f t="shared" ref="AL144" si="196">Q144/$Q$156</f>
        <v>0.15037593984962405</v>
      </c>
      <c r="AM144" s="95"/>
      <c r="AN144" s="95">
        <f t="shared" ref="AN144" si="197">S144/$S$156</f>
        <v>8.5714285714285715E-2</v>
      </c>
      <c r="AO144" s="95"/>
      <c r="AP144" s="94">
        <f t="shared" ref="AP144" si="198">SUM(Z144:AO145)</f>
        <v>0.85867010971309077</v>
      </c>
      <c r="AQ144" s="94"/>
      <c r="AR144" s="94">
        <f t="shared" ref="AR144" si="199">AP144/$AP$156</f>
        <v>0.10733376371413635</v>
      </c>
      <c r="AS144" s="94"/>
      <c r="AT144" s="94">
        <f>AR144*I156</f>
        <v>1.2379160748363724</v>
      </c>
      <c r="AU144" s="94"/>
      <c r="LS144" s="46"/>
      <c r="LT144" s="46"/>
      <c r="LU144" s="46"/>
      <c r="LV144" s="46"/>
      <c r="LW144" s="46"/>
      <c r="LX144" s="46"/>
      <c r="LY144" s="46"/>
      <c r="LZ144" s="46"/>
      <c r="MA144" s="46"/>
      <c r="MB144" s="46"/>
      <c r="MC144" s="46"/>
      <c r="MD144" s="46"/>
      <c r="ME144" s="46"/>
      <c r="MF144" s="46"/>
      <c r="MG144" s="46"/>
      <c r="MH144" s="46"/>
      <c r="MI144" s="46"/>
      <c r="MJ144" s="46"/>
      <c r="MK144" s="46"/>
      <c r="ML144" s="46"/>
      <c r="MM144" s="46"/>
      <c r="MN144" s="46"/>
      <c r="MO144" s="46"/>
      <c r="MP144" s="46"/>
      <c r="MQ144" s="46"/>
      <c r="MR144" s="46"/>
      <c r="MS144" s="46"/>
      <c r="MT144" s="46"/>
      <c r="MU144" s="46"/>
      <c r="MV144" s="46"/>
      <c r="MW144" s="46"/>
      <c r="MX144" s="46"/>
      <c r="MY144" s="46"/>
      <c r="MZ144" s="46"/>
      <c r="NA144" s="46"/>
      <c r="NB144" s="46"/>
      <c r="NC144" s="46"/>
      <c r="ND144" s="46"/>
      <c r="NE144" s="46"/>
      <c r="NF144" s="46"/>
      <c r="NG144" s="46"/>
    </row>
    <row r="145" spans="3:371" x14ac:dyDescent="0.35">
      <c r="C145" s="60"/>
      <c r="D145" s="60"/>
      <c r="E145" s="88"/>
      <c r="F145" s="88"/>
      <c r="G145" s="88"/>
      <c r="H145" s="88"/>
      <c r="I145" s="87"/>
      <c r="J145" s="87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X145" s="60"/>
      <c r="Y145" s="60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4"/>
      <c r="AQ145" s="94"/>
      <c r="AR145" s="94"/>
      <c r="AS145" s="94"/>
      <c r="AT145" s="94"/>
      <c r="AU145" s="94"/>
      <c r="LS145" s="46"/>
      <c r="LT145" s="46"/>
      <c r="LU145" s="46"/>
      <c r="LV145" s="46"/>
      <c r="LW145" s="46"/>
      <c r="LX145" s="46"/>
      <c r="LY145" s="46"/>
      <c r="LZ145" s="46"/>
      <c r="MA145" s="46"/>
      <c r="MB145" s="46"/>
      <c r="MC145" s="46"/>
      <c r="MD145" s="46"/>
      <c r="ME145" s="46"/>
      <c r="MF145" s="46"/>
      <c r="MG145" s="46"/>
      <c r="MH145" s="46"/>
      <c r="MI145" s="46"/>
      <c r="MJ145" s="46"/>
      <c r="MK145" s="46"/>
      <c r="ML145" s="46"/>
      <c r="MM145" s="46"/>
      <c r="MN145" s="46"/>
      <c r="MO145" s="46"/>
      <c r="MP145" s="46"/>
      <c r="MQ145" s="46"/>
      <c r="MR145" s="46"/>
      <c r="MS145" s="46"/>
      <c r="MT145" s="46"/>
      <c r="MU145" s="46"/>
      <c r="MV145" s="46"/>
      <c r="MW145" s="46"/>
      <c r="MX145" s="46"/>
      <c r="MY145" s="46"/>
      <c r="MZ145" s="46"/>
      <c r="NA145" s="46"/>
      <c r="NB145" s="46"/>
      <c r="NC145" s="46"/>
      <c r="ND145" s="46"/>
      <c r="NE145" s="46"/>
      <c r="NF145" s="46"/>
      <c r="NG145" s="46"/>
    </row>
    <row r="146" spans="3:371" x14ac:dyDescent="0.35">
      <c r="C146" s="60" t="s">
        <v>31</v>
      </c>
      <c r="D146" s="60"/>
      <c r="E146" s="88">
        <f>1/K140</f>
        <v>0.16666666666666666</v>
      </c>
      <c r="F146" s="88"/>
      <c r="G146" s="88">
        <f>1/K142</f>
        <v>0.5</v>
      </c>
      <c r="H146" s="88"/>
      <c r="I146" s="88">
        <f>1/K144</f>
        <v>0.5</v>
      </c>
      <c r="J146" s="88"/>
      <c r="K146" s="87">
        <f t="shared" ref="K146" si="200">AVERAGE(K126,AF126,BA126,BV126,CS126,DN126,EK126,FG126,GD126,GZ126,HV126,IS126,JQ126,KN126,LI126)</f>
        <v>1</v>
      </c>
      <c r="L146" s="87"/>
      <c r="M146" s="88">
        <v>1</v>
      </c>
      <c r="N146" s="88"/>
      <c r="O146" s="88">
        <f>ROUND(AVERAGE(O126,AJ126,BE126,BZ126,CW126,DR126,EO126,FK126,GH126,HD126,HZ126,IW126,JU126,KR126,LM126),0)</f>
        <v>3</v>
      </c>
      <c r="P146" s="88"/>
      <c r="Q146" s="88">
        <f>ROUND(AVERAGE(Q126,AL126,BG126,CB126,CY126,DT126,EQ126,FM126,GJ126,HF126,IB126,IY126,JW126,KT126,LO126),0)</f>
        <v>5</v>
      </c>
      <c r="R146" s="88"/>
      <c r="S146" s="88">
        <v>3</v>
      </c>
      <c r="T146" s="88"/>
      <c r="X146" s="60" t="s">
        <v>31</v>
      </c>
      <c r="Y146" s="60"/>
      <c r="Z146" s="95">
        <f t="shared" ref="Z146" si="201">E146/$E$156</f>
        <v>6.6152149944873201E-2</v>
      </c>
      <c r="AA146" s="95"/>
      <c r="AB146" s="95">
        <f t="shared" ref="AB146" si="202">G146/$G$156</f>
        <v>6.5217391304347824E-2</v>
      </c>
      <c r="AC146" s="95"/>
      <c r="AD146" s="95">
        <f t="shared" ref="AD146" si="203">I146/$I$156</f>
        <v>4.3352601156069363E-2</v>
      </c>
      <c r="AE146" s="95"/>
      <c r="AF146" s="95">
        <f t="shared" ref="AF146" si="204">K146/$K$156</f>
        <v>7.7720207253886009E-2</v>
      </c>
      <c r="AG146" s="95"/>
      <c r="AH146" s="95">
        <f t="shared" ref="AH146" si="205">M146/$M$156</f>
        <v>0.15189873417721517</v>
      </c>
      <c r="AI146" s="95"/>
      <c r="AJ146" s="95">
        <f t="shared" ref="AJ146" si="206">O146/$O$156</f>
        <v>0.14574898785425103</v>
      </c>
      <c r="AK146" s="95"/>
      <c r="AL146" s="95">
        <f t="shared" ref="AL146" si="207">Q146/$Q$156</f>
        <v>0.15037593984962405</v>
      </c>
      <c r="AM146" s="95"/>
      <c r="AN146" s="95">
        <f t="shared" ref="AN146" si="208">S146/$S$156</f>
        <v>8.5714285714285715E-2</v>
      </c>
      <c r="AO146" s="95"/>
      <c r="AP146" s="94">
        <f t="shared" ref="AP146" si="209">SUM(Z146:AO147)</f>
        <v>0.78618029725455241</v>
      </c>
      <c r="AQ146" s="94"/>
      <c r="AR146" s="94">
        <f t="shared" ref="AR146" si="210">AP146/$AP$156</f>
        <v>9.8272537156819051E-2</v>
      </c>
      <c r="AS146" s="94"/>
      <c r="AT146" s="94">
        <f>AR146*K156</f>
        <v>1.2644399780844051</v>
      </c>
      <c r="AU146" s="94"/>
      <c r="LS146" s="46"/>
      <c r="LT146" s="46"/>
      <c r="LU146" s="46"/>
      <c r="LV146" s="46"/>
      <c r="LW146" s="46"/>
      <c r="LX146" s="46"/>
      <c r="LY146" s="46"/>
      <c r="LZ146" s="46"/>
      <c r="MA146" s="46"/>
      <c r="MB146" s="46"/>
      <c r="MC146" s="46"/>
      <c r="MD146" s="46"/>
      <c r="ME146" s="46"/>
      <c r="MF146" s="46"/>
      <c r="MG146" s="46"/>
      <c r="MH146" s="46"/>
      <c r="MI146" s="46"/>
      <c r="MJ146" s="46"/>
      <c r="MK146" s="46"/>
      <c r="ML146" s="46"/>
      <c r="MM146" s="46"/>
      <c r="MN146" s="46"/>
      <c r="MO146" s="46"/>
      <c r="MP146" s="46"/>
      <c r="MQ146" s="46"/>
      <c r="MR146" s="46"/>
      <c r="MS146" s="46"/>
      <c r="MT146" s="46"/>
      <c r="MU146" s="46"/>
      <c r="MV146" s="46"/>
      <c r="MW146" s="46"/>
      <c r="MX146" s="46"/>
      <c r="MY146" s="46"/>
      <c r="MZ146" s="46"/>
      <c r="NA146" s="46"/>
      <c r="NB146" s="46"/>
      <c r="NC146" s="46"/>
      <c r="ND146" s="46"/>
      <c r="NE146" s="46"/>
      <c r="NF146" s="46"/>
      <c r="NG146" s="46"/>
    </row>
    <row r="147" spans="3:371" x14ac:dyDescent="0.35">
      <c r="C147" s="60"/>
      <c r="D147" s="60"/>
      <c r="E147" s="88"/>
      <c r="F147" s="88"/>
      <c r="G147" s="88"/>
      <c r="H147" s="88"/>
      <c r="I147" s="88"/>
      <c r="J147" s="88"/>
      <c r="K147" s="87"/>
      <c r="L147" s="87"/>
      <c r="M147" s="88"/>
      <c r="N147" s="88"/>
      <c r="O147" s="88"/>
      <c r="P147" s="88"/>
      <c r="Q147" s="88"/>
      <c r="R147" s="88"/>
      <c r="S147" s="88"/>
      <c r="T147" s="88"/>
      <c r="X147" s="60"/>
      <c r="Y147" s="60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4"/>
      <c r="AQ147" s="94"/>
      <c r="AR147" s="94"/>
      <c r="AS147" s="94"/>
      <c r="AT147" s="94"/>
      <c r="AU147" s="94"/>
      <c r="LS147" s="46"/>
      <c r="LT147" s="46"/>
      <c r="LU147" s="46"/>
      <c r="LV147" s="46"/>
      <c r="LW147" s="46"/>
      <c r="LX147" s="46"/>
      <c r="LY147" s="46"/>
      <c r="LZ147" s="46"/>
      <c r="MA147" s="46"/>
      <c r="MB147" s="46"/>
      <c r="MC147" s="46"/>
      <c r="MD147" s="46"/>
      <c r="ME147" s="46"/>
      <c r="MF147" s="46"/>
      <c r="MG147" s="46"/>
      <c r="MH147" s="46"/>
      <c r="MI147" s="46"/>
      <c r="MJ147" s="46"/>
      <c r="MK147" s="46"/>
      <c r="ML147" s="46"/>
      <c r="MM147" s="46"/>
      <c r="MN147" s="46"/>
      <c r="MO147" s="46"/>
      <c r="MP147" s="46"/>
      <c r="MQ147" s="46"/>
      <c r="MR147" s="46"/>
      <c r="MS147" s="46"/>
      <c r="MT147" s="46"/>
      <c r="MU147" s="46"/>
      <c r="MV147" s="46"/>
      <c r="MW147" s="46"/>
      <c r="MX147" s="46"/>
      <c r="MY147" s="46"/>
      <c r="MZ147" s="46"/>
      <c r="NA147" s="46"/>
      <c r="NB147" s="46"/>
      <c r="NC147" s="46"/>
      <c r="ND147" s="46"/>
      <c r="NE147" s="46"/>
      <c r="NF147" s="46"/>
      <c r="NG147" s="46"/>
    </row>
    <row r="148" spans="3:371" x14ac:dyDescent="0.35">
      <c r="C148" s="60" t="s">
        <v>20</v>
      </c>
      <c r="D148" s="60"/>
      <c r="E148" s="88">
        <f>1/M140</f>
        <v>0.5</v>
      </c>
      <c r="F148" s="88"/>
      <c r="G148" s="88">
        <f>1/M142</f>
        <v>1</v>
      </c>
      <c r="H148" s="88"/>
      <c r="I148" s="88">
        <f>1/M144</f>
        <v>1</v>
      </c>
      <c r="J148" s="88"/>
      <c r="K148" s="88">
        <f>1/M146</f>
        <v>1</v>
      </c>
      <c r="L148" s="88"/>
      <c r="M148" s="87">
        <f t="shared" ref="M148" si="211">AVERAGE(M128,AH128,BC128,BX128,CU128,DP128,EM128,FI128,GF128,HB128,HX128,IU128,JS128,KP128,LK128)</f>
        <v>1</v>
      </c>
      <c r="N148" s="87"/>
      <c r="O148" s="88">
        <f>ROUND(AVERAGE(O128,AJ128,BE128,BZ128,CW128,DR128,EO128,FK128,GH128,HD128,HZ128,IW128,JU128,KR128,LM128),0)</f>
        <v>6</v>
      </c>
      <c r="P148" s="88"/>
      <c r="Q148" s="88">
        <v>4</v>
      </c>
      <c r="R148" s="88"/>
      <c r="S148" s="88">
        <v>6</v>
      </c>
      <c r="T148" s="88"/>
      <c r="X148" s="60" t="s">
        <v>20</v>
      </c>
      <c r="Y148" s="60"/>
      <c r="Z148" s="95">
        <f t="shared" ref="Z148" si="212">E148/$E$156</f>
        <v>0.1984564498346196</v>
      </c>
      <c r="AA148" s="95"/>
      <c r="AB148" s="95">
        <f t="shared" ref="AB148" si="213">G148/$G$156</f>
        <v>0.13043478260869565</v>
      </c>
      <c r="AC148" s="95"/>
      <c r="AD148" s="95">
        <f t="shared" ref="AD148" si="214">I148/$I$156</f>
        <v>8.6705202312138727E-2</v>
      </c>
      <c r="AE148" s="95"/>
      <c r="AF148" s="95">
        <f t="shared" ref="AF148" si="215">K148/$K$156</f>
        <v>7.7720207253886009E-2</v>
      </c>
      <c r="AG148" s="95"/>
      <c r="AH148" s="95">
        <f t="shared" ref="AH148" si="216">M148/$M$156</f>
        <v>0.15189873417721517</v>
      </c>
      <c r="AI148" s="95"/>
      <c r="AJ148" s="95">
        <f t="shared" ref="AJ148" si="217">O148/$O$156</f>
        <v>0.29149797570850206</v>
      </c>
      <c r="AK148" s="95"/>
      <c r="AL148" s="95">
        <f t="shared" ref="AL148" si="218">Q148/$Q$156</f>
        <v>0.12030075187969924</v>
      </c>
      <c r="AM148" s="95"/>
      <c r="AN148" s="95">
        <f t="shared" ref="AN148" si="219">S148/$S$156</f>
        <v>0.17142857142857143</v>
      </c>
      <c r="AO148" s="95"/>
      <c r="AP148" s="94">
        <f t="shared" ref="AP148" si="220">SUM(Z148:AO149)</f>
        <v>1.2284426752033279</v>
      </c>
      <c r="AQ148" s="94"/>
      <c r="AR148" s="94">
        <f t="shared" ref="AR148" si="221">AP148/$AP$156</f>
        <v>0.15355533440041599</v>
      </c>
      <c r="AS148" s="94"/>
      <c r="AT148" s="94">
        <f>AR148*M156</f>
        <v>1.0109059514694054</v>
      </c>
      <c r="AU148" s="94"/>
      <c r="LS148" s="46"/>
      <c r="LT148" s="46"/>
      <c r="LU148" s="46"/>
      <c r="LV148" s="46"/>
      <c r="LW148" s="46"/>
      <c r="LX148" s="46"/>
      <c r="LY148" s="46"/>
      <c r="LZ148" s="46"/>
      <c r="MA148" s="46"/>
      <c r="MB148" s="46"/>
      <c r="MC148" s="46"/>
      <c r="MD148" s="46"/>
      <c r="ME148" s="46"/>
      <c r="MF148" s="46"/>
      <c r="MG148" s="46"/>
      <c r="MH148" s="46"/>
      <c r="MI148" s="46"/>
      <c r="MJ148" s="46"/>
      <c r="MK148" s="46"/>
      <c r="ML148" s="46"/>
      <c r="MM148" s="46"/>
      <c r="MN148" s="46"/>
      <c r="MO148" s="46"/>
      <c r="MP148" s="46"/>
      <c r="MQ148" s="46"/>
      <c r="MR148" s="46"/>
      <c r="MS148" s="46"/>
      <c r="MT148" s="46"/>
      <c r="MU148" s="46"/>
      <c r="MV148" s="46"/>
      <c r="MW148" s="46"/>
      <c r="MX148" s="46"/>
      <c r="MY148" s="46"/>
      <c r="MZ148" s="46"/>
      <c r="NA148" s="46"/>
      <c r="NB148" s="46"/>
      <c r="NC148" s="46"/>
      <c r="ND148" s="46"/>
      <c r="NE148" s="46"/>
      <c r="NF148" s="46"/>
      <c r="NG148" s="46"/>
    </row>
    <row r="149" spans="3:371" ht="15" customHeight="1" x14ac:dyDescent="0.35">
      <c r="C149" s="60"/>
      <c r="D149" s="60"/>
      <c r="E149" s="88"/>
      <c r="F149" s="88"/>
      <c r="G149" s="88"/>
      <c r="H149" s="88"/>
      <c r="I149" s="88"/>
      <c r="J149" s="88"/>
      <c r="K149" s="88"/>
      <c r="L149" s="88"/>
      <c r="M149" s="87"/>
      <c r="N149" s="87"/>
      <c r="O149" s="88"/>
      <c r="P149" s="88"/>
      <c r="Q149" s="88"/>
      <c r="R149" s="88"/>
      <c r="S149" s="88"/>
      <c r="T149" s="88"/>
      <c r="X149" s="60"/>
      <c r="Y149" s="60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4"/>
      <c r="AQ149" s="94"/>
      <c r="AR149" s="94"/>
      <c r="AS149" s="94"/>
      <c r="AT149" s="94"/>
      <c r="AU149" s="94"/>
      <c r="LS149" s="46"/>
      <c r="LT149" s="46"/>
      <c r="LU149" s="46"/>
      <c r="LV149" s="46"/>
      <c r="LW149" s="46"/>
      <c r="LX149" s="46"/>
      <c r="LY149" s="46"/>
      <c r="LZ149" s="46"/>
      <c r="MA149" s="46"/>
      <c r="MB149" s="46"/>
      <c r="MC149" s="46"/>
      <c r="MD149" s="46"/>
      <c r="ME149" s="46"/>
      <c r="MF149" s="46"/>
      <c r="MG149" s="46"/>
      <c r="MH149" s="46"/>
      <c r="MI149" s="46"/>
      <c r="MJ149" s="46"/>
      <c r="MK149" s="46"/>
      <c r="ML149" s="46"/>
      <c r="MM149" s="46"/>
      <c r="MN149" s="46"/>
      <c r="MO149" s="46"/>
      <c r="MP149" s="46"/>
      <c r="MQ149" s="46"/>
      <c r="MR149" s="46"/>
      <c r="MS149" s="46"/>
      <c r="MT149" s="46"/>
      <c r="MU149" s="46"/>
      <c r="MV149" s="46"/>
      <c r="MW149" s="46"/>
      <c r="MX149" s="46"/>
      <c r="MY149" s="46"/>
      <c r="MZ149" s="46"/>
      <c r="NA149" s="46"/>
      <c r="NB149" s="46"/>
      <c r="NC149" s="46"/>
      <c r="ND149" s="46"/>
      <c r="NE149" s="46"/>
      <c r="NF149" s="46"/>
      <c r="NG149" s="46"/>
    </row>
    <row r="150" spans="3:371" x14ac:dyDescent="0.35">
      <c r="C150" s="60" t="s">
        <v>21</v>
      </c>
      <c r="D150" s="60"/>
      <c r="E150" s="88">
        <f>1/O140</f>
        <v>0.2</v>
      </c>
      <c r="F150" s="88"/>
      <c r="G150" s="88">
        <f>1/O142</f>
        <v>0.33333333333333331</v>
      </c>
      <c r="H150" s="88"/>
      <c r="I150" s="88">
        <f>1/O144</f>
        <v>0.5</v>
      </c>
      <c r="J150" s="88"/>
      <c r="K150" s="88">
        <f>1/O146</f>
        <v>0.33333333333333331</v>
      </c>
      <c r="L150" s="88"/>
      <c r="M150" s="88">
        <f>1/O148</f>
        <v>0.16666666666666666</v>
      </c>
      <c r="N150" s="88"/>
      <c r="O150" s="87">
        <f t="shared" ref="O150" si="222">AVERAGE(O130,AJ130,BE130,BZ130,CW130,DR130,EO130,FK130,GH130,HD130,HZ130,IW130,JU130,KR130,LM130)</f>
        <v>1</v>
      </c>
      <c r="P150" s="87"/>
      <c r="Q150" s="88">
        <f>ROUND(AVERAGE(Q130,AL130,BG130,CB130,CY130,DT130,EQ130,FM130,GJ130,HF130,IB130,IY130,JW130,KT130,LO130),0)</f>
        <v>4</v>
      </c>
      <c r="R150" s="88"/>
      <c r="S150" s="88">
        <f>ROUND(AVERAGE(S130,AN130,BI130,CD130,DA130,DV130,ES130,FO130,GL130,HH130,ID130,JA130,JY130,KV130,LQ130),0)</f>
        <v>3</v>
      </c>
      <c r="T150" s="88"/>
      <c r="X150" s="60" t="s">
        <v>21</v>
      </c>
      <c r="Y150" s="60"/>
      <c r="Z150" s="95">
        <f t="shared" ref="Z150" si="223">E150/$E$156</f>
        <v>7.9382579933847841E-2</v>
      </c>
      <c r="AA150" s="95"/>
      <c r="AB150" s="95">
        <f t="shared" ref="AB150" si="224">G150/$G$156</f>
        <v>4.3478260869565216E-2</v>
      </c>
      <c r="AC150" s="95"/>
      <c r="AD150" s="95">
        <f t="shared" ref="AD150" si="225">I150/$I$156</f>
        <v>4.3352601156069363E-2</v>
      </c>
      <c r="AE150" s="95"/>
      <c r="AF150" s="95">
        <f t="shared" ref="AF150" si="226">K150/$K$156</f>
        <v>2.5906735751295335E-2</v>
      </c>
      <c r="AG150" s="95"/>
      <c r="AH150" s="95">
        <f t="shared" ref="AH150" si="227">M150/$M$156</f>
        <v>2.5316455696202528E-2</v>
      </c>
      <c r="AI150" s="95"/>
      <c r="AJ150" s="95">
        <f t="shared" ref="AJ150" si="228">O150/$O$156</f>
        <v>4.8582995951417005E-2</v>
      </c>
      <c r="AK150" s="95"/>
      <c r="AL150" s="95">
        <f t="shared" ref="AL150" si="229">Q150/$Q$156</f>
        <v>0.12030075187969924</v>
      </c>
      <c r="AM150" s="95"/>
      <c r="AN150" s="95">
        <f t="shared" ref="AN150" si="230">S150/$S$156</f>
        <v>8.5714285714285715E-2</v>
      </c>
      <c r="AO150" s="95"/>
      <c r="AP150" s="94">
        <f t="shared" ref="AP150" si="231">SUM(Z150:AO151)</f>
        <v>0.47203466695238228</v>
      </c>
      <c r="AQ150" s="94"/>
      <c r="AR150" s="94">
        <f t="shared" ref="AR150" si="232">AP150/$AP$156</f>
        <v>5.9004333369047784E-2</v>
      </c>
      <c r="AS150" s="94"/>
      <c r="AT150" s="94">
        <f>AR150*O156</f>
        <v>1.2145058618462334</v>
      </c>
      <c r="AU150" s="94"/>
      <c r="LS150" s="46"/>
      <c r="LT150" s="46"/>
      <c r="LU150" s="46"/>
      <c r="LV150" s="46"/>
      <c r="LW150" s="46"/>
      <c r="LX150" s="46"/>
      <c r="LY150" s="46"/>
      <c r="LZ150" s="46"/>
      <c r="MA150" s="46"/>
      <c r="MB150" s="46"/>
      <c r="MC150" s="46"/>
      <c r="MD150" s="46"/>
      <c r="ME150" s="46"/>
      <c r="MF150" s="46"/>
      <c r="MG150" s="46"/>
      <c r="MH150" s="46"/>
      <c r="MI150" s="46"/>
      <c r="MJ150" s="46"/>
      <c r="MK150" s="46"/>
      <c r="ML150" s="46"/>
      <c r="MM150" s="46"/>
      <c r="MN150" s="46"/>
      <c r="MO150" s="46"/>
      <c r="MP150" s="46"/>
      <c r="MQ150" s="46"/>
      <c r="MR150" s="46"/>
      <c r="MS150" s="46"/>
      <c r="MT150" s="46"/>
      <c r="MU150" s="46"/>
      <c r="MV150" s="46"/>
      <c r="MW150" s="46"/>
      <c r="MX150" s="46"/>
      <c r="MY150" s="46"/>
      <c r="MZ150" s="46"/>
      <c r="NA150" s="46"/>
      <c r="NB150" s="46"/>
      <c r="NC150" s="46"/>
      <c r="ND150" s="46"/>
      <c r="NE150" s="46"/>
      <c r="NF150" s="46"/>
      <c r="NG150" s="46"/>
    </row>
    <row r="151" spans="3:371" ht="15" customHeight="1" x14ac:dyDescent="0.35">
      <c r="C151" s="60"/>
      <c r="D151" s="60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7"/>
      <c r="P151" s="87"/>
      <c r="Q151" s="88"/>
      <c r="R151" s="88"/>
      <c r="S151" s="88"/>
      <c r="T151" s="88"/>
      <c r="X151" s="60"/>
      <c r="Y151" s="60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4"/>
      <c r="AQ151" s="94"/>
      <c r="AR151" s="94"/>
      <c r="AS151" s="94"/>
      <c r="AT151" s="94"/>
      <c r="AU151" s="94"/>
      <c r="LS151" s="46"/>
      <c r="LT151" s="46"/>
      <c r="LU151" s="46"/>
      <c r="LV151" s="46"/>
      <c r="LW151" s="46"/>
      <c r="LX151" s="46"/>
      <c r="LY151" s="46"/>
      <c r="LZ151" s="46"/>
      <c r="MA151" s="46"/>
      <c r="MB151" s="46"/>
      <c r="MC151" s="46"/>
      <c r="MD151" s="46"/>
      <c r="ME151" s="46"/>
      <c r="MF151" s="46"/>
      <c r="MG151" s="46"/>
      <c r="MH151" s="46"/>
      <c r="MI151" s="46"/>
      <c r="MJ151" s="46"/>
      <c r="MK151" s="46"/>
      <c r="ML151" s="46"/>
      <c r="MM151" s="46"/>
      <c r="MN151" s="46"/>
      <c r="MO151" s="46"/>
      <c r="MP151" s="46"/>
      <c r="MQ151" s="46"/>
      <c r="MR151" s="46"/>
      <c r="MS151" s="46"/>
      <c r="MT151" s="46"/>
      <c r="MU151" s="46"/>
      <c r="MV151" s="46"/>
      <c r="MW151" s="46"/>
      <c r="MX151" s="46"/>
      <c r="MY151" s="46"/>
      <c r="MZ151" s="46"/>
      <c r="NA151" s="46"/>
      <c r="NB151" s="46"/>
      <c r="NC151" s="46"/>
      <c r="ND151" s="46"/>
      <c r="NE151" s="46"/>
      <c r="NF151" s="46"/>
      <c r="NG151" s="46"/>
    </row>
    <row r="152" spans="3:371" x14ac:dyDescent="0.35">
      <c r="C152" s="60" t="s">
        <v>22</v>
      </c>
      <c r="D152" s="60"/>
      <c r="E152" s="88">
        <f>1/Q140</f>
        <v>0.125</v>
      </c>
      <c r="F152" s="88"/>
      <c r="G152" s="88">
        <f>1/Q142</f>
        <v>0.16666666666666666</v>
      </c>
      <c r="H152" s="88"/>
      <c r="I152" s="88">
        <f>1/Q144</f>
        <v>0.2</v>
      </c>
      <c r="J152" s="88"/>
      <c r="K152" s="88">
        <f>1/Q146</f>
        <v>0.2</v>
      </c>
      <c r="L152" s="88"/>
      <c r="M152" s="88">
        <f>1/Q148</f>
        <v>0.25</v>
      </c>
      <c r="N152" s="88"/>
      <c r="O152" s="88">
        <f>1/Q150</f>
        <v>0.25</v>
      </c>
      <c r="P152" s="88"/>
      <c r="Q152" s="87">
        <f t="shared" ref="Q152" si="233">AVERAGE(Q132,AL132,BG132,CB132,CY132,DT132,EQ132,FM132,GJ132,HF132,IB132,IY132,JW132,KT132,LO132)</f>
        <v>1</v>
      </c>
      <c r="R152" s="87"/>
      <c r="S152" s="88">
        <f>ROUND(AVERAGE(S132,AN132,BI132,CD132,DA132,DV132,ES132,FO132,GL132,HH132,ID132,JA132,JY132,KV132,LQ132),0)</f>
        <v>4</v>
      </c>
      <c r="T152" s="88"/>
      <c r="X152" s="60" t="s">
        <v>22</v>
      </c>
      <c r="Y152" s="60"/>
      <c r="Z152" s="95">
        <f t="shared" ref="Z152" si="234">E152/$E$156</f>
        <v>4.9614112458654901E-2</v>
      </c>
      <c r="AA152" s="95"/>
      <c r="AB152" s="95">
        <f t="shared" ref="AB152" si="235">G152/$G$156</f>
        <v>2.1739130434782608E-2</v>
      </c>
      <c r="AC152" s="95"/>
      <c r="AD152" s="95">
        <f t="shared" ref="AD152" si="236">I152/$I$156</f>
        <v>1.7341040462427747E-2</v>
      </c>
      <c r="AE152" s="95"/>
      <c r="AF152" s="95">
        <f t="shared" ref="AF152" si="237">K152/$K$156</f>
        <v>1.5544041450777202E-2</v>
      </c>
      <c r="AG152" s="95"/>
      <c r="AH152" s="95">
        <f t="shared" ref="AH152" si="238">M152/$M$156</f>
        <v>3.7974683544303792E-2</v>
      </c>
      <c r="AI152" s="95"/>
      <c r="AJ152" s="95">
        <f t="shared" ref="AJ152" si="239">O152/$O$156</f>
        <v>1.2145748987854251E-2</v>
      </c>
      <c r="AK152" s="95"/>
      <c r="AL152" s="95">
        <f t="shared" ref="AL152" si="240">Q152/$Q$156</f>
        <v>3.007518796992481E-2</v>
      </c>
      <c r="AM152" s="95"/>
      <c r="AN152" s="95">
        <f t="shared" ref="AN152" si="241">S152/$S$156</f>
        <v>0.11428571428571428</v>
      </c>
      <c r="AO152" s="95"/>
      <c r="AP152" s="94">
        <f t="shared" ref="AP152" si="242">SUM(Z152:AO153)</f>
        <v>0.29871965959443958</v>
      </c>
      <c r="AQ152" s="94"/>
      <c r="AR152" s="94">
        <f t="shared" ref="AR152" si="243">AP152/$AP$156</f>
        <v>3.7339957449304947E-2</v>
      </c>
      <c r="AS152" s="94"/>
      <c r="AT152" s="94">
        <f>AR152*Q156</f>
        <v>1.2415535851893895</v>
      </c>
      <c r="AU152" s="94"/>
      <c r="LS152" s="46"/>
      <c r="LT152" s="46"/>
      <c r="LU152" s="46"/>
      <c r="LV152" s="46"/>
      <c r="LW152" s="46"/>
      <c r="LX152" s="46"/>
      <c r="LY152" s="46"/>
      <c r="LZ152" s="46"/>
      <c r="MA152" s="46"/>
      <c r="MB152" s="46"/>
      <c r="MC152" s="46"/>
      <c r="MD152" s="46"/>
      <c r="ME152" s="46"/>
      <c r="MF152" s="46"/>
      <c r="MG152" s="46"/>
      <c r="MH152" s="46"/>
      <c r="MI152" s="46"/>
      <c r="MJ152" s="46"/>
      <c r="MK152" s="46"/>
      <c r="ML152" s="46"/>
      <c r="MM152" s="46"/>
      <c r="MN152" s="46"/>
      <c r="MO152" s="46"/>
      <c r="MP152" s="46"/>
      <c r="MQ152" s="46"/>
      <c r="MR152" s="46"/>
      <c r="MS152" s="46"/>
      <c r="MT152" s="46"/>
      <c r="MU152" s="46"/>
      <c r="MV152" s="46"/>
      <c r="MW152" s="46"/>
      <c r="MX152" s="46"/>
      <c r="MY152" s="46"/>
      <c r="MZ152" s="46"/>
      <c r="NA152" s="46"/>
      <c r="NB152" s="46"/>
      <c r="NC152" s="46"/>
      <c r="ND152" s="46"/>
      <c r="NE152" s="46"/>
      <c r="NF152" s="46"/>
      <c r="NG152" s="46"/>
    </row>
    <row r="153" spans="3:371" ht="15" customHeight="1" x14ac:dyDescent="0.35">
      <c r="C153" s="60"/>
      <c r="D153" s="60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7"/>
      <c r="R153" s="87"/>
      <c r="S153" s="88"/>
      <c r="T153" s="88"/>
      <c r="X153" s="60"/>
      <c r="Y153" s="60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4"/>
      <c r="AQ153" s="94"/>
      <c r="AR153" s="94"/>
      <c r="AS153" s="94"/>
      <c r="AT153" s="94"/>
      <c r="AU153" s="94"/>
      <c r="LS153" s="46"/>
      <c r="LT153" s="46"/>
      <c r="LU153" s="46"/>
      <c r="LV153" s="46"/>
      <c r="LW153" s="46"/>
      <c r="LX153" s="46"/>
      <c r="LY153" s="46"/>
      <c r="LZ153" s="46"/>
      <c r="MA153" s="46"/>
      <c r="MB153" s="46"/>
      <c r="MC153" s="46"/>
      <c r="MD153" s="46"/>
      <c r="ME153" s="46"/>
      <c r="MF153" s="46"/>
      <c r="MG153" s="46"/>
      <c r="MH153" s="46"/>
      <c r="MI153" s="46"/>
      <c r="MJ153" s="46"/>
      <c r="MK153" s="46"/>
      <c r="ML153" s="46"/>
      <c r="MM153" s="46"/>
      <c r="MN153" s="46"/>
      <c r="MO153" s="46"/>
      <c r="MP153" s="46"/>
      <c r="MQ153" s="46"/>
      <c r="MR153" s="46"/>
      <c r="MS153" s="46"/>
      <c r="MT153" s="46"/>
      <c r="MU153" s="46"/>
      <c r="MV153" s="46"/>
      <c r="MW153" s="46"/>
      <c r="MX153" s="46"/>
      <c r="MY153" s="46"/>
      <c r="MZ153" s="46"/>
      <c r="NA153" s="46"/>
      <c r="NB153" s="46"/>
      <c r="NC153" s="46"/>
      <c r="ND153" s="46"/>
      <c r="NE153" s="46"/>
      <c r="NF153" s="46"/>
      <c r="NG153" s="46"/>
    </row>
    <row r="154" spans="3:371" x14ac:dyDescent="0.35">
      <c r="C154" s="60" t="s">
        <v>83</v>
      </c>
      <c r="D154" s="60"/>
      <c r="E154" s="88">
        <f>1/S140</f>
        <v>0.1111111111111111</v>
      </c>
      <c r="F154" s="88"/>
      <c r="G154" s="88">
        <f>1/S142</f>
        <v>0.16666666666666666</v>
      </c>
      <c r="H154" s="88"/>
      <c r="I154" s="88">
        <f>1/S144</f>
        <v>0.33333333333333331</v>
      </c>
      <c r="J154" s="88"/>
      <c r="K154" s="88">
        <f>1/S146</f>
        <v>0.33333333333333331</v>
      </c>
      <c r="L154" s="88"/>
      <c r="M154" s="88">
        <f>1/S148</f>
        <v>0.16666666666666666</v>
      </c>
      <c r="N154" s="88"/>
      <c r="O154" s="88">
        <f>1/S150</f>
        <v>0.33333333333333331</v>
      </c>
      <c r="P154" s="88"/>
      <c r="Q154" s="88">
        <f>1/S152</f>
        <v>0.25</v>
      </c>
      <c r="R154" s="88"/>
      <c r="S154" s="87">
        <f t="shared" ref="S154" si="244">AVERAGE(S134,AN134,BI134,CD134,DA134,DV134,ES134,FO134,GL134,HH134,ID134,JA134,JY134,KV134,LQ134)</f>
        <v>1</v>
      </c>
      <c r="T154" s="87"/>
      <c r="X154" s="60" t="s">
        <v>83</v>
      </c>
      <c r="Y154" s="60"/>
      <c r="Z154" s="95">
        <f t="shared" ref="Z154" si="245">E154/$E$156</f>
        <v>4.4101433296582129E-2</v>
      </c>
      <c r="AA154" s="95"/>
      <c r="AB154" s="95">
        <f t="shared" ref="AB154" si="246">G154/$G$156</f>
        <v>2.1739130434782608E-2</v>
      </c>
      <c r="AC154" s="95"/>
      <c r="AD154" s="95">
        <f t="shared" ref="AD154" si="247">I154/$I$156</f>
        <v>2.8901734104046242E-2</v>
      </c>
      <c r="AE154" s="95"/>
      <c r="AF154" s="95">
        <f t="shared" ref="AF154" si="248">K154/$K$156</f>
        <v>2.5906735751295335E-2</v>
      </c>
      <c r="AG154" s="95"/>
      <c r="AH154" s="95">
        <f t="shared" ref="AH154" si="249">M154/$M$156</f>
        <v>2.5316455696202528E-2</v>
      </c>
      <c r="AI154" s="95"/>
      <c r="AJ154" s="95">
        <f t="shared" ref="AJ154" si="250">O154/$O$156</f>
        <v>1.6194331983805668E-2</v>
      </c>
      <c r="AK154" s="95"/>
      <c r="AL154" s="95">
        <f t="shared" ref="AL154" si="251">Q154/$Q$156</f>
        <v>7.5187969924812026E-3</v>
      </c>
      <c r="AM154" s="95"/>
      <c r="AN154" s="95">
        <f t="shared" ref="AN154" si="252">S154/$S$156</f>
        <v>2.8571428571428571E-2</v>
      </c>
      <c r="AO154" s="95"/>
      <c r="AP154" s="94">
        <f t="shared" ref="AP154" si="253">SUM(Z154:AO155)</f>
        <v>0.1982500468306243</v>
      </c>
      <c r="AQ154" s="94"/>
      <c r="AR154" s="94">
        <f t="shared" ref="AR154" si="254">AP154/$AP$156</f>
        <v>2.4781255853828038E-2</v>
      </c>
      <c r="AS154" s="94"/>
      <c r="AT154" s="94">
        <f>AR154*S156</f>
        <v>0.86734395488398131</v>
      </c>
      <c r="AU154" s="94"/>
      <c r="LS154" s="46"/>
      <c r="LT154" s="46"/>
      <c r="LU154" s="46"/>
      <c r="LV154" s="46"/>
      <c r="LW154" s="46"/>
      <c r="LX154" s="46"/>
      <c r="LY154" s="46"/>
      <c r="LZ154" s="46"/>
      <c r="MA154" s="46"/>
      <c r="MB154" s="46"/>
      <c r="MC154" s="46"/>
      <c r="MD154" s="46"/>
      <c r="ME154" s="46"/>
      <c r="MF154" s="46"/>
      <c r="MG154" s="46"/>
      <c r="MH154" s="46"/>
      <c r="MI154" s="46"/>
      <c r="MJ154" s="46"/>
      <c r="MK154" s="46"/>
      <c r="ML154" s="46"/>
      <c r="MM154" s="46"/>
      <c r="MN154" s="46"/>
      <c r="MO154" s="46"/>
      <c r="MP154" s="46"/>
      <c r="MQ154" s="46"/>
      <c r="MR154" s="46"/>
      <c r="MS154" s="46"/>
      <c r="MT154" s="46"/>
      <c r="MU154" s="46"/>
      <c r="MV154" s="46"/>
      <c r="MW154" s="46"/>
      <c r="MX154" s="46"/>
      <c r="MY154" s="46"/>
      <c r="MZ154" s="46"/>
      <c r="NA154" s="46"/>
      <c r="NB154" s="46"/>
      <c r="NC154" s="46"/>
      <c r="ND154" s="46"/>
      <c r="NE154" s="46"/>
      <c r="NF154" s="46"/>
      <c r="NG154" s="46"/>
    </row>
    <row r="155" spans="3:371" ht="15" customHeight="1" x14ac:dyDescent="0.35">
      <c r="C155" s="60"/>
      <c r="D155" s="60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7"/>
      <c r="T155" s="87"/>
      <c r="X155" s="60"/>
      <c r="Y155" s="60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4"/>
      <c r="AQ155" s="94"/>
      <c r="AR155" s="94"/>
      <c r="AS155" s="94"/>
      <c r="AT155" s="94"/>
      <c r="AU155" s="94"/>
      <c r="LS155" s="46"/>
      <c r="LT155" s="46"/>
      <c r="LU155" s="46"/>
      <c r="LV155" s="46"/>
      <c r="LW155" s="46"/>
      <c r="LX155" s="46"/>
      <c r="LY155" s="46"/>
      <c r="LZ155" s="46"/>
      <c r="MA155" s="46"/>
      <c r="MB155" s="46"/>
      <c r="MC155" s="46"/>
      <c r="MD155" s="46"/>
      <c r="ME155" s="46"/>
      <c r="MF155" s="46"/>
      <c r="MG155" s="46"/>
      <c r="MH155" s="46"/>
      <c r="MI155" s="46"/>
      <c r="MJ155" s="46"/>
      <c r="MK155" s="46"/>
      <c r="ML155" s="46"/>
      <c r="MM155" s="46"/>
      <c r="MN155" s="46"/>
      <c r="MO155" s="46"/>
      <c r="MP155" s="46"/>
      <c r="MQ155" s="46"/>
      <c r="MR155" s="46"/>
      <c r="MS155" s="46"/>
      <c r="MT155" s="46"/>
      <c r="MU155" s="46"/>
      <c r="MV155" s="46"/>
      <c r="MW155" s="46"/>
      <c r="MX155" s="46"/>
      <c r="MY155" s="46"/>
      <c r="MZ155" s="46"/>
      <c r="NA155" s="46"/>
      <c r="NB155" s="46"/>
      <c r="NC155" s="46"/>
      <c r="ND155" s="46"/>
      <c r="NE155" s="46"/>
      <c r="NF155" s="46"/>
      <c r="NG155" s="46"/>
    </row>
    <row r="156" spans="3:371" x14ac:dyDescent="0.35">
      <c r="C156" s="60" t="s">
        <v>121</v>
      </c>
      <c r="D156" s="60"/>
      <c r="E156" s="87">
        <f>SUM(E140:F155)</f>
        <v>2.5194444444444448</v>
      </c>
      <c r="F156" s="87"/>
      <c r="G156" s="87">
        <f t="shared" ref="G156" si="255">SUM(G140:H155)</f>
        <v>7.666666666666667</v>
      </c>
      <c r="H156" s="87"/>
      <c r="I156" s="87">
        <f t="shared" ref="I156" si="256">SUM(I140:J155)</f>
        <v>11.533333333333333</v>
      </c>
      <c r="J156" s="87"/>
      <c r="K156" s="87">
        <f t="shared" ref="K156" si="257">SUM(K140:L155)</f>
        <v>12.866666666666667</v>
      </c>
      <c r="L156" s="87"/>
      <c r="M156" s="87">
        <f t="shared" ref="M156" si="258">SUM(M140:N155)</f>
        <v>6.5833333333333339</v>
      </c>
      <c r="N156" s="87"/>
      <c r="O156" s="87">
        <f t="shared" ref="O156" si="259">SUM(O140:P155)</f>
        <v>20.583333333333332</v>
      </c>
      <c r="P156" s="87"/>
      <c r="Q156" s="87">
        <f t="shared" ref="Q156" si="260">SUM(Q140:R155)</f>
        <v>33.25</v>
      </c>
      <c r="R156" s="87"/>
      <c r="S156" s="87">
        <f t="shared" ref="S156" si="261">SUM(S140:T155)</f>
        <v>35</v>
      </c>
      <c r="T156" s="87"/>
      <c r="X156" s="60" t="s">
        <v>121</v>
      </c>
      <c r="Y156" s="60"/>
      <c r="Z156" s="87">
        <f>SUM(Z140:AA155)</f>
        <v>0.99999999999999978</v>
      </c>
      <c r="AA156" s="87"/>
      <c r="AB156" s="87">
        <f t="shared" ref="AB156" si="262">SUM(AB140:AC155)</f>
        <v>0.99999999999999989</v>
      </c>
      <c r="AC156" s="87"/>
      <c r="AD156" s="87">
        <f t="shared" ref="AD156" si="263">SUM(AD140:AE155)</f>
        <v>1</v>
      </c>
      <c r="AE156" s="87"/>
      <c r="AF156" s="87">
        <f t="shared" ref="AF156" si="264">SUM(AF140:AG155)</f>
        <v>0.99999999999999989</v>
      </c>
      <c r="AG156" s="87"/>
      <c r="AH156" s="87">
        <f t="shared" ref="AH156" si="265">SUM(AH140:AI155)</f>
        <v>0.99999999999999978</v>
      </c>
      <c r="AI156" s="87"/>
      <c r="AJ156" s="87">
        <f t="shared" ref="AJ156" si="266">SUM(AJ140:AK155)</f>
        <v>1</v>
      </c>
      <c r="AK156" s="87"/>
      <c r="AL156" s="87">
        <f t="shared" ref="AL156" si="267">SUM(AL140:AM155)</f>
        <v>1</v>
      </c>
      <c r="AM156" s="87"/>
      <c r="AN156" s="87">
        <f t="shared" ref="AN156" si="268">SUM(AN140:AO155)</f>
        <v>1</v>
      </c>
      <c r="AO156" s="87"/>
      <c r="AP156" s="87">
        <f>SUM(AP140:AQ155)</f>
        <v>8</v>
      </c>
      <c r="AQ156" s="87"/>
      <c r="AR156" s="87">
        <f>SUM(AR140:AS155)</f>
        <v>1</v>
      </c>
      <c r="AS156" s="87"/>
      <c r="AT156" s="94">
        <f>SUM(AT140:AU155)</f>
        <v>8.9233100730618826</v>
      </c>
      <c r="AU156" s="94"/>
      <c r="LS156" s="46"/>
      <c r="LT156" s="46"/>
      <c r="LU156" s="46"/>
      <c r="LV156" s="46"/>
      <c r="LW156" s="46"/>
      <c r="LX156" s="46"/>
      <c r="LY156" s="46"/>
      <c r="LZ156" s="46"/>
      <c r="MA156" s="46"/>
      <c r="MB156" s="46"/>
      <c r="MC156" s="46"/>
      <c r="MD156" s="46"/>
      <c r="ME156" s="46"/>
      <c r="MF156" s="46"/>
      <c r="MG156" s="46"/>
      <c r="MH156" s="46"/>
      <c r="MI156" s="46"/>
      <c r="MJ156" s="46"/>
      <c r="MK156" s="46"/>
      <c r="ML156" s="46"/>
      <c r="MM156" s="46"/>
      <c r="MN156" s="46"/>
      <c r="MO156" s="46"/>
      <c r="MP156" s="46"/>
      <c r="MQ156" s="46"/>
      <c r="MR156" s="46"/>
      <c r="MS156" s="46"/>
      <c r="MT156" s="46"/>
      <c r="MU156" s="46"/>
      <c r="MV156" s="46"/>
      <c r="MW156" s="46"/>
      <c r="MX156" s="46"/>
      <c r="MY156" s="46"/>
      <c r="MZ156" s="46"/>
      <c r="NA156" s="46"/>
      <c r="NB156" s="46"/>
      <c r="NC156" s="46"/>
      <c r="ND156" s="46"/>
      <c r="NE156" s="46"/>
      <c r="NF156" s="46"/>
      <c r="NG156" s="46"/>
    </row>
    <row r="157" spans="3:371" ht="15" customHeight="1" x14ac:dyDescent="0.35">
      <c r="C157" s="60"/>
      <c r="D157" s="60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X157" s="60"/>
      <c r="Y157" s="60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94"/>
      <c r="AU157" s="94"/>
      <c r="LS157" s="46"/>
      <c r="LT157" s="46"/>
      <c r="LU157" s="46"/>
      <c r="LV157" s="46"/>
      <c r="LW157" s="46"/>
      <c r="LX157" s="46"/>
      <c r="LY157" s="46"/>
      <c r="LZ157" s="46"/>
      <c r="MA157" s="46"/>
      <c r="MB157" s="46"/>
      <c r="MC157" s="46"/>
      <c r="MD157" s="46"/>
      <c r="ME157" s="46"/>
      <c r="MF157" s="46"/>
      <c r="MG157" s="46"/>
      <c r="MH157" s="46"/>
      <c r="MI157" s="46"/>
      <c r="MJ157" s="46"/>
      <c r="MK157" s="46"/>
      <c r="ML157" s="46"/>
      <c r="MM157" s="46"/>
      <c r="MN157" s="46"/>
      <c r="MO157" s="46"/>
      <c r="MP157" s="46"/>
      <c r="MQ157" s="46"/>
      <c r="MR157" s="46"/>
      <c r="MS157" s="46"/>
      <c r="MT157" s="46"/>
      <c r="MU157" s="46"/>
      <c r="MV157" s="46"/>
      <c r="MW157" s="46"/>
      <c r="MX157" s="46"/>
      <c r="MY157" s="46"/>
      <c r="MZ157" s="46"/>
      <c r="NA157" s="46"/>
      <c r="NB157" s="46"/>
      <c r="NC157" s="46"/>
      <c r="ND157" s="46"/>
      <c r="NE157" s="46"/>
      <c r="NF157" s="46"/>
      <c r="NG157" s="46"/>
    </row>
    <row r="161" spans="3:329" x14ac:dyDescent="0.35"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  <c r="AU161" s="97"/>
      <c r="AV161" s="97"/>
      <c r="AW161" s="97"/>
      <c r="AX161" s="97"/>
      <c r="AY161" s="97"/>
      <c r="AZ161" s="97"/>
      <c r="BA161" s="97"/>
      <c r="BB161" s="97"/>
      <c r="BC161" s="97"/>
      <c r="BD161" s="97"/>
      <c r="BE161" s="97"/>
      <c r="BF161" s="97"/>
      <c r="BG161" s="97"/>
      <c r="BH161" s="97"/>
      <c r="BI161" s="97"/>
      <c r="BJ161" s="97"/>
      <c r="BK161" s="97"/>
      <c r="BL161" s="97"/>
      <c r="BM161" s="97"/>
      <c r="BN161" s="97"/>
      <c r="BO161" s="97"/>
      <c r="BP161" s="97"/>
      <c r="BQ161" s="97"/>
      <c r="BR161" s="97"/>
      <c r="BS161" s="97"/>
      <c r="BT161" s="97"/>
      <c r="BU161" s="97"/>
      <c r="BV161" s="97"/>
      <c r="BW161" s="97"/>
      <c r="BX161" s="97"/>
      <c r="BY161" s="97"/>
      <c r="BZ161" s="97"/>
      <c r="CA161" s="97"/>
      <c r="CB161" s="97"/>
      <c r="CC161" s="97"/>
      <c r="CD161" s="97"/>
      <c r="CE161" s="97"/>
      <c r="CF161" s="97"/>
      <c r="CG161" s="97"/>
      <c r="CH161" s="97"/>
      <c r="CI161" s="97"/>
      <c r="CJ161" s="97"/>
      <c r="CK161" s="97"/>
      <c r="CL161" s="97"/>
      <c r="CM161" s="97"/>
      <c r="CN161" s="97"/>
      <c r="CO161" s="97"/>
      <c r="CP161" s="97"/>
      <c r="CQ161" s="97"/>
      <c r="CR161" s="97"/>
      <c r="CS161" s="97"/>
      <c r="CT161" s="97"/>
      <c r="CU161" s="97"/>
      <c r="CV161" s="97"/>
      <c r="CW161" s="97"/>
      <c r="CX161" s="97"/>
      <c r="CY161" s="97"/>
      <c r="CZ161" s="97"/>
      <c r="DA161" s="97"/>
      <c r="DB161" s="97"/>
      <c r="DC161" s="97"/>
      <c r="DD161" s="97"/>
      <c r="DE161" s="97"/>
      <c r="DF161" s="97"/>
      <c r="DG161" s="97"/>
      <c r="DH161" s="97"/>
      <c r="DI161" s="97"/>
      <c r="DJ161" s="97"/>
      <c r="DK161" s="97"/>
      <c r="DL161" s="97"/>
      <c r="DM161" s="97"/>
      <c r="DN161" s="97"/>
      <c r="DO161" s="97"/>
      <c r="DP161" s="97"/>
      <c r="DQ161" s="97"/>
      <c r="DR161" s="97"/>
      <c r="DS161" s="97"/>
      <c r="DT161" s="97"/>
      <c r="DU161" s="97"/>
      <c r="DV161" s="97"/>
      <c r="DW161" s="97"/>
      <c r="DX161" s="97"/>
      <c r="DY161" s="97"/>
      <c r="DZ161" s="97"/>
      <c r="EA161" s="97"/>
      <c r="EB161" s="97"/>
      <c r="EC161" s="97"/>
      <c r="ED161" s="97"/>
      <c r="EE161" s="97"/>
      <c r="EF161" s="97"/>
      <c r="EG161" s="97"/>
      <c r="EH161" s="97"/>
      <c r="EI161" s="97"/>
      <c r="EJ161" s="97"/>
      <c r="EK161" s="97"/>
      <c r="EL161" s="97"/>
      <c r="EM161" s="97"/>
      <c r="EN161" s="97"/>
      <c r="EO161" s="97"/>
      <c r="EP161" s="97"/>
      <c r="EQ161" s="97"/>
      <c r="ER161" s="97"/>
      <c r="ES161" s="97"/>
      <c r="ET161" s="97"/>
      <c r="EU161" s="97"/>
      <c r="EV161" s="97"/>
      <c r="EW161" s="97"/>
      <c r="EX161" s="97"/>
      <c r="EY161" s="97"/>
      <c r="EZ161" s="97"/>
      <c r="FA161" s="97"/>
      <c r="FB161" s="97"/>
      <c r="FC161" s="97"/>
      <c r="FD161" s="97"/>
      <c r="FE161" s="97"/>
      <c r="FF161" s="97"/>
      <c r="FG161" s="97"/>
      <c r="FH161" s="97"/>
      <c r="FI161" s="97"/>
      <c r="FJ161" s="97"/>
      <c r="FK161" s="97"/>
      <c r="FL161" s="97"/>
      <c r="FM161" s="97"/>
      <c r="FN161" s="97"/>
      <c r="FO161" s="97"/>
      <c r="FP161" s="97"/>
      <c r="FQ161" s="97"/>
      <c r="FR161" s="97"/>
      <c r="FS161" s="97"/>
      <c r="FT161" s="97"/>
      <c r="FU161" s="97"/>
      <c r="FV161" s="97"/>
      <c r="FW161" s="97"/>
      <c r="FX161" s="97"/>
      <c r="FY161" s="97"/>
      <c r="FZ161" s="97"/>
      <c r="GA161" s="97"/>
      <c r="GB161" s="97"/>
      <c r="GC161" s="97"/>
      <c r="GD161" s="97"/>
      <c r="GE161" s="97"/>
      <c r="GF161" s="97"/>
      <c r="GG161" s="97"/>
      <c r="GH161" s="97"/>
      <c r="GI161" s="97"/>
      <c r="GJ161" s="97"/>
      <c r="GK161" s="97"/>
      <c r="GL161" s="97"/>
      <c r="GM161" s="97"/>
      <c r="GN161" s="97"/>
      <c r="GO161" s="97"/>
      <c r="GP161" s="97"/>
      <c r="GQ161" s="97"/>
      <c r="GR161" s="97"/>
      <c r="GS161" s="97"/>
      <c r="GT161" s="97"/>
      <c r="GU161" s="97"/>
      <c r="GV161" s="97"/>
      <c r="GW161" s="97"/>
      <c r="GX161" s="97"/>
      <c r="GY161" s="97"/>
      <c r="GZ161" s="97"/>
      <c r="HA161" s="97"/>
      <c r="HB161" s="97"/>
      <c r="HC161" s="97"/>
      <c r="HD161" s="97"/>
      <c r="HE161" s="97"/>
      <c r="HF161" s="97"/>
      <c r="HG161" s="97"/>
      <c r="HH161" s="97"/>
      <c r="HI161" s="97"/>
      <c r="HJ161" s="97"/>
      <c r="HK161" s="97"/>
      <c r="HL161" s="97"/>
      <c r="HM161" s="97"/>
      <c r="HN161" s="97"/>
      <c r="HO161" s="97"/>
      <c r="HP161" s="97"/>
      <c r="HQ161" s="97"/>
      <c r="HR161" s="97"/>
      <c r="HS161" s="97"/>
      <c r="HT161" s="97"/>
      <c r="HU161" s="97"/>
      <c r="HV161" s="97"/>
      <c r="HW161" s="97"/>
      <c r="HX161" s="97"/>
      <c r="HY161" s="97"/>
      <c r="HZ161" s="97"/>
      <c r="IA161" s="97"/>
      <c r="IB161" s="97"/>
      <c r="IC161" s="97"/>
      <c r="ID161" s="97"/>
      <c r="IE161" s="97"/>
      <c r="IF161" s="97"/>
      <c r="IG161" s="97"/>
      <c r="IH161" s="97"/>
      <c r="II161" s="97"/>
      <c r="IJ161" s="97"/>
      <c r="IK161" s="97"/>
      <c r="IL161" s="97"/>
      <c r="IM161" s="97"/>
      <c r="IN161" s="97"/>
      <c r="IO161" s="97"/>
      <c r="IP161" s="97"/>
      <c r="IQ161" s="97"/>
      <c r="IR161" s="97"/>
      <c r="IS161" s="97"/>
      <c r="IT161" s="97"/>
      <c r="IU161" s="97"/>
      <c r="IV161" s="97"/>
      <c r="IW161" s="97"/>
      <c r="IX161" s="97"/>
      <c r="IY161" s="97"/>
      <c r="IZ161" s="97"/>
      <c r="JA161" s="97"/>
      <c r="JB161" s="97"/>
      <c r="JC161" s="97"/>
      <c r="JD161" s="97"/>
      <c r="JE161" s="97"/>
      <c r="JF161" s="97"/>
      <c r="JG161" s="97"/>
      <c r="JH161" s="97"/>
      <c r="JI161" s="97"/>
      <c r="JJ161" s="97"/>
      <c r="JK161" s="97"/>
      <c r="JL161" s="97"/>
      <c r="JM161" s="97"/>
      <c r="JN161" s="97"/>
      <c r="JO161" s="97"/>
      <c r="JP161" s="97"/>
      <c r="JQ161" s="97"/>
      <c r="JR161" s="97"/>
      <c r="JS161" s="97"/>
      <c r="JT161" s="97"/>
      <c r="JU161" s="97"/>
      <c r="JV161" s="97"/>
      <c r="JW161" s="97"/>
      <c r="JX161" s="97"/>
      <c r="JY161" s="97"/>
      <c r="JZ161" s="97"/>
      <c r="KA161" s="97"/>
      <c r="KB161" s="97"/>
      <c r="KC161" s="97"/>
      <c r="KD161" s="97"/>
      <c r="KE161" s="97"/>
      <c r="KF161" s="97"/>
      <c r="KG161" s="97"/>
      <c r="KH161" s="97"/>
      <c r="KI161" s="97"/>
      <c r="KJ161" s="97"/>
      <c r="KK161" s="97"/>
      <c r="KL161" s="97"/>
      <c r="KM161" s="97"/>
      <c r="KN161" s="97"/>
      <c r="KO161" s="97"/>
      <c r="KP161" s="97"/>
      <c r="KQ161" s="97"/>
      <c r="KR161" s="97"/>
      <c r="KS161" s="97"/>
      <c r="KT161" s="97"/>
      <c r="KU161" s="97"/>
      <c r="KV161" s="97"/>
      <c r="KW161" s="97"/>
      <c r="KX161" s="97"/>
      <c r="KY161" s="97"/>
      <c r="KZ161" s="97"/>
      <c r="LA161" s="97"/>
      <c r="LB161" s="97"/>
      <c r="LC161" s="97"/>
      <c r="LD161" s="97"/>
      <c r="LE161" s="97"/>
      <c r="LF161" s="97"/>
      <c r="LG161" s="97"/>
      <c r="LH161" s="97"/>
      <c r="LI161" s="97"/>
      <c r="LJ161" s="97"/>
      <c r="LK161" s="97"/>
      <c r="LL161" s="97"/>
      <c r="LM161" s="97"/>
      <c r="LN161" s="97"/>
      <c r="LO161" s="97"/>
      <c r="LP161" s="97"/>
      <c r="LQ161" s="97"/>
    </row>
    <row r="165" spans="3:329" ht="15" customHeight="1" x14ac:dyDescent="0.35">
      <c r="C165" s="60"/>
      <c r="D165" s="60"/>
      <c r="E165" s="60" t="s">
        <v>92</v>
      </c>
      <c r="F165" s="60"/>
      <c r="G165" s="60" t="s">
        <v>25</v>
      </c>
      <c r="H165" s="60"/>
      <c r="I165" s="60" t="s">
        <v>26</v>
      </c>
      <c r="J165" s="60"/>
      <c r="X165" s="60"/>
      <c r="Y165" s="60"/>
      <c r="Z165" s="60" t="s">
        <v>92</v>
      </c>
      <c r="AA165" s="60"/>
      <c r="AB165" s="60" t="s">
        <v>25</v>
      </c>
      <c r="AC165" s="60"/>
      <c r="AD165" s="60" t="s">
        <v>26</v>
      </c>
      <c r="AE165" s="60"/>
      <c r="AS165" s="60"/>
      <c r="AT165" s="60"/>
      <c r="AU165" s="60" t="s">
        <v>92</v>
      </c>
      <c r="AV165" s="60"/>
      <c r="AW165" s="60" t="s">
        <v>25</v>
      </c>
      <c r="AX165" s="60"/>
      <c r="AY165" s="60" t="s">
        <v>26</v>
      </c>
      <c r="AZ165" s="60"/>
      <c r="BN165" s="60"/>
      <c r="BO165" s="60"/>
      <c r="BP165" s="60" t="s">
        <v>92</v>
      </c>
      <c r="BQ165" s="60"/>
      <c r="BR165" s="60" t="s">
        <v>25</v>
      </c>
      <c r="BS165" s="60"/>
      <c r="BT165" s="60" t="s">
        <v>26</v>
      </c>
      <c r="BU165" s="60"/>
      <c r="CK165" s="60"/>
      <c r="CL165" s="60"/>
      <c r="CM165" s="60" t="s">
        <v>92</v>
      </c>
      <c r="CN165" s="60"/>
      <c r="CO165" s="60" t="s">
        <v>25</v>
      </c>
      <c r="CP165" s="60"/>
      <c r="CQ165" s="60" t="s">
        <v>26</v>
      </c>
      <c r="CR165" s="60"/>
      <c r="DF165" s="60"/>
      <c r="DG165" s="60"/>
      <c r="DH165" s="60" t="s">
        <v>92</v>
      </c>
      <c r="DI165" s="60"/>
      <c r="DJ165" s="60" t="s">
        <v>25</v>
      </c>
      <c r="DK165" s="60"/>
      <c r="DL165" s="60" t="s">
        <v>26</v>
      </c>
      <c r="DM165" s="60"/>
      <c r="EC165" s="60"/>
      <c r="ED165" s="60"/>
      <c r="EE165" s="60" t="s">
        <v>92</v>
      </c>
      <c r="EF165" s="60"/>
      <c r="EG165" s="60" t="s">
        <v>25</v>
      </c>
      <c r="EH165" s="60"/>
      <c r="EI165" s="60" t="s">
        <v>26</v>
      </c>
      <c r="EJ165" s="60"/>
      <c r="EY165" s="60"/>
      <c r="EZ165" s="60"/>
      <c r="FA165" s="60" t="s">
        <v>92</v>
      </c>
      <c r="FB165" s="60"/>
      <c r="FC165" s="60" t="s">
        <v>25</v>
      </c>
      <c r="FD165" s="60"/>
      <c r="FE165" s="60" t="s">
        <v>26</v>
      </c>
      <c r="FF165" s="60"/>
      <c r="FV165" s="60"/>
      <c r="FW165" s="60"/>
      <c r="FX165" s="60" t="s">
        <v>92</v>
      </c>
      <c r="FY165" s="60"/>
      <c r="FZ165" s="60" t="s">
        <v>25</v>
      </c>
      <c r="GA165" s="60"/>
      <c r="GB165" s="60" t="s">
        <v>26</v>
      </c>
      <c r="GC165" s="60"/>
      <c r="GR165" s="60"/>
      <c r="GS165" s="60"/>
      <c r="GT165" s="60" t="s">
        <v>92</v>
      </c>
      <c r="GU165" s="60"/>
      <c r="GV165" s="60" t="s">
        <v>25</v>
      </c>
      <c r="GW165" s="60"/>
      <c r="GX165" s="60" t="s">
        <v>26</v>
      </c>
      <c r="GY165" s="60"/>
      <c r="HN165" s="60"/>
      <c r="HO165" s="60"/>
      <c r="HP165" s="60" t="s">
        <v>92</v>
      </c>
      <c r="HQ165" s="60"/>
      <c r="HR165" s="60" t="s">
        <v>25</v>
      </c>
      <c r="HS165" s="60"/>
      <c r="HT165" s="60" t="s">
        <v>26</v>
      </c>
      <c r="HU165" s="60"/>
      <c r="IK165" s="60"/>
      <c r="IL165" s="60"/>
      <c r="IM165" s="60" t="s">
        <v>92</v>
      </c>
      <c r="IN165" s="60"/>
      <c r="IO165" s="60" t="s">
        <v>25</v>
      </c>
      <c r="IP165" s="60"/>
      <c r="IQ165" s="60" t="s">
        <v>26</v>
      </c>
      <c r="IR165" s="60"/>
      <c r="JI165" s="60"/>
      <c r="JJ165" s="60"/>
      <c r="JK165" s="60" t="s">
        <v>92</v>
      </c>
      <c r="JL165" s="60"/>
      <c r="JM165" s="60" t="s">
        <v>25</v>
      </c>
      <c r="JN165" s="60"/>
      <c r="JO165" s="60" t="s">
        <v>26</v>
      </c>
      <c r="JP165" s="60"/>
      <c r="KF165" s="60"/>
      <c r="KG165" s="60"/>
      <c r="KH165" s="60" t="s">
        <v>92</v>
      </c>
      <c r="KI165" s="60"/>
      <c r="KJ165" s="60" t="s">
        <v>25</v>
      </c>
      <c r="KK165" s="60"/>
      <c r="KL165" s="60" t="s">
        <v>26</v>
      </c>
      <c r="KM165" s="60"/>
      <c r="LA165" s="46"/>
      <c r="LB165" s="46"/>
      <c r="LC165" s="46"/>
      <c r="LD165" s="46"/>
      <c r="LE165" s="46"/>
      <c r="LF165" s="46"/>
      <c r="LG165" s="46"/>
      <c r="LH165" s="46"/>
    </row>
    <row r="166" spans="3:329" ht="15" customHeight="1" x14ac:dyDescent="0.35">
      <c r="C166" s="60"/>
      <c r="D166" s="60"/>
      <c r="E166" s="60"/>
      <c r="F166" s="60"/>
      <c r="G166" s="60"/>
      <c r="H166" s="60"/>
      <c r="I166" s="60"/>
      <c r="J166" s="60"/>
      <c r="X166" s="60"/>
      <c r="Y166" s="60"/>
      <c r="Z166" s="60"/>
      <c r="AA166" s="60"/>
      <c r="AB166" s="60"/>
      <c r="AC166" s="60"/>
      <c r="AD166" s="60"/>
      <c r="AE166" s="60"/>
      <c r="AS166" s="60"/>
      <c r="AT166" s="60"/>
      <c r="AU166" s="60"/>
      <c r="AV166" s="60"/>
      <c r="AW166" s="60"/>
      <c r="AX166" s="60"/>
      <c r="AY166" s="60"/>
      <c r="AZ166" s="60"/>
      <c r="BN166" s="60"/>
      <c r="BO166" s="60"/>
      <c r="BP166" s="60"/>
      <c r="BQ166" s="60"/>
      <c r="BR166" s="60"/>
      <c r="BS166" s="60"/>
      <c r="BT166" s="60"/>
      <c r="BU166" s="60"/>
      <c r="CK166" s="60"/>
      <c r="CL166" s="60"/>
      <c r="CM166" s="60"/>
      <c r="CN166" s="60"/>
      <c r="CO166" s="60"/>
      <c r="CP166" s="60"/>
      <c r="CQ166" s="60"/>
      <c r="CR166" s="60"/>
      <c r="DF166" s="60"/>
      <c r="DG166" s="60"/>
      <c r="DH166" s="60"/>
      <c r="DI166" s="60"/>
      <c r="DJ166" s="60"/>
      <c r="DK166" s="60"/>
      <c r="DL166" s="60"/>
      <c r="DM166" s="60"/>
      <c r="EC166" s="60"/>
      <c r="ED166" s="60"/>
      <c r="EE166" s="60"/>
      <c r="EF166" s="60"/>
      <c r="EG166" s="60"/>
      <c r="EH166" s="60"/>
      <c r="EI166" s="60"/>
      <c r="EJ166" s="60"/>
      <c r="EY166" s="60"/>
      <c r="EZ166" s="60"/>
      <c r="FA166" s="60"/>
      <c r="FB166" s="60"/>
      <c r="FC166" s="60"/>
      <c r="FD166" s="60"/>
      <c r="FE166" s="60"/>
      <c r="FF166" s="60"/>
      <c r="FV166" s="60"/>
      <c r="FW166" s="60"/>
      <c r="FX166" s="60"/>
      <c r="FY166" s="60"/>
      <c r="FZ166" s="60"/>
      <c r="GA166" s="60"/>
      <c r="GB166" s="60"/>
      <c r="GC166" s="60"/>
      <c r="GR166" s="60"/>
      <c r="GS166" s="60"/>
      <c r="GT166" s="60"/>
      <c r="GU166" s="60"/>
      <c r="GV166" s="60"/>
      <c r="GW166" s="60"/>
      <c r="GX166" s="60"/>
      <c r="GY166" s="60"/>
      <c r="HN166" s="60"/>
      <c r="HO166" s="60"/>
      <c r="HP166" s="60"/>
      <c r="HQ166" s="60"/>
      <c r="HR166" s="60"/>
      <c r="HS166" s="60"/>
      <c r="HT166" s="60"/>
      <c r="HU166" s="60"/>
      <c r="IK166" s="60"/>
      <c r="IL166" s="60"/>
      <c r="IM166" s="60"/>
      <c r="IN166" s="60"/>
      <c r="IO166" s="60"/>
      <c r="IP166" s="60"/>
      <c r="IQ166" s="60"/>
      <c r="IR166" s="60"/>
      <c r="JI166" s="60"/>
      <c r="JJ166" s="60"/>
      <c r="JK166" s="60"/>
      <c r="JL166" s="60"/>
      <c r="JM166" s="60"/>
      <c r="JN166" s="60"/>
      <c r="JO166" s="60"/>
      <c r="JP166" s="60"/>
      <c r="KF166" s="60"/>
      <c r="KG166" s="60"/>
      <c r="KH166" s="60"/>
      <c r="KI166" s="60"/>
      <c r="KJ166" s="60"/>
      <c r="KK166" s="60"/>
      <c r="KL166" s="60"/>
      <c r="KM166" s="60"/>
      <c r="LA166" s="46"/>
      <c r="LB166" s="46"/>
      <c r="LC166" s="46"/>
      <c r="LD166" s="46"/>
      <c r="LE166" s="46"/>
      <c r="LF166" s="46"/>
      <c r="LG166" s="46"/>
      <c r="LH166" s="46"/>
    </row>
    <row r="167" spans="3:329" ht="15" customHeight="1" x14ac:dyDescent="0.35">
      <c r="C167" s="60" t="s">
        <v>92</v>
      </c>
      <c r="D167" s="60"/>
      <c r="E167" s="87">
        <v>1</v>
      </c>
      <c r="F167" s="87"/>
      <c r="G167" s="93">
        <f>1/9</f>
        <v>0.1111111111111111</v>
      </c>
      <c r="H167" s="93"/>
      <c r="I167" s="103">
        <f>1/9</f>
        <v>0.1111111111111111</v>
      </c>
      <c r="J167" s="104"/>
      <c r="X167" s="60" t="s">
        <v>92</v>
      </c>
      <c r="Y167" s="60"/>
      <c r="Z167" s="62">
        <v>1</v>
      </c>
      <c r="AA167" s="62"/>
      <c r="AB167" s="60">
        <v>7</v>
      </c>
      <c r="AC167" s="60"/>
      <c r="AD167" s="63">
        <f>1/7</f>
        <v>0.14285714285714285</v>
      </c>
      <c r="AE167" s="64"/>
      <c r="AS167" s="60" t="s">
        <v>92</v>
      </c>
      <c r="AT167" s="60"/>
      <c r="AU167" s="62">
        <v>1</v>
      </c>
      <c r="AV167" s="62"/>
      <c r="AW167" s="60">
        <f>1/9</f>
        <v>0.1111111111111111</v>
      </c>
      <c r="AX167" s="60"/>
      <c r="AY167" s="63">
        <v>9</v>
      </c>
      <c r="AZ167" s="64"/>
      <c r="BN167" s="60" t="s">
        <v>92</v>
      </c>
      <c r="BO167" s="60"/>
      <c r="BP167" s="62">
        <v>1</v>
      </c>
      <c r="BQ167" s="62"/>
      <c r="BR167" s="60">
        <f>1/9</f>
        <v>0.1111111111111111</v>
      </c>
      <c r="BS167" s="60"/>
      <c r="BT167" s="63">
        <v>9</v>
      </c>
      <c r="BU167" s="64"/>
      <c r="CK167" s="60" t="s">
        <v>92</v>
      </c>
      <c r="CL167" s="60"/>
      <c r="CM167" s="62">
        <v>1</v>
      </c>
      <c r="CN167" s="62"/>
      <c r="CO167" s="60">
        <v>7</v>
      </c>
      <c r="CP167" s="60"/>
      <c r="CQ167" s="63">
        <v>9</v>
      </c>
      <c r="CR167" s="64"/>
      <c r="DF167" s="60" t="s">
        <v>92</v>
      </c>
      <c r="DG167" s="60"/>
      <c r="DH167" s="62">
        <v>1</v>
      </c>
      <c r="DI167" s="62"/>
      <c r="DJ167" s="60">
        <v>7</v>
      </c>
      <c r="DK167" s="60"/>
      <c r="DL167" s="63">
        <f>1/9</f>
        <v>0.1111111111111111</v>
      </c>
      <c r="DM167" s="64"/>
      <c r="EC167" s="60" t="s">
        <v>92</v>
      </c>
      <c r="ED167" s="60"/>
      <c r="EE167" s="62">
        <v>1</v>
      </c>
      <c r="EF167" s="62"/>
      <c r="EG167" s="60">
        <f>1/8</f>
        <v>0.125</v>
      </c>
      <c r="EH167" s="60"/>
      <c r="EI167" s="63">
        <v>9</v>
      </c>
      <c r="EJ167" s="64"/>
      <c r="EY167" s="60" t="s">
        <v>92</v>
      </c>
      <c r="EZ167" s="60"/>
      <c r="FA167" s="62">
        <v>1</v>
      </c>
      <c r="FB167" s="62"/>
      <c r="FC167" s="60">
        <f>1/9</f>
        <v>0.1111111111111111</v>
      </c>
      <c r="FD167" s="60"/>
      <c r="FE167" s="63">
        <f>1/9</f>
        <v>0.1111111111111111</v>
      </c>
      <c r="FF167" s="64"/>
      <c r="FV167" s="60" t="s">
        <v>92</v>
      </c>
      <c r="FW167" s="60"/>
      <c r="FX167" s="62">
        <v>1</v>
      </c>
      <c r="FY167" s="62"/>
      <c r="FZ167" s="60">
        <v>9</v>
      </c>
      <c r="GA167" s="60"/>
      <c r="GB167" s="63">
        <v>9</v>
      </c>
      <c r="GC167" s="64"/>
      <c r="GR167" s="60" t="s">
        <v>92</v>
      </c>
      <c r="GS167" s="60"/>
      <c r="GT167" s="62">
        <v>1</v>
      </c>
      <c r="GU167" s="62"/>
      <c r="GV167" s="60">
        <v>7</v>
      </c>
      <c r="GW167" s="60"/>
      <c r="GX167" s="63">
        <f>1/9</f>
        <v>0.1111111111111111</v>
      </c>
      <c r="GY167" s="64"/>
      <c r="HN167" s="60" t="s">
        <v>92</v>
      </c>
      <c r="HO167" s="60"/>
      <c r="HP167" s="62">
        <v>1</v>
      </c>
      <c r="HQ167" s="62"/>
      <c r="HR167" s="60">
        <v>9</v>
      </c>
      <c r="HS167" s="60"/>
      <c r="HT167" s="63">
        <f>1/7</f>
        <v>0.14285714285714285</v>
      </c>
      <c r="HU167" s="64"/>
      <c r="IK167" s="60" t="s">
        <v>92</v>
      </c>
      <c r="IL167" s="60"/>
      <c r="IM167" s="62">
        <v>1</v>
      </c>
      <c r="IN167" s="62"/>
      <c r="IO167" s="60">
        <f>1/4</f>
        <v>0.25</v>
      </c>
      <c r="IP167" s="60"/>
      <c r="IQ167" s="63">
        <v>5</v>
      </c>
      <c r="IR167" s="64"/>
      <c r="JI167" s="60" t="s">
        <v>92</v>
      </c>
      <c r="JJ167" s="60"/>
      <c r="JK167" s="62">
        <v>1</v>
      </c>
      <c r="JL167" s="62"/>
      <c r="JM167" s="60">
        <v>7</v>
      </c>
      <c r="JN167" s="60"/>
      <c r="JO167" s="63">
        <v>9</v>
      </c>
      <c r="JP167" s="64"/>
      <c r="KF167" s="60" t="s">
        <v>92</v>
      </c>
      <c r="KG167" s="60"/>
      <c r="KH167" s="62">
        <v>1</v>
      </c>
      <c r="KI167" s="62"/>
      <c r="KJ167" s="60">
        <v>7</v>
      </c>
      <c r="KK167" s="60"/>
      <c r="KL167" s="63">
        <v>9</v>
      </c>
      <c r="KM167" s="64"/>
      <c r="LA167" s="46"/>
      <c r="LB167" s="46"/>
      <c r="LC167" s="46"/>
      <c r="LD167" s="46"/>
      <c r="LE167" s="46"/>
      <c r="LF167" s="46"/>
      <c r="LG167" s="46"/>
      <c r="LH167" s="46"/>
    </row>
    <row r="168" spans="3:329" ht="15" customHeight="1" x14ac:dyDescent="0.35">
      <c r="C168" s="60"/>
      <c r="D168" s="60"/>
      <c r="E168" s="87"/>
      <c r="F168" s="87"/>
      <c r="G168" s="93"/>
      <c r="H168" s="93"/>
      <c r="I168" s="105"/>
      <c r="J168" s="106"/>
      <c r="X168" s="60"/>
      <c r="Y168" s="60"/>
      <c r="Z168" s="62"/>
      <c r="AA168" s="62"/>
      <c r="AB168" s="60"/>
      <c r="AC168" s="60"/>
      <c r="AD168" s="65"/>
      <c r="AE168" s="66"/>
      <c r="AS168" s="60"/>
      <c r="AT168" s="60"/>
      <c r="AU168" s="62"/>
      <c r="AV168" s="62"/>
      <c r="AW168" s="60"/>
      <c r="AX168" s="60"/>
      <c r="AY168" s="65"/>
      <c r="AZ168" s="66"/>
      <c r="BN168" s="60"/>
      <c r="BO168" s="60"/>
      <c r="BP168" s="62"/>
      <c r="BQ168" s="62"/>
      <c r="BR168" s="60"/>
      <c r="BS168" s="60"/>
      <c r="BT168" s="65"/>
      <c r="BU168" s="66"/>
      <c r="CK168" s="60"/>
      <c r="CL168" s="60"/>
      <c r="CM168" s="62"/>
      <c r="CN168" s="62"/>
      <c r="CO168" s="60"/>
      <c r="CP168" s="60"/>
      <c r="CQ168" s="65"/>
      <c r="CR168" s="66"/>
      <c r="DF168" s="60"/>
      <c r="DG168" s="60"/>
      <c r="DH168" s="62"/>
      <c r="DI168" s="62"/>
      <c r="DJ168" s="60"/>
      <c r="DK168" s="60"/>
      <c r="DL168" s="65"/>
      <c r="DM168" s="66"/>
      <c r="EC168" s="60"/>
      <c r="ED168" s="60"/>
      <c r="EE168" s="62"/>
      <c r="EF168" s="62"/>
      <c r="EG168" s="60"/>
      <c r="EH168" s="60"/>
      <c r="EI168" s="65"/>
      <c r="EJ168" s="66"/>
      <c r="EY168" s="60"/>
      <c r="EZ168" s="60"/>
      <c r="FA168" s="62"/>
      <c r="FB168" s="62"/>
      <c r="FC168" s="60"/>
      <c r="FD168" s="60"/>
      <c r="FE168" s="65"/>
      <c r="FF168" s="66"/>
      <c r="FV168" s="60"/>
      <c r="FW168" s="60"/>
      <c r="FX168" s="62"/>
      <c r="FY168" s="62"/>
      <c r="FZ168" s="60"/>
      <c r="GA168" s="60"/>
      <c r="GB168" s="65"/>
      <c r="GC168" s="66"/>
      <c r="GR168" s="60"/>
      <c r="GS168" s="60"/>
      <c r="GT168" s="62"/>
      <c r="GU168" s="62"/>
      <c r="GV168" s="60"/>
      <c r="GW168" s="60"/>
      <c r="GX168" s="65"/>
      <c r="GY168" s="66"/>
      <c r="HN168" s="60"/>
      <c r="HO168" s="60"/>
      <c r="HP168" s="62"/>
      <c r="HQ168" s="62"/>
      <c r="HR168" s="60"/>
      <c r="HS168" s="60"/>
      <c r="HT168" s="65"/>
      <c r="HU168" s="66"/>
      <c r="IK168" s="60"/>
      <c r="IL168" s="60"/>
      <c r="IM168" s="62"/>
      <c r="IN168" s="62"/>
      <c r="IO168" s="60"/>
      <c r="IP168" s="60"/>
      <c r="IQ168" s="65"/>
      <c r="IR168" s="66"/>
      <c r="JI168" s="60"/>
      <c r="JJ168" s="60"/>
      <c r="JK168" s="62"/>
      <c r="JL168" s="62"/>
      <c r="JM168" s="60"/>
      <c r="JN168" s="60"/>
      <c r="JO168" s="65"/>
      <c r="JP168" s="66"/>
      <c r="KF168" s="60"/>
      <c r="KG168" s="60"/>
      <c r="KH168" s="62"/>
      <c r="KI168" s="62"/>
      <c r="KJ168" s="60"/>
      <c r="KK168" s="60"/>
      <c r="KL168" s="65"/>
      <c r="KM168" s="66"/>
      <c r="LA168" s="46"/>
      <c r="LB168" s="46"/>
      <c r="LC168" s="46"/>
      <c r="LD168" s="46"/>
      <c r="LE168" s="46"/>
      <c r="LF168" s="46"/>
      <c r="LG168" s="46"/>
      <c r="LH168" s="46"/>
    </row>
    <row r="169" spans="3:329" ht="15" customHeight="1" x14ac:dyDescent="0.35">
      <c r="C169" s="60" t="s">
        <v>25</v>
      </c>
      <c r="D169" s="60"/>
      <c r="E169" s="88">
        <v>9</v>
      </c>
      <c r="F169" s="88"/>
      <c r="G169" s="87">
        <v>1</v>
      </c>
      <c r="H169" s="87"/>
      <c r="I169" s="93">
        <f>1/G171</f>
        <v>0.1111111111111111</v>
      </c>
      <c r="J169" s="93"/>
      <c r="X169" s="60" t="s">
        <v>25</v>
      </c>
      <c r="Y169" s="60"/>
      <c r="Z169" s="60">
        <f>1/7</f>
        <v>0.14285714285714285</v>
      </c>
      <c r="AA169" s="60"/>
      <c r="AB169" s="62">
        <v>1</v>
      </c>
      <c r="AC169" s="62"/>
      <c r="AD169" s="60">
        <v>9</v>
      </c>
      <c r="AE169" s="60"/>
      <c r="AS169" s="60" t="s">
        <v>25</v>
      </c>
      <c r="AT169" s="60"/>
      <c r="AU169" s="60">
        <v>9</v>
      </c>
      <c r="AV169" s="60"/>
      <c r="AW169" s="62">
        <v>1</v>
      </c>
      <c r="AX169" s="62"/>
      <c r="AY169" s="60">
        <v>9</v>
      </c>
      <c r="AZ169" s="60"/>
      <c r="BN169" s="60" t="s">
        <v>25</v>
      </c>
      <c r="BO169" s="60"/>
      <c r="BP169" s="60">
        <v>9</v>
      </c>
      <c r="BQ169" s="60"/>
      <c r="BR169" s="62">
        <v>1</v>
      </c>
      <c r="BS169" s="62"/>
      <c r="BT169" s="60">
        <v>9</v>
      </c>
      <c r="BU169" s="60"/>
      <c r="CK169" s="60" t="s">
        <v>25</v>
      </c>
      <c r="CL169" s="60"/>
      <c r="CM169" s="60">
        <f>1/7</f>
        <v>0.14285714285714285</v>
      </c>
      <c r="CN169" s="60"/>
      <c r="CO169" s="62">
        <v>1</v>
      </c>
      <c r="CP169" s="62"/>
      <c r="CQ169" s="60">
        <v>9</v>
      </c>
      <c r="CR169" s="60"/>
      <c r="DF169" s="60" t="s">
        <v>25</v>
      </c>
      <c r="DG169" s="60"/>
      <c r="DH169" s="60">
        <f>1/7</f>
        <v>0.14285714285714285</v>
      </c>
      <c r="DI169" s="60"/>
      <c r="DJ169" s="62">
        <v>1</v>
      </c>
      <c r="DK169" s="62"/>
      <c r="DL169" s="60">
        <v>9</v>
      </c>
      <c r="DM169" s="60"/>
      <c r="EC169" s="60" t="s">
        <v>25</v>
      </c>
      <c r="ED169" s="60"/>
      <c r="EE169" s="60">
        <v>8</v>
      </c>
      <c r="EF169" s="60"/>
      <c r="EG169" s="62">
        <v>1</v>
      </c>
      <c r="EH169" s="62"/>
      <c r="EI169" s="60">
        <f>1/9</f>
        <v>0.1111111111111111</v>
      </c>
      <c r="EJ169" s="60"/>
      <c r="EY169" s="60" t="s">
        <v>25</v>
      </c>
      <c r="EZ169" s="60"/>
      <c r="FA169" s="60">
        <v>9</v>
      </c>
      <c r="FB169" s="60"/>
      <c r="FC169" s="62">
        <v>1</v>
      </c>
      <c r="FD169" s="62"/>
      <c r="FE169" s="60">
        <v>9</v>
      </c>
      <c r="FF169" s="60"/>
      <c r="FV169" s="60" t="s">
        <v>25</v>
      </c>
      <c r="FW169" s="60"/>
      <c r="FX169" s="60">
        <f>1/9</f>
        <v>0.1111111111111111</v>
      </c>
      <c r="FY169" s="60"/>
      <c r="FZ169" s="62">
        <v>1</v>
      </c>
      <c r="GA169" s="62"/>
      <c r="GB169" s="60">
        <v>9</v>
      </c>
      <c r="GC169" s="60"/>
      <c r="GR169" s="60" t="s">
        <v>25</v>
      </c>
      <c r="GS169" s="60"/>
      <c r="GT169" s="60">
        <f>1/7</f>
        <v>0.14285714285714285</v>
      </c>
      <c r="GU169" s="60"/>
      <c r="GV169" s="62">
        <v>1</v>
      </c>
      <c r="GW169" s="62"/>
      <c r="GX169" s="60">
        <v>9</v>
      </c>
      <c r="GY169" s="60"/>
      <c r="HN169" s="60" t="s">
        <v>25</v>
      </c>
      <c r="HO169" s="60"/>
      <c r="HP169" s="60">
        <f>1/9</f>
        <v>0.1111111111111111</v>
      </c>
      <c r="HQ169" s="60"/>
      <c r="HR169" s="62">
        <v>1</v>
      </c>
      <c r="HS169" s="62"/>
      <c r="HT169" s="60">
        <f>1/9</f>
        <v>0.1111111111111111</v>
      </c>
      <c r="HU169" s="60"/>
      <c r="IK169" s="60" t="s">
        <v>25</v>
      </c>
      <c r="IL169" s="60"/>
      <c r="IM169" s="60">
        <v>4</v>
      </c>
      <c r="IN169" s="60"/>
      <c r="IO169" s="62">
        <v>1</v>
      </c>
      <c r="IP169" s="62"/>
      <c r="IQ169" s="60">
        <f>1/9</f>
        <v>0.1111111111111111</v>
      </c>
      <c r="IR169" s="60"/>
      <c r="JI169" s="60" t="s">
        <v>25</v>
      </c>
      <c r="JJ169" s="60"/>
      <c r="JK169" s="60">
        <f>1/7</f>
        <v>0.14285714285714285</v>
      </c>
      <c r="JL169" s="60"/>
      <c r="JM169" s="62">
        <v>1</v>
      </c>
      <c r="JN169" s="62"/>
      <c r="JO169" s="60">
        <v>5</v>
      </c>
      <c r="JP169" s="60"/>
      <c r="KF169" s="60" t="s">
        <v>25</v>
      </c>
      <c r="KG169" s="60"/>
      <c r="KH169" s="60">
        <f>1/7</f>
        <v>0.14285714285714285</v>
      </c>
      <c r="KI169" s="60"/>
      <c r="KJ169" s="62">
        <v>1</v>
      </c>
      <c r="KK169" s="62"/>
      <c r="KL169" s="60">
        <v>5</v>
      </c>
      <c r="KM169" s="60"/>
      <c r="LA169" s="46"/>
      <c r="LB169" s="46"/>
      <c r="LC169" s="46"/>
      <c r="LD169" s="46"/>
      <c r="LE169" s="46"/>
      <c r="LF169" s="46"/>
      <c r="LG169" s="46"/>
      <c r="LH169" s="46"/>
    </row>
    <row r="170" spans="3:329" ht="15" customHeight="1" x14ac:dyDescent="0.35">
      <c r="C170" s="60"/>
      <c r="D170" s="60"/>
      <c r="E170" s="88"/>
      <c r="F170" s="88"/>
      <c r="G170" s="87"/>
      <c r="H170" s="87"/>
      <c r="I170" s="93"/>
      <c r="J170" s="93"/>
      <c r="X170" s="60"/>
      <c r="Y170" s="60"/>
      <c r="Z170" s="60"/>
      <c r="AA170" s="60"/>
      <c r="AB170" s="62"/>
      <c r="AC170" s="62"/>
      <c r="AD170" s="60"/>
      <c r="AE170" s="60"/>
      <c r="AS170" s="60"/>
      <c r="AT170" s="60"/>
      <c r="AU170" s="60"/>
      <c r="AV170" s="60"/>
      <c r="AW170" s="62"/>
      <c r="AX170" s="62"/>
      <c r="AY170" s="60"/>
      <c r="AZ170" s="60"/>
      <c r="BN170" s="60"/>
      <c r="BO170" s="60"/>
      <c r="BP170" s="60"/>
      <c r="BQ170" s="60"/>
      <c r="BR170" s="62"/>
      <c r="BS170" s="62"/>
      <c r="BT170" s="60"/>
      <c r="BU170" s="60"/>
      <c r="CK170" s="60"/>
      <c r="CL170" s="60"/>
      <c r="CM170" s="60"/>
      <c r="CN170" s="60"/>
      <c r="CO170" s="62"/>
      <c r="CP170" s="62"/>
      <c r="CQ170" s="60"/>
      <c r="CR170" s="60"/>
      <c r="DF170" s="60"/>
      <c r="DG170" s="60"/>
      <c r="DH170" s="60"/>
      <c r="DI170" s="60"/>
      <c r="DJ170" s="62"/>
      <c r="DK170" s="62"/>
      <c r="DL170" s="60"/>
      <c r="DM170" s="60"/>
      <c r="EC170" s="60"/>
      <c r="ED170" s="60"/>
      <c r="EE170" s="60"/>
      <c r="EF170" s="60"/>
      <c r="EG170" s="62"/>
      <c r="EH170" s="62"/>
      <c r="EI170" s="60"/>
      <c r="EJ170" s="60"/>
      <c r="EY170" s="60"/>
      <c r="EZ170" s="60"/>
      <c r="FA170" s="60"/>
      <c r="FB170" s="60"/>
      <c r="FC170" s="62"/>
      <c r="FD170" s="62"/>
      <c r="FE170" s="60"/>
      <c r="FF170" s="60"/>
      <c r="FV170" s="60"/>
      <c r="FW170" s="60"/>
      <c r="FX170" s="60"/>
      <c r="FY170" s="60"/>
      <c r="FZ170" s="62"/>
      <c r="GA170" s="62"/>
      <c r="GB170" s="60"/>
      <c r="GC170" s="60"/>
      <c r="GR170" s="60"/>
      <c r="GS170" s="60"/>
      <c r="GT170" s="60"/>
      <c r="GU170" s="60"/>
      <c r="GV170" s="62"/>
      <c r="GW170" s="62"/>
      <c r="GX170" s="60"/>
      <c r="GY170" s="60"/>
      <c r="HN170" s="60"/>
      <c r="HO170" s="60"/>
      <c r="HP170" s="60"/>
      <c r="HQ170" s="60"/>
      <c r="HR170" s="62"/>
      <c r="HS170" s="62"/>
      <c r="HT170" s="60"/>
      <c r="HU170" s="60"/>
      <c r="IK170" s="60"/>
      <c r="IL170" s="60"/>
      <c r="IM170" s="60"/>
      <c r="IN170" s="60"/>
      <c r="IO170" s="62"/>
      <c r="IP170" s="62"/>
      <c r="IQ170" s="60"/>
      <c r="IR170" s="60"/>
      <c r="JI170" s="60"/>
      <c r="JJ170" s="60"/>
      <c r="JK170" s="60"/>
      <c r="JL170" s="60"/>
      <c r="JM170" s="62"/>
      <c r="JN170" s="62"/>
      <c r="JO170" s="60"/>
      <c r="JP170" s="60"/>
      <c r="KF170" s="60"/>
      <c r="KG170" s="60"/>
      <c r="KH170" s="60"/>
      <c r="KI170" s="60"/>
      <c r="KJ170" s="62"/>
      <c r="KK170" s="62"/>
      <c r="KL170" s="60"/>
      <c r="KM170" s="60"/>
      <c r="LA170" s="46"/>
      <c r="LB170" s="46"/>
      <c r="LC170" s="46"/>
      <c r="LD170" s="46"/>
      <c r="LE170" s="46"/>
      <c r="LF170" s="46"/>
      <c r="LG170" s="46"/>
      <c r="LH170" s="46"/>
    </row>
    <row r="171" spans="3:329" ht="15" customHeight="1" x14ac:dyDescent="0.35">
      <c r="C171" s="60" t="s">
        <v>26</v>
      </c>
      <c r="D171" s="60"/>
      <c r="E171" s="88">
        <v>9</v>
      </c>
      <c r="F171" s="88"/>
      <c r="G171" s="88">
        <v>9</v>
      </c>
      <c r="H171" s="88"/>
      <c r="I171" s="87">
        <v>1</v>
      </c>
      <c r="J171" s="87"/>
      <c r="X171" s="60" t="s">
        <v>26</v>
      </c>
      <c r="Y171" s="60"/>
      <c r="Z171" s="60">
        <v>7</v>
      </c>
      <c r="AA171" s="60"/>
      <c r="AB171" s="60">
        <f>1/9</f>
        <v>0.1111111111111111</v>
      </c>
      <c r="AC171" s="60"/>
      <c r="AD171" s="62">
        <v>1</v>
      </c>
      <c r="AE171" s="62"/>
      <c r="AS171" s="60" t="s">
        <v>26</v>
      </c>
      <c r="AT171" s="60"/>
      <c r="AU171" s="60">
        <f>1/9</f>
        <v>0.1111111111111111</v>
      </c>
      <c r="AV171" s="60"/>
      <c r="AW171" s="60">
        <f>1/9</f>
        <v>0.1111111111111111</v>
      </c>
      <c r="AX171" s="60"/>
      <c r="AY171" s="62">
        <v>1</v>
      </c>
      <c r="AZ171" s="62"/>
      <c r="BN171" s="60" t="s">
        <v>26</v>
      </c>
      <c r="BO171" s="60"/>
      <c r="BP171" s="60">
        <f>1/9</f>
        <v>0.1111111111111111</v>
      </c>
      <c r="BQ171" s="60"/>
      <c r="BR171" s="60">
        <f>1/9</f>
        <v>0.1111111111111111</v>
      </c>
      <c r="BS171" s="60"/>
      <c r="BT171" s="62">
        <v>1</v>
      </c>
      <c r="BU171" s="62"/>
      <c r="CK171" s="60" t="s">
        <v>26</v>
      </c>
      <c r="CL171" s="60"/>
      <c r="CM171" s="60">
        <f>1/9</f>
        <v>0.1111111111111111</v>
      </c>
      <c r="CN171" s="60"/>
      <c r="CO171" s="60">
        <f>1/9</f>
        <v>0.1111111111111111</v>
      </c>
      <c r="CP171" s="60"/>
      <c r="CQ171" s="62">
        <v>1</v>
      </c>
      <c r="CR171" s="62"/>
      <c r="DF171" s="60" t="s">
        <v>26</v>
      </c>
      <c r="DG171" s="60"/>
      <c r="DH171" s="60">
        <v>9</v>
      </c>
      <c r="DI171" s="60"/>
      <c r="DJ171" s="60">
        <f>1/9</f>
        <v>0.1111111111111111</v>
      </c>
      <c r="DK171" s="60"/>
      <c r="DL171" s="62">
        <v>1</v>
      </c>
      <c r="DM171" s="62"/>
      <c r="EC171" s="60" t="s">
        <v>26</v>
      </c>
      <c r="ED171" s="60"/>
      <c r="EE171" s="60">
        <f>1/9</f>
        <v>0.1111111111111111</v>
      </c>
      <c r="EF171" s="60"/>
      <c r="EG171" s="60">
        <v>9</v>
      </c>
      <c r="EH171" s="60"/>
      <c r="EI171" s="62">
        <v>1</v>
      </c>
      <c r="EJ171" s="62"/>
      <c r="EY171" s="60" t="s">
        <v>26</v>
      </c>
      <c r="EZ171" s="60"/>
      <c r="FA171" s="60">
        <v>9</v>
      </c>
      <c r="FB171" s="60"/>
      <c r="FC171" s="60">
        <f>1/9</f>
        <v>0.1111111111111111</v>
      </c>
      <c r="FD171" s="60"/>
      <c r="FE171" s="62">
        <v>1</v>
      </c>
      <c r="FF171" s="62"/>
      <c r="FV171" s="60" t="s">
        <v>26</v>
      </c>
      <c r="FW171" s="60"/>
      <c r="FX171" s="60">
        <f>1/9</f>
        <v>0.1111111111111111</v>
      </c>
      <c r="FY171" s="60"/>
      <c r="FZ171" s="60">
        <f>1/9</f>
        <v>0.1111111111111111</v>
      </c>
      <c r="GA171" s="60"/>
      <c r="GB171" s="62">
        <v>1</v>
      </c>
      <c r="GC171" s="62"/>
      <c r="GR171" s="60" t="s">
        <v>26</v>
      </c>
      <c r="GS171" s="60"/>
      <c r="GT171" s="60">
        <v>9</v>
      </c>
      <c r="GU171" s="60"/>
      <c r="GV171" s="60">
        <f>1/9</f>
        <v>0.1111111111111111</v>
      </c>
      <c r="GW171" s="60"/>
      <c r="GX171" s="62">
        <v>1</v>
      </c>
      <c r="GY171" s="62"/>
      <c r="HN171" s="60" t="s">
        <v>26</v>
      </c>
      <c r="HO171" s="60"/>
      <c r="HP171" s="60">
        <v>7</v>
      </c>
      <c r="HQ171" s="60"/>
      <c r="HR171" s="60">
        <v>9</v>
      </c>
      <c r="HS171" s="60"/>
      <c r="HT171" s="62">
        <v>1</v>
      </c>
      <c r="HU171" s="62"/>
      <c r="IK171" s="60" t="s">
        <v>26</v>
      </c>
      <c r="IL171" s="60"/>
      <c r="IM171" s="60">
        <f>1/5</f>
        <v>0.2</v>
      </c>
      <c r="IN171" s="60"/>
      <c r="IO171" s="60">
        <v>9</v>
      </c>
      <c r="IP171" s="60"/>
      <c r="IQ171" s="62">
        <v>1</v>
      </c>
      <c r="IR171" s="62"/>
      <c r="JI171" s="60" t="s">
        <v>26</v>
      </c>
      <c r="JJ171" s="60"/>
      <c r="JK171" s="60">
        <f>1/9</f>
        <v>0.1111111111111111</v>
      </c>
      <c r="JL171" s="60"/>
      <c r="JM171" s="60">
        <f>1/5</f>
        <v>0.2</v>
      </c>
      <c r="JN171" s="60"/>
      <c r="JO171" s="62">
        <v>1</v>
      </c>
      <c r="JP171" s="62"/>
      <c r="KF171" s="60" t="s">
        <v>26</v>
      </c>
      <c r="KG171" s="60"/>
      <c r="KH171" s="60">
        <f>1/9</f>
        <v>0.1111111111111111</v>
      </c>
      <c r="KI171" s="60"/>
      <c r="KJ171" s="60">
        <f>1/5</f>
        <v>0.2</v>
      </c>
      <c r="KK171" s="60"/>
      <c r="KL171" s="62">
        <v>1</v>
      </c>
      <c r="KM171" s="62"/>
      <c r="LA171" s="46"/>
      <c r="LB171" s="46"/>
      <c r="LC171" s="46"/>
      <c r="LD171" s="46"/>
      <c r="LE171" s="46"/>
      <c r="LF171" s="46"/>
      <c r="LG171" s="46"/>
      <c r="LH171" s="46"/>
    </row>
    <row r="172" spans="3:329" ht="15" customHeight="1" x14ac:dyDescent="0.35">
      <c r="C172" s="60"/>
      <c r="D172" s="60"/>
      <c r="E172" s="88"/>
      <c r="F172" s="88"/>
      <c r="G172" s="88"/>
      <c r="H172" s="88"/>
      <c r="I172" s="87"/>
      <c r="J172" s="87"/>
      <c r="X172" s="60"/>
      <c r="Y172" s="60"/>
      <c r="Z172" s="60"/>
      <c r="AA172" s="60"/>
      <c r="AB172" s="60"/>
      <c r="AC172" s="60"/>
      <c r="AD172" s="62"/>
      <c r="AE172" s="62"/>
      <c r="AS172" s="60"/>
      <c r="AT172" s="60"/>
      <c r="AU172" s="60"/>
      <c r="AV172" s="60"/>
      <c r="AW172" s="60"/>
      <c r="AX172" s="60"/>
      <c r="AY172" s="62"/>
      <c r="AZ172" s="62"/>
      <c r="BN172" s="60"/>
      <c r="BO172" s="60"/>
      <c r="BP172" s="60"/>
      <c r="BQ172" s="60"/>
      <c r="BR172" s="60"/>
      <c r="BS172" s="60"/>
      <c r="BT172" s="62"/>
      <c r="BU172" s="62"/>
      <c r="CK172" s="60"/>
      <c r="CL172" s="60"/>
      <c r="CM172" s="60"/>
      <c r="CN172" s="60"/>
      <c r="CO172" s="60"/>
      <c r="CP172" s="60"/>
      <c r="CQ172" s="62"/>
      <c r="CR172" s="62"/>
      <c r="DF172" s="60"/>
      <c r="DG172" s="60"/>
      <c r="DH172" s="60"/>
      <c r="DI172" s="60"/>
      <c r="DJ172" s="60"/>
      <c r="DK172" s="60"/>
      <c r="DL172" s="62"/>
      <c r="DM172" s="62"/>
      <c r="EC172" s="60"/>
      <c r="ED172" s="60"/>
      <c r="EE172" s="60"/>
      <c r="EF172" s="60"/>
      <c r="EG172" s="60"/>
      <c r="EH172" s="60"/>
      <c r="EI172" s="62"/>
      <c r="EJ172" s="62"/>
      <c r="EY172" s="60"/>
      <c r="EZ172" s="60"/>
      <c r="FA172" s="60"/>
      <c r="FB172" s="60"/>
      <c r="FC172" s="60"/>
      <c r="FD172" s="60"/>
      <c r="FE172" s="62"/>
      <c r="FF172" s="62"/>
      <c r="FV172" s="60"/>
      <c r="FW172" s="60"/>
      <c r="FX172" s="60"/>
      <c r="FY172" s="60"/>
      <c r="FZ172" s="60"/>
      <c r="GA172" s="60"/>
      <c r="GB172" s="62"/>
      <c r="GC172" s="62"/>
      <c r="GR172" s="60"/>
      <c r="GS172" s="60"/>
      <c r="GT172" s="60"/>
      <c r="GU172" s="60"/>
      <c r="GV172" s="60"/>
      <c r="GW172" s="60"/>
      <c r="GX172" s="62"/>
      <c r="GY172" s="62"/>
      <c r="HN172" s="60"/>
      <c r="HO172" s="60"/>
      <c r="HP172" s="60"/>
      <c r="HQ172" s="60"/>
      <c r="HR172" s="60"/>
      <c r="HS172" s="60"/>
      <c r="HT172" s="62"/>
      <c r="HU172" s="62"/>
      <c r="IK172" s="60"/>
      <c r="IL172" s="60"/>
      <c r="IM172" s="60"/>
      <c r="IN172" s="60"/>
      <c r="IO172" s="60"/>
      <c r="IP172" s="60"/>
      <c r="IQ172" s="62"/>
      <c r="IR172" s="62"/>
      <c r="JI172" s="60"/>
      <c r="JJ172" s="60"/>
      <c r="JK172" s="60"/>
      <c r="JL172" s="60"/>
      <c r="JM172" s="60"/>
      <c r="JN172" s="60"/>
      <c r="JO172" s="62"/>
      <c r="JP172" s="62"/>
      <c r="KF172" s="60"/>
      <c r="KG172" s="60"/>
      <c r="KH172" s="60"/>
      <c r="KI172" s="60"/>
      <c r="KJ172" s="60"/>
      <c r="KK172" s="60"/>
      <c r="KL172" s="62"/>
      <c r="KM172" s="62"/>
      <c r="LA172" s="46"/>
      <c r="LB172" s="46"/>
      <c r="LC172" s="46"/>
      <c r="LD172" s="46"/>
      <c r="LE172" s="46"/>
      <c r="LF172" s="46"/>
      <c r="LG172" s="46"/>
      <c r="LH172" s="46"/>
    </row>
    <row r="174" spans="3:329" x14ac:dyDescent="0.35">
      <c r="E174" s="100" t="s">
        <v>97</v>
      </c>
      <c r="F174" s="100"/>
      <c r="G174" s="100"/>
      <c r="H174" s="100"/>
    </row>
    <row r="176" spans="3:329" x14ac:dyDescent="0.35">
      <c r="C176" s="60"/>
      <c r="D176" s="60"/>
      <c r="E176" s="60" t="s">
        <v>92</v>
      </c>
      <c r="F176" s="60"/>
      <c r="G176" s="60" t="s">
        <v>25</v>
      </c>
      <c r="H176" s="60"/>
      <c r="I176" s="60" t="s">
        <v>26</v>
      </c>
      <c r="J176" s="60"/>
      <c r="M176" s="60"/>
      <c r="N176" s="60"/>
      <c r="O176" s="60" t="s">
        <v>92</v>
      </c>
      <c r="P176" s="60"/>
      <c r="Q176" s="60" t="s">
        <v>25</v>
      </c>
      <c r="R176" s="60"/>
      <c r="S176" s="60" t="s">
        <v>26</v>
      </c>
      <c r="T176" s="60"/>
      <c r="U176" s="60" t="s">
        <v>99</v>
      </c>
      <c r="V176" s="60"/>
      <c r="W176" s="60" t="s">
        <v>100</v>
      </c>
      <c r="X176" s="60"/>
      <c r="Y176" s="60" t="s">
        <v>105</v>
      </c>
      <c r="Z176" s="60"/>
      <c r="AB176" t="s">
        <v>101</v>
      </c>
      <c r="AC176">
        <f>(Y184-3)/(3-1)</f>
        <v>4.1217948717948705E-2</v>
      </c>
    </row>
    <row r="177" spans="3:29" x14ac:dyDescent="0.35">
      <c r="C177" s="60"/>
      <c r="D177" s="60"/>
      <c r="E177" s="60"/>
      <c r="F177" s="60"/>
      <c r="G177" s="60"/>
      <c r="H177" s="60"/>
      <c r="I177" s="60"/>
      <c r="J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B177" t="s">
        <v>102</v>
      </c>
      <c r="AC177">
        <v>0.57999999999999996</v>
      </c>
    </row>
    <row r="178" spans="3:29" x14ac:dyDescent="0.35">
      <c r="C178" s="60" t="s">
        <v>92</v>
      </c>
      <c r="D178" s="60"/>
      <c r="E178" s="87">
        <f>AVERAGE(E167,Z167,AU167,BP167,CM167,DH167,EE167,FA167,FX167,GT167,HP167,IM167,JK167,KH167,LC167)</f>
        <v>1</v>
      </c>
      <c r="F178" s="87"/>
      <c r="G178" s="88">
        <v>3</v>
      </c>
      <c r="H178" s="88"/>
      <c r="I178" s="88">
        <v>9</v>
      </c>
      <c r="J178" s="88"/>
      <c r="M178" s="60" t="s">
        <v>92</v>
      </c>
      <c r="N178" s="60"/>
      <c r="O178" s="95">
        <f>E178/$E$184</f>
        <v>0.69230769230769229</v>
      </c>
      <c r="P178" s="95"/>
      <c r="Q178" s="95">
        <f>G178/$G$184</f>
        <v>0.72</v>
      </c>
      <c r="R178" s="95"/>
      <c r="S178" s="95">
        <f>I178/$I$184</f>
        <v>0.5625</v>
      </c>
      <c r="T178" s="95"/>
      <c r="U178" s="95">
        <f>SUM(O178:T179)</f>
        <v>1.9748076923076923</v>
      </c>
      <c r="V178" s="95"/>
      <c r="W178" s="95">
        <f>U178/$U$184</f>
        <v>0.65826923076923072</v>
      </c>
      <c r="X178" s="95"/>
      <c r="Y178" s="95">
        <f>W178*E184</f>
        <v>0.9508333333333332</v>
      </c>
      <c r="Z178" s="95"/>
      <c r="AB178" t="s">
        <v>103</v>
      </c>
      <c r="AC178">
        <f>AC176/AC177</f>
        <v>7.1065428824049495E-2</v>
      </c>
    </row>
    <row r="179" spans="3:29" x14ac:dyDescent="0.35">
      <c r="C179" s="60"/>
      <c r="D179" s="60"/>
      <c r="E179" s="87"/>
      <c r="F179" s="87"/>
      <c r="G179" s="88"/>
      <c r="H179" s="88"/>
      <c r="I179" s="88"/>
      <c r="J179" s="88"/>
      <c r="M179" s="60"/>
      <c r="N179" s="60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3:29" x14ac:dyDescent="0.35">
      <c r="C180" s="60" t="s">
        <v>25</v>
      </c>
      <c r="D180" s="60"/>
      <c r="E180" s="88">
        <f>1/G178</f>
        <v>0.33333333333333331</v>
      </c>
      <c r="F180" s="88"/>
      <c r="G180" s="87">
        <f t="shared" ref="G180" si="269">AVERAGE(G169,AB169,AW169,BR169,CO169,DJ169,EG169,FC169,FZ169,GV169,HR169,IO169,JM169,KJ169,LE169)</f>
        <v>1</v>
      </c>
      <c r="H180" s="87"/>
      <c r="I180" s="88">
        <f>ROUND(AVERAGE(I169,AD169,AY169,BT169,CQ169,DL169,EI169,FE169,GB169,GX169,HT169,IQ169,JO169,KL169,LG169),0)</f>
        <v>6</v>
      </c>
      <c r="J180" s="88"/>
      <c r="M180" s="60" t="s">
        <v>25</v>
      </c>
      <c r="N180" s="60"/>
      <c r="O180" s="95">
        <f t="shared" ref="O180" si="270">E180/$E$184</f>
        <v>0.23076923076923075</v>
      </c>
      <c r="P180" s="95"/>
      <c r="Q180" s="95">
        <f t="shared" ref="Q180" si="271">G180/$G$184</f>
        <v>0.24</v>
      </c>
      <c r="R180" s="95"/>
      <c r="S180" s="95">
        <f t="shared" ref="S180" si="272">I180/$I$184</f>
        <v>0.375</v>
      </c>
      <c r="T180" s="95"/>
      <c r="U180" s="95">
        <f t="shared" ref="U180" si="273">SUM(O180:T181)</f>
        <v>0.84576923076923072</v>
      </c>
      <c r="V180" s="95"/>
      <c r="W180" s="95">
        <f t="shared" ref="W180" si="274">U180/$U$184</f>
        <v>0.28192307692307689</v>
      </c>
      <c r="X180" s="95"/>
      <c r="Y180" s="95">
        <f>W180*G184</f>
        <v>1.1746794871794872</v>
      </c>
      <c r="Z180" s="95"/>
    </row>
    <row r="181" spans="3:29" x14ac:dyDescent="0.35">
      <c r="C181" s="60"/>
      <c r="D181" s="60"/>
      <c r="E181" s="88"/>
      <c r="F181" s="88"/>
      <c r="G181" s="87"/>
      <c r="H181" s="87"/>
      <c r="I181" s="88"/>
      <c r="J181" s="88"/>
      <c r="M181" s="60"/>
      <c r="N181" s="60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3:29" x14ac:dyDescent="0.35">
      <c r="C182" s="60" t="s">
        <v>26</v>
      </c>
      <c r="D182" s="60"/>
      <c r="E182" s="88">
        <f>1/I178</f>
        <v>0.1111111111111111</v>
      </c>
      <c r="F182" s="88"/>
      <c r="G182" s="88">
        <f>1/I180</f>
        <v>0.16666666666666666</v>
      </c>
      <c r="H182" s="88"/>
      <c r="I182" s="87">
        <f t="shared" ref="I182" si="275">AVERAGE(I171,AD171,AY171,BT171,CQ171,DL171,EI171,FE171,GB171,GX171,HT171,IQ171,JO171,KL171,LG171)</f>
        <v>1</v>
      </c>
      <c r="J182" s="87"/>
      <c r="M182" s="60" t="s">
        <v>26</v>
      </c>
      <c r="N182" s="60"/>
      <c r="O182" s="95">
        <f t="shared" ref="O182" si="276">E182/$E$184</f>
        <v>7.6923076923076913E-2</v>
      </c>
      <c r="P182" s="95"/>
      <c r="Q182" s="95">
        <f t="shared" ref="Q182" si="277">G182/$G$184</f>
        <v>3.9999999999999994E-2</v>
      </c>
      <c r="R182" s="95"/>
      <c r="S182" s="95">
        <f t="shared" ref="S182" si="278">I182/$I$184</f>
        <v>6.25E-2</v>
      </c>
      <c r="T182" s="95"/>
      <c r="U182" s="95">
        <f t="shared" ref="U182" si="279">SUM(O182:T183)</f>
        <v>0.17942307692307691</v>
      </c>
      <c r="V182" s="95"/>
      <c r="W182" s="95">
        <f t="shared" ref="W182" si="280">U182/$U$184</f>
        <v>5.9807692307692305E-2</v>
      </c>
      <c r="X182" s="95"/>
      <c r="Y182" s="95">
        <f>W182*I184</f>
        <v>0.95692307692307688</v>
      </c>
      <c r="Z182" s="95"/>
    </row>
    <row r="183" spans="3:29" x14ac:dyDescent="0.35">
      <c r="C183" s="60"/>
      <c r="D183" s="60"/>
      <c r="E183" s="88"/>
      <c r="F183" s="88"/>
      <c r="G183" s="88"/>
      <c r="H183" s="88"/>
      <c r="I183" s="87"/>
      <c r="J183" s="87"/>
      <c r="M183" s="60"/>
      <c r="N183" s="60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3:29" x14ac:dyDescent="0.35">
      <c r="C184" s="60" t="s">
        <v>106</v>
      </c>
      <c r="D184" s="60"/>
      <c r="E184" s="88">
        <f>SUM(E178:F183)</f>
        <v>1.4444444444444444</v>
      </c>
      <c r="F184" s="88"/>
      <c r="G184" s="88">
        <f t="shared" ref="G184" si="281">SUM(G178:H183)</f>
        <v>4.166666666666667</v>
      </c>
      <c r="H184" s="88"/>
      <c r="I184" s="88">
        <f t="shared" ref="I184" si="282">SUM(I178:J183)</f>
        <v>16</v>
      </c>
      <c r="J184" s="88"/>
      <c r="M184" s="60" t="s">
        <v>106</v>
      </c>
      <c r="N184" s="60"/>
      <c r="O184" s="88">
        <f t="shared" ref="O184" si="283">E184/$E$184</f>
        <v>1</v>
      </c>
      <c r="P184" s="88"/>
      <c r="Q184" s="88">
        <f t="shared" ref="Q184" si="284">G184/$G$184</f>
        <v>1</v>
      </c>
      <c r="R184" s="88"/>
      <c r="S184" s="88">
        <f t="shared" ref="S184" si="285">I184/$I$184</f>
        <v>1</v>
      </c>
      <c r="T184" s="88"/>
      <c r="U184" s="88">
        <f>SUM(U178:V183)</f>
        <v>3</v>
      </c>
      <c r="V184" s="88"/>
      <c r="W184" s="88">
        <f t="shared" ref="W184" si="286">U184/$U$184</f>
        <v>1</v>
      </c>
      <c r="X184" s="88"/>
      <c r="Y184" s="95">
        <f>SUM(Y178:Z183)</f>
        <v>3.0824358974358974</v>
      </c>
      <c r="Z184" s="95"/>
    </row>
    <row r="185" spans="3:29" x14ac:dyDescent="0.35">
      <c r="C185" s="60"/>
      <c r="D185" s="60"/>
      <c r="E185" s="88"/>
      <c r="F185" s="88"/>
      <c r="G185" s="88"/>
      <c r="H185" s="88"/>
      <c r="I185" s="88"/>
      <c r="J185" s="88"/>
      <c r="M185" s="60"/>
      <c r="N185" s="60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95"/>
      <c r="Z185" s="95"/>
    </row>
  </sheetData>
  <mergeCells count="4841">
    <mergeCell ref="AN84:AO85"/>
    <mergeCell ref="AP84:AQ85"/>
    <mergeCell ref="AR84:AS85"/>
    <mergeCell ref="AN86:AO87"/>
    <mergeCell ref="AP86:AQ87"/>
    <mergeCell ref="AR86:AS87"/>
    <mergeCell ref="AN88:AO89"/>
    <mergeCell ref="AP88:AQ89"/>
    <mergeCell ref="AR88:AS89"/>
    <mergeCell ref="AN72:AO73"/>
    <mergeCell ref="AP72:AQ73"/>
    <mergeCell ref="AR72:AS73"/>
    <mergeCell ref="AN74:AO75"/>
    <mergeCell ref="AP74:AQ75"/>
    <mergeCell ref="AR74:AS75"/>
    <mergeCell ref="AN76:AO77"/>
    <mergeCell ref="AP76:AQ77"/>
    <mergeCell ref="AR76:AS77"/>
    <mergeCell ref="AN78:AO79"/>
    <mergeCell ref="AP78:AQ79"/>
    <mergeCell ref="AR78:AS79"/>
    <mergeCell ref="AN80:AO81"/>
    <mergeCell ref="AP80:AQ81"/>
    <mergeCell ref="AR80:AS81"/>
    <mergeCell ref="AN82:AO83"/>
    <mergeCell ref="AP82:AQ83"/>
    <mergeCell ref="AR82:AS83"/>
    <mergeCell ref="X86:Y87"/>
    <mergeCell ref="Z86:AA87"/>
    <mergeCell ref="AB86:AC87"/>
    <mergeCell ref="AD86:AE87"/>
    <mergeCell ref="AF86:AG87"/>
    <mergeCell ref="AH86:AI87"/>
    <mergeCell ref="AJ86:AK87"/>
    <mergeCell ref="AL86:AM87"/>
    <mergeCell ref="X88:Y89"/>
    <mergeCell ref="Z88:AA89"/>
    <mergeCell ref="AB88:AC89"/>
    <mergeCell ref="AD88:AE89"/>
    <mergeCell ref="AF88:AG89"/>
    <mergeCell ref="AH88:AI89"/>
    <mergeCell ref="AJ88:AK89"/>
    <mergeCell ref="AL88:AM89"/>
    <mergeCell ref="X80:Y81"/>
    <mergeCell ref="Z80:AA81"/>
    <mergeCell ref="AB80:AC81"/>
    <mergeCell ref="AD80:AE81"/>
    <mergeCell ref="AF80:AG81"/>
    <mergeCell ref="AH80:AI81"/>
    <mergeCell ref="AJ80:AK81"/>
    <mergeCell ref="AL80:AM81"/>
    <mergeCell ref="X82:Y83"/>
    <mergeCell ref="Z82:AA83"/>
    <mergeCell ref="AB82:AC83"/>
    <mergeCell ref="AD82:AE83"/>
    <mergeCell ref="AF82:AG83"/>
    <mergeCell ref="AH82:AI83"/>
    <mergeCell ref="AJ82:AK83"/>
    <mergeCell ref="AL82:AM83"/>
    <mergeCell ref="AD74:AE75"/>
    <mergeCell ref="AF74:AG75"/>
    <mergeCell ref="AH74:AI75"/>
    <mergeCell ref="AJ74:AK75"/>
    <mergeCell ref="AL74:AM75"/>
    <mergeCell ref="X76:Y77"/>
    <mergeCell ref="Z76:AA77"/>
    <mergeCell ref="AB76:AC77"/>
    <mergeCell ref="AD76:AE77"/>
    <mergeCell ref="AF76:AG77"/>
    <mergeCell ref="AH76:AI77"/>
    <mergeCell ref="AJ76:AK77"/>
    <mergeCell ref="AL76:AM77"/>
    <mergeCell ref="X78:Y79"/>
    <mergeCell ref="Z78:AA79"/>
    <mergeCell ref="AB78:AC79"/>
    <mergeCell ref="AD78:AE79"/>
    <mergeCell ref="AF78:AG79"/>
    <mergeCell ref="AH78:AI79"/>
    <mergeCell ref="AJ78:AK79"/>
    <mergeCell ref="AL78:AM79"/>
    <mergeCell ref="M84:N85"/>
    <mergeCell ref="O84:P85"/>
    <mergeCell ref="Q84:R85"/>
    <mergeCell ref="C86:D87"/>
    <mergeCell ref="E86:F87"/>
    <mergeCell ref="G86:H87"/>
    <mergeCell ref="I86:J87"/>
    <mergeCell ref="K86:L87"/>
    <mergeCell ref="M86:N87"/>
    <mergeCell ref="O86:P87"/>
    <mergeCell ref="Q86:R87"/>
    <mergeCell ref="C88:D89"/>
    <mergeCell ref="E88:F89"/>
    <mergeCell ref="G88:H89"/>
    <mergeCell ref="I88:J89"/>
    <mergeCell ref="K88:L89"/>
    <mergeCell ref="M88:N89"/>
    <mergeCell ref="O88:P89"/>
    <mergeCell ref="Q88:R89"/>
    <mergeCell ref="M78:N79"/>
    <mergeCell ref="O78:P79"/>
    <mergeCell ref="Q78:R79"/>
    <mergeCell ref="C80:D81"/>
    <mergeCell ref="E80:F81"/>
    <mergeCell ref="G80:H81"/>
    <mergeCell ref="I80:J81"/>
    <mergeCell ref="K80:L81"/>
    <mergeCell ref="M80:N81"/>
    <mergeCell ref="O80:P81"/>
    <mergeCell ref="Q80:R81"/>
    <mergeCell ref="C82:D83"/>
    <mergeCell ref="E82:F83"/>
    <mergeCell ref="G82:H83"/>
    <mergeCell ref="I82:J83"/>
    <mergeCell ref="K82:L83"/>
    <mergeCell ref="M82:N83"/>
    <mergeCell ref="O82:P83"/>
    <mergeCell ref="Q82:R83"/>
    <mergeCell ref="M72:N73"/>
    <mergeCell ref="O72:P73"/>
    <mergeCell ref="Q72:R73"/>
    <mergeCell ref="C74:D75"/>
    <mergeCell ref="E74:F75"/>
    <mergeCell ref="G74:H75"/>
    <mergeCell ref="I74:J75"/>
    <mergeCell ref="K74:L75"/>
    <mergeCell ref="M74:N75"/>
    <mergeCell ref="O74:P75"/>
    <mergeCell ref="Q74:R75"/>
    <mergeCell ref="C76:D77"/>
    <mergeCell ref="E76:F77"/>
    <mergeCell ref="G76:H77"/>
    <mergeCell ref="I76:J77"/>
    <mergeCell ref="K76:L77"/>
    <mergeCell ref="M76:N77"/>
    <mergeCell ref="O76:P77"/>
    <mergeCell ref="Q76:R77"/>
    <mergeCell ref="LA70:LB71"/>
    <mergeCell ref="LC70:LD71"/>
    <mergeCell ref="LE70:LF71"/>
    <mergeCell ref="LG70:LH71"/>
    <mergeCell ref="LI70:LJ71"/>
    <mergeCell ref="LK70:LL71"/>
    <mergeCell ref="LM70:LN71"/>
    <mergeCell ref="LO70:LP71"/>
    <mergeCell ref="KF165:KG166"/>
    <mergeCell ref="KH165:KI166"/>
    <mergeCell ref="KJ165:KK166"/>
    <mergeCell ref="KL165:KM166"/>
    <mergeCell ref="KF167:KG168"/>
    <mergeCell ref="KH167:KI168"/>
    <mergeCell ref="KJ167:KK168"/>
    <mergeCell ref="KL167:KM168"/>
    <mergeCell ref="KF169:KG170"/>
    <mergeCell ref="KH169:KI170"/>
    <mergeCell ref="KJ169:KK170"/>
    <mergeCell ref="KL169:KM170"/>
    <mergeCell ref="KN132:KO133"/>
    <mergeCell ref="KP132:KQ133"/>
    <mergeCell ref="KR132:KS133"/>
    <mergeCell ref="KT132:KU133"/>
    <mergeCell ref="KV132:KW133"/>
    <mergeCell ref="KN134:KO135"/>
    <mergeCell ref="KP134:KQ135"/>
    <mergeCell ref="KR134:KS135"/>
    <mergeCell ref="KT134:KU135"/>
    <mergeCell ref="KV134:KW135"/>
    <mergeCell ref="KN128:KO129"/>
    <mergeCell ref="KP128:KQ129"/>
    <mergeCell ref="KF171:KG172"/>
    <mergeCell ref="KH171:KI172"/>
    <mergeCell ref="KJ171:KK172"/>
    <mergeCell ref="KL171:KM172"/>
    <mergeCell ref="KD2:KE2"/>
    <mergeCell ref="KF132:KG133"/>
    <mergeCell ref="KH132:KI133"/>
    <mergeCell ref="KJ132:KK133"/>
    <mergeCell ref="KL132:KM133"/>
    <mergeCell ref="KF124:KG125"/>
    <mergeCell ref="KH124:KI125"/>
    <mergeCell ref="KJ124:KK125"/>
    <mergeCell ref="KL124:KM125"/>
    <mergeCell ref="KF66:KG67"/>
    <mergeCell ref="KH66:KI67"/>
    <mergeCell ref="KJ66:KK67"/>
    <mergeCell ref="KL66:KM67"/>
    <mergeCell ref="KF60:KG61"/>
    <mergeCell ref="KH60:KI61"/>
    <mergeCell ref="KJ60:KK61"/>
    <mergeCell ref="KF134:KG135"/>
    <mergeCell ref="KH134:KI135"/>
    <mergeCell ref="KJ134:KK135"/>
    <mergeCell ref="KL134:KM135"/>
    <mergeCell ref="KF128:KG129"/>
    <mergeCell ref="KH128:KI129"/>
    <mergeCell ref="KJ128:KK129"/>
    <mergeCell ref="KL128:KM129"/>
    <mergeCell ref="KF94:KG95"/>
    <mergeCell ref="KH94:KI95"/>
    <mergeCell ref="KJ94:KK95"/>
    <mergeCell ref="KL94:KM95"/>
    <mergeCell ref="KR128:KS129"/>
    <mergeCell ref="KT128:KU129"/>
    <mergeCell ref="KV128:KW129"/>
    <mergeCell ref="KF130:KG131"/>
    <mergeCell ref="KH130:KI131"/>
    <mergeCell ref="KJ130:KK131"/>
    <mergeCell ref="KL130:KM131"/>
    <mergeCell ref="KN130:KO131"/>
    <mergeCell ref="KP130:KQ131"/>
    <mergeCell ref="KR130:KS131"/>
    <mergeCell ref="KT130:KU131"/>
    <mergeCell ref="KV130:KW131"/>
    <mergeCell ref="KN124:KO125"/>
    <mergeCell ref="KP124:KQ125"/>
    <mergeCell ref="KR124:KS125"/>
    <mergeCell ref="KT124:KU125"/>
    <mergeCell ref="KV124:KW125"/>
    <mergeCell ref="KF126:KG127"/>
    <mergeCell ref="KH126:KI127"/>
    <mergeCell ref="KJ126:KK127"/>
    <mergeCell ref="KL126:KM127"/>
    <mergeCell ref="KN126:KO127"/>
    <mergeCell ref="KP126:KQ127"/>
    <mergeCell ref="KR126:KS127"/>
    <mergeCell ref="KT126:KU127"/>
    <mergeCell ref="KV126:KW127"/>
    <mergeCell ref="KP118:KQ119"/>
    <mergeCell ref="KR118:KS119"/>
    <mergeCell ref="KT118:KU119"/>
    <mergeCell ref="KV118:KW119"/>
    <mergeCell ref="KF120:KG121"/>
    <mergeCell ref="KH120:KI121"/>
    <mergeCell ref="KJ120:KK121"/>
    <mergeCell ref="KL120:KM121"/>
    <mergeCell ref="KN120:KO121"/>
    <mergeCell ref="KP120:KQ121"/>
    <mergeCell ref="KR120:KS121"/>
    <mergeCell ref="KT120:KU121"/>
    <mergeCell ref="KV120:KW121"/>
    <mergeCell ref="KF122:KG123"/>
    <mergeCell ref="KH122:KI123"/>
    <mergeCell ref="KJ122:KK123"/>
    <mergeCell ref="KL122:KM123"/>
    <mergeCell ref="KN122:KO123"/>
    <mergeCell ref="KP122:KQ123"/>
    <mergeCell ref="KR122:KS123"/>
    <mergeCell ref="KT122:KU123"/>
    <mergeCell ref="KV122:KW123"/>
    <mergeCell ref="KF96:KG97"/>
    <mergeCell ref="KH96:KI97"/>
    <mergeCell ref="KJ96:KK97"/>
    <mergeCell ref="KL96:KM97"/>
    <mergeCell ref="KF98:KG99"/>
    <mergeCell ref="KH98:KI99"/>
    <mergeCell ref="KJ98:KK99"/>
    <mergeCell ref="KL98:KM99"/>
    <mergeCell ref="KF100:KG101"/>
    <mergeCell ref="KH100:KI101"/>
    <mergeCell ref="KJ100:KK101"/>
    <mergeCell ref="KL100:KM101"/>
    <mergeCell ref="KF118:KG119"/>
    <mergeCell ref="KH118:KI119"/>
    <mergeCell ref="KJ118:KK119"/>
    <mergeCell ref="KL118:KM119"/>
    <mergeCell ref="KN66:KO67"/>
    <mergeCell ref="KN118:KO119"/>
    <mergeCell ref="KP66:KQ67"/>
    <mergeCell ref="KR66:KS67"/>
    <mergeCell ref="KT66:KU67"/>
    <mergeCell ref="KF68:KG69"/>
    <mergeCell ref="KH68:KI69"/>
    <mergeCell ref="KJ68:KK69"/>
    <mergeCell ref="KL68:KM69"/>
    <mergeCell ref="KN68:KO69"/>
    <mergeCell ref="KP68:KQ69"/>
    <mergeCell ref="KR68:KS69"/>
    <mergeCell ref="KT68:KU69"/>
    <mergeCell ref="KF70:KG71"/>
    <mergeCell ref="KH70:KI71"/>
    <mergeCell ref="KJ70:KK71"/>
    <mergeCell ref="KL70:KM71"/>
    <mergeCell ref="KN70:KO71"/>
    <mergeCell ref="KP70:KQ71"/>
    <mergeCell ref="KR70:KS71"/>
    <mergeCell ref="KT70:KU71"/>
    <mergeCell ref="KL60:KM61"/>
    <mergeCell ref="KN60:KO61"/>
    <mergeCell ref="KP60:KQ61"/>
    <mergeCell ref="KR60:KS61"/>
    <mergeCell ref="KT60:KU61"/>
    <mergeCell ref="KF62:KG63"/>
    <mergeCell ref="KH62:KI63"/>
    <mergeCell ref="KJ62:KK63"/>
    <mergeCell ref="KL62:KM63"/>
    <mergeCell ref="KN62:KO63"/>
    <mergeCell ref="KP62:KQ63"/>
    <mergeCell ref="KR62:KS63"/>
    <mergeCell ref="KT62:KU63"/>
    <mergeCell ref="KF64:KG65"/>
    <mergeCell ref="KH64:KI65"/>
    <mergeCell ref="KJ64:KK65"/>
    <mergeCell ref="KL64:KM65"/>
    <mergeCell ref="KN64:KO65"/>
    <mergeCell ref="KP64:KQ65"/>
    <mergeCell ref="KR64:KS65"/>
    <mergeCell ref="KT64:KU65"/>
    <mergeCell ref="KF54:KG55"/>
    <mergeCell ref="KH54:KI55"/>
    <mergeCell ref="KJ54:KK55"/>
    <mergeCell ref="KL54:KM55"/>
    <mergeCell ref="KN54:KO55"/>
    <mergeCell ref="KP54:KQ55"/>
    <mergeCell ref="KR54:KS55"/>
    <mergeCell ref="KT54:KU55"/>
    <mergeCell ref="KF56:KG57"/>
    <mergeCell ref="KH56:KI57"/>
    <mergeCell ref="KJ56:KK57"/>
    <mergeCell ref="KL56:KM57"/>
    <mergeCell ref="KN56:KO57"/>
    <mergeCell ref="KP56:KQ57"/>
    <mergeCell ref="KR56:KS57"/>
    <mergeCell ref="KT56:KU57"/>
    <mergeCell ref="KF58:KG59"/>
    <mergeCell ref="KH58:KI59"/>
    <mergeCell ref="KJ58:KK59"/>
    <mergeCell ref="KL58:KM59"/>
    <mergeCell ref="KN58:KO59"/>
    <mergeCell ref="KP58:KQ59"/>
    <mergeCell ref="KR58:KS59"/>
    <mergeCell ref="KT58:KU59"/>
    <mergeCell ref="KF20:KG21"/>
    <mergeCell ref="KH20:KI21"/>
    <mergeCell ref="KJ20:KK21"/>
    <mergeCell ref="KL20:KM21"/>
    <mergeCell ref="KN20:KO21"/>
    <mergeCell ref="KP20:KQ21"/>
    <mergeCell ref="KR20:KS21"/>
    <mergeCell ref="KT20:KU21"/>
    <mergeCell ref="KV20:KW21"/>
    <mergeCell ref="KX20:KY21"/>
    <mergeCell ref="KF22:KG23"/>
    <mergeCell ref="KH22:KI23"/>
    <mergeCell ref="KJ22:KK23"/>
    <mergeCell ref="KL22:KM23"/>
    <mergeCell ref="KN22:KO23"/>
    <mergeCell ref="KP22:KQ23"/>
    <mergeCell ref="KR22:KS23"/>
    <mergeCell ref="KT22:KU23"/>
    <mergeCell ref="KV22:KW23"/>
    <mergeCell ref="KX22:KY23"/>
    <mergeCell ref="KF16:KG17"/>
    <mergeCell ref="KH16:KI17"/>
    <mergeCell ref="KJ16:KK17"/>
    <mergeCell ref="KL16:KM17"/>
    <mergeCell ref="KN16:KO17"/>
    <mergeCell ref="KP16:KQ17"/>
    <mergeCell ref="KR16:KS17"/>
    <mergeCell ref="KT16:KU17"/>
    <mergeCell ref="KV16:KW17"/>
    <mergeCell ref="KX16:KY17"/>
    <mergeCell ref="KF18:KG19"/>
    <mergeCell ref="KH18:KI19"/>
    <mergeCell ref="KJ18:KK19"/>
    <mergeCell ref="KL18:KM19"/>
    <mergeCell ref="KN18:KO19"/>
    <mergeCell ref="KP18:KQ19"/>
    <mergeCell ref="KR18:KS19"/>
    <mergeCell ref="KT18:KU19"/>
    <mergeCell ref="KV18:KW19"/>
    <mergeCell ref="KX18:KY19"/>
    <mergeCell ref="KF12:KG13"/>
    <mergeCell ref="KH12:KI13"/>
    <mergeCell ref="KJ12:KK13"/>
    <mergeCell ref="KL12:KM13"/>
    <mergeCell ref="KN12:KO13"/>
    <mergeCell ref="KP12:KQ13"/>
    <mergeCell ref="KR12:KS13"/>
    <mergeCell ref="KT12:KU13"/>
    <mergeCell ref="KV12:KW13"/>
    <mergeCell ref="KX12:KY13"/>
    <mergeCell ref="KF14:KG15"/>
    <mergeCell ref="KH14:KI15"/>
    <mergeCell ref="KJ14:KK15"/>
    <mergeCell ref="KL14:KM15"/>
    <mergeCell ref="KN14:KO15"/>
    <mergeCell ref="KP14:KQ15"/>
    <mergeCell ref="KR14:KS15"/>
    <mergeCell ref="KT14:KU15"/>
    <mergeCell ref="KV14:KW15"/>
    <mergeCell ref="KX14:KY15"/>
    <mergeCell ref="KF8:KG9"/>
    <mergeCell ref="KH8:KI9"/>
    <mergeCell ref="KJ8:KK9"/>
    <mergeCell ref="KL8:KM9"/>
    <mergeCell ref="KN8:KO9"/>
    <mergeCell ref="KP8:KQ9"/>
    <mergeCell ref="KR8:KS9"/>
    <mergeCell ref="KT8:KU9"/>
    <mergeCell ref="KV8:KW9"/>
    <mergeCell ref="KX8:KY9"/>
    <mergeCell ref="KF10:KG11"/>
    <mergeCell ref="KH10:KI11"/>
    <mergeCell ref="KJ10:KK11"/>
    <mergeCell ref="KL10:KM11"/>
    <mergeCell ref="KN10:KO11"/>
    <mergeCell ref="KP10:KQ11"/>
    <mergeCell ref="KR10:KS11"/>
    <mergeCell ref="KT10:KU11"/>
    <mergeCell ref="KV10:KW11"/>
    <mergeCell ref="KX10:KY11"/>
    <mergeCell ref="KF4:KG5"/>
    <mergeCell ref="KH4:KI5"/>
    <mergeCell ref="KJ4:KK5"/>
    <mergeCell ref="KL4:KM5"/>
    <mergeCell ref="KN4:KO5"/>
    <mergeCell ref="KP4:KQ5"/>
    <mergeCell ref="KR4:KS5"/>
    <mergeCell ref="KT4:KU5"/>
    <mergeCell ref="KV4:KW5"/>
    <mergeCell ref="KX4:KY5"/>
    <mergeCell ref="KF6:KG7"/>
    <mergeCell ref="KH6:KI7"/>
    <mergeCell ref="KJ6:KK7"/>
    <mergeCell ref="KL6:KM7"/>
    <mergeCell ref="KN6:KO7"/>
    <mergeCell ref="KP6:KQ7"/>
    <mergeCell ref="KR6:KS7"/>
    <mergeCell ref="KT6:KU7"/>
    <mergeCell ref="KV6:KW7"/>
    <mergeCell ref="KX6:KY7"/>
    <mergeCell ref="JI165:JJ166"/>
    <mergeCell ref="JK165:JL166"/>
    <mergeCell ref="JM165:JN166"/>
    <mergeCell ref="JO165:JP166"/>
    <mergeCell ref="JI167:JJ168"/>
    <mergeCell ref="JK167:JL168"/>
    <mergeCell ref="JM167:JN168"/>
    <mergeCell ref="JO167:JP168"/>
    <mergeCell ref="JI169:JJ170"/>
    <mergeCell ref="JK169:JL170"/>
    <mergeCell ref="JM169:JN170"/>
    <mergeCell ref="JO169:JP170"/>
    <mergeCell ref="JI171:JJ172"/>
    <mergeCell ref="JK171:JL172"/>
    <mergeCell ref="JM171:JN172"/>
    <mergeCell ref="JO171:JP172"/>
    <mergeCell ref="JY118:JZ119"/>
    <mergeCell ref="JY120:JZ121"/>
    <mergeCell ref="JY122:JZ123"/>
    <mergeCell ref="JY124:JZ125"/>
    <mergeCell ref="JY126:JZ127"/>
    <mergeCell ref="JY128:JZ129"/>
    <mergeCell ref="JY130:JZ131"/>
    <mergeCell ref="JY132:JZ133"/>
    <mergeCell ref="JY134:JZ135"/>
    <mergeCell ref="JI130:JJ131"/>
    <mergeCell ref="JK130:JL131"/>
    <mergeCell ref="JM130:JN131"/>
    <mergeCell ref="JO130:JP131"/>
    <mergeCell ref="JQ130:JR131"/>
    <mergeCell ref="JS130:JT131"/>
    <mergeCell ref="JU130:JV131"/>
    <mergeCell ref="JW130:JX131"/>
    <mergeCell ref="JI132:JJ133"/>
    <mergeCell ref="JK132:JL133"/>
    <mergeCell ref="JM132:JN133"/>
    <mergeCell ref="JO132:JP133"/>
    <mergeCell ref="JQ132:JR133"/>
    <mergeCell ref="JS132:JT133"/>
    <mergeCell ref="JU132:JV133"/>
    <mergeCell ref="JW132:JX133"/>
    <mergeCell ref="JI134:JJ135"/>
    <mergeCell ref="JK134:JL135"/>
    <mergeCell ref="JM134:JN135"/>
    <mergeCell ref="JO134:JP135"/>
    <mergeCell ref="JQ134:JR135"/>
    <mergeCell ref="JS134:JT135"/>
    <mergeCell ref="JU134:JV135"/>
    <mergeCell ref="JW134:JX135"/>
    <mergeCell ref="JI124:JJ125"/>
    <mergeCell ref="JK124:JL125"/>
    <mergeCell ref="JM124:JN125"/>
    <mergeCell ref="JO124:JP125"/>
    <mergeCell ref="JQ124:JR125"/>
    <mergeCell ref="JS124:JT125"/>
    <mergeCell ref="JU124:JV125"/>
    <mergeCell ref="JW124:JX125"/>
    <mergeCell ref="JI126:JJ127"/>
    <mergeCell ref="JK126:JL127"/>
    <mergeCell ref="JM126:JN127"/>
    <mergeCell ref="JO126:JP127"/>
    <mergeCell ref="JQ126:JR127"/>
    <mergeCell ref="JS126:JT127"/>
    <mergeCell ref="JU126:JV127"/>
    <mergeCell ref="JW126:JX127"/>
    <mergeCell ref="JI128:JJ129"/>
    <mergeCell ref="JK128:JL129"/>
    <mergeCell ref="JM128:JN129"/>
    <mergeCell ref="JO128:JP129"/>
    <mergeCell ref="JQ128:JR129"/>
    <mergeCell ref="JS128:JT129"/>
    <mergeCell ref="JU128:JV129"/>
    <mergeCell ref="JW128:JX129"/>
    <mergeCell ref="JQ118:JR119"/>
    <mergeCell ref="JS118:JT119"/>
    <mergeCell ref="JU118:JV119"/>
    <mergeCell ref="JW118:JX119"/>
    <mergeCell ref="JI120:JJ121"/>
    <mergeCell ref="JK120:JL121"/>
    <mergeCell ref="JM120:JN121"/>
    <mergeCell ref="JO120:JP121"/>
    <mergeCell ref="JQ120:JR121"/>
    <mergeCell ref="JS120:JT121"/>
    <mergeCell ref="JU120:JV121"/>
    <mergeCell ref="JW120:JX121"/>
    <mergeCell ref="JI122:JJ123"/>
    <mergeCell ref="JK122:JL123"/>
    <mergeCell ref="JM122:JN123"/>
    <mergeCell ref="JO122:JP123"/>
    <mergeCell ref="JQ122:JR123"/>
    <mergeCell ref="JS122:JT123"/>
    <mergeCell ref="JU122:JV123"/>
    <mergeCell ref="JW122:JX123"/>
    <mergeCell ref="JI94:JJ95"/>
    <mergeCell ref="JK94:JL95"/>
    <mergeCell ref="JM94:JN95"/>
    <mergeCell ref="JO94:JP95"/>
    <mergeCell ref="JI96:JJ97"/>
    <mergeCell ref="JK96:JL97"/>
    <mergeCell ref="JM96:JN97"/>
    <mergeCell ref="JO96:JP97"/>
    <mergeCell ref="JI98:JJ99"/>
    <mergeCell ref="JK98:JL99"/>
    <mergeCell ref="JM98:JN99"/>
    <mergeCell ref="JO98:JP99"/>
    <mergeCell ref="JI100:JJ101"/>
    <mergeCell ref="JK100:JL101"/>
    <mergeCell ref="JM100:JN101"/>
    <mergeCell ref="JO100:JP101"/>
    <mergeCell ref="JI118:JJ119"/>
    <mergeCell ref="JK118:JL119"/>
    <mergeCell ref="JM118:JN119"/>
    <mergeCell ref="JO118:JP119"/>
    <mergeCell ref="JI66:JJ67"/>
    <mergeCell ref="JK66:JL67"/>
    <mergeCell ref="JM66:JN67"/>
    <mergeCell ref="JO66:JP67"/>
    <mergeCell ref="JQ66:JR67"/>
    <mergeCell ref="JS66:JT67"/>
    <mergeCell ref="JU66:JV67"/>
    <mergeCell ref="JW66:JX67"/>
    <mergeCell ref="JI68:JJ69"/>
    <mergeCell ref="JK68:JL69"/>
    <mergeCell ref="JM68:JN69"/>
    <mergeCell ref="JO68:JP69"/>
    <mergeCell ref="JQ68:JR69"/>
    <mergeCell ref="JS68:JT69"/>
    <mergeCell ref="JU68:JV69"/>
    <mergeCell ref="JW68:JX69"/>
    <mergeCell ref="JI70:JJ71"/>
    <mergeCell ref="JK70:JL71"/>
    <mergeCell ref="JM70:JN71"/>
    <mergeCell ref="JO70:JP71"/>
    <mergeCell ref="JQ70:JR71"/>
    <mergeCell ref="JS70:JT71"/>
    <mergeCell ref="JU70:JV71"/>
    <mergeCell ref="JW70:JX71"/>
    <mergeCell ref="JI60:JJ61"/>
    <mergeCell ref="JK60:JL61"/>
    <mergeCell ref="JM60:JN61"/>
    <mergeCell ref="JO60:JP61"/>
    <mergeCell ref="JQ60:JR61"/>
    <mergeCell ref="JS60:JT61"/>
    <mergeCell ref="JU60:JV61"/>
    <mergeCell ref="JW60:JX61"/>
    <mergeCell ref="JI62:JJ63"/>
    <mergeCell ref="JK62:JL63"/>
    <mergeCell ref="JM62:JN63"/>
    <mergeCell ref="JO62:JP63"/>
    <mergeCell ref="JQ62:JR63"/>
    <mergeCell ref="JS62:JT63"/>
    <mergeCell ref="JU62:JV63"/>
    <mergeCell ref="JW62:JX63"/>
    <mergeCell ref="JI64:JJ65"/>
    <mergeCell ref="JK64:JL65"/>
    <mergeCell ref="JM64:JN65"/>
    <mergeCell ref="JO64:JP65"/>
    <mergeCell ref="JQ64:JR65"/>
    <mergeCell ref="JS64:JT65"/>
    <mergeCell ref="JU64:JV65"/>
    <mergeCell ref="JW64:JX65"/>
    <mergeCell ref="JI54:JJ55"/>
    <mergeCell ref="JK54:JL55"/>
    <mergeCell ref="JM54:JN55"/>
    <mergeCell ref="JO54:JP55"/>
    <mergeCell ref="JQ54:JR55"/>
    <mergeCell ref="JS54:JT55"/>
    <mergeCell ref="JU54:JV55"/>
    <mergeCell ref="JW54:JX55"/>
    <mergeCell ref="JI56:JJ57"/>
    <mergeCell ref="JK56:JL57"/>
    <mergeCell ref="JM56:JN57"/>
    <mergeCell ref="JO56:JP57"/>
    <mergeCell ref="JQ56:JR57"/>
    <mergeCell ref="JS56:JT57"/>
    <mergeCell ref="JU56:JV57"/>
    <mergeCell ref="JW56:JX57"/>
    <mergeCell ref="JI58:JJ59"/>
    <mergeCell ref="JK58:JL59"/>
    <mergeCell ref="JM58:JN59"/>
    <mergeCell ref="JO58:JP59"/>
    <mergeCell ref="JQ58:JR59"/>
    <mergeCell ref="JS58:JT59"/>
    <mergeCell ref="JU58:JV59"/>
    <mergeCell ref="JW58:JX59"/>
    <mergeCell ref="JI20:JJ21"/>
    <mergeCell ref="JK20:JL21"/>
    <mergeCell ref="JM20:JN21"/>
    <mergeCell ref="JO20:JP21"/>
    <mergeCell ref="JQ20:JR21"/>
    <mergeCell ref="JS20:JT21"/>
    <mergeCell ref="JU20:JV21"/>
    <mergeCell ref="JW20:JX21"/>
    <mergeCell ref="JY20:JZ21"/>
    <mergeCell ref="KA20:KB21"/>
    <mergeCell ref="JI22:JJ23"/>
    <mergeCell ref="JK22:JL23"/>
    <mergeCell ref="JM22:JN23"/>
    <mergeCell ref="JO22:JP23"/>
    <mergeCell ref="JQ22:JR23"/>
    <mergeCell ref="JS22:JT23"/>
    <mergeCell ref="JU22:JV23"/>
    <mergeCell ref="JW22:JX23"/>
    <mergeCell ref="JY22:JZ23"/>
    <mergeCell ref="KA22:KB23"/>
    <mergeCell ref="JI16:JJ17"/>
    <mergeCell ref="JK16:JL17"/>
    <mergeCell ref="JM16:JN17"/>
    <mergeCell ref="JO16:JP17"/>
    <mergeCell ref="JQ16:JR17"/>
    <mergeCell ref="JS16:JT17"/>
    <mergeCell ref="JU16:JV17"/>
    <mergeCell ref="JW16:JX17"/>
    <mergeCell ref="JY16:JZ17"/>
    <mergeCell ref="KA16:KB17"/>
    <mergeCell ref="JI18:JJ19"/>
    <mergeCell ref="JK18:JL19"/>
    <mergeCell ref="JM18:JN19"/>
    <mergeCell ref="JO18:JP19"/>
    <mergeCell ref="JQ18:JR19"/>
    <mergeCell ref="JS18:JT19"/>
    <mergeCell ref="JU18:JV19"/>
    <mergeCell ref="JW18:JX19"/>
    <mergeCell ref="JY18:JZ19"/>
    <mergeCell ref="KA18:KB19"/>
    <mergeCell ref="JI12:JJ13"/>
    <mergeCell ref="JK12:JL13"/>
    <mergeCell ref="JM12:JN13"/>
    <mergeCell ref="JO12:JP13"/>
    <mergeCell ref="JQ12:JR13"/>
    <mergeCell ref="JS12:JT13"/>
    <mergeCell ref="JU12:JV13"/>
    <mergeCell ref="JW12:JX13"/>
    <mergeCell ref="JY12:JZ13"/>
    <mergeCell ref="KA12:KB13"/>
    <mergeCell ref="JI14:JJ15"/>
    <mergeCell ref="JK14:JL15"/>
    <mergeCell ref="JM14:JN15"/>
    <mergeCell ref="JO14:JP15"/>
    <mergeCell ref="JQ14:JR15"/>
    <mergeCell ref="JS14:JT15"/>
    <mergeCell ref="JU14:JV15"/>
    <mergeCell ref="JW14:JX15"/>
    <mergeCell ref="JY14:JZ15"/>
    <mergeCell ref="KA14:KB15"/>
    <mergeCell ref="JI8:JJ9"/>
    <mergeCell ref="JK8:JL9"/>
    <mergeCell ref="JM8:JN9"/>
    <mergeCell ref="JO8:JP9"/>
    <mergeCell ref="JQ8:JR9"/>
    <mergeCell ref="JS8:JT9"/>
    <mergeCell ref="JU8:JV9"/>
    <mergeCell ref="JW8:JX9"/>
    <mergeCell ref="JY8:JZ9"/>
    <mergeCell ref="KA8:KB9"/>
    <mergeCell ref="JI10:JJ11"/>
    <mergeCell ref="JK10:JL11"/>
    <mergeCell ref="JM10:JN11"/>
    <mergeCell ref="JO10:JP11"/>
    <mergeCell ref="JQ10:JR11"/>
    <mergeCell ref="JS10:JT11"/>
    <mergeCell ref="JU10:JV11"/>
    <mergeCell ref="JW10:JX11"/>
    <mergeCell ref="JY10:JZ11"/>
    <mergeCell ref="KA10:KB11"/>
    <mergeCell ref="JI4:JJ5"/>
    <mergeCell ref="JK4:JL5"/>
    <mergeCell ref="JM4:JN5"/>
    <mergeCell ref="JO4:JP5"/>
    <mergeCell ref="JQ4:JR5"/>
    <mergeCell ref="JS4:JT5"/>
    <mergeCell ref="JU4:JV5"/>
    <mergeCell ref="JW4:JX5"/>
    <mergeCell ref="JY4:JZ5"/>
    <mergeCell ref="KA4:KB5"/>
    <mergeCell ref="JI6:JJ7"/>
    <mergeCell ref="JK6:JL7"/>
    <mergeCell ref="JM6:JN7"/>
    <mergeCell ref="JO6:JP7"/>
    <mergeCell ref="JQ6:JR7"/>
    <mergeCell ref="JS6:JT7"/>
    <mergeCell ref="JU6:JV7"/>
    <mergeCell ref="JW6:JX7"/>
    <mergeCell ref="JY6:JZ7"/>
    <mergeCell ref="KA6:KB7"/>
    <mergeCell ref="IM165:IN166"/>
    <mergeCell ref="IO165:IP166"/>
    <mergeCell ref="IQ165:IR166"/>
    <mergeCell ref="IK167:IL168"/>
    <mergeCell ref="IM167:IN168"/>
    <mergeCell ref="IO167:IP168"/>
    <mergeCell ref="IQ167:IR168"/>
    <mergeCell ref="IK169:IL170"/>
    <mergeCell ref="IM169:IN170"/>
    <mergeCell ref="IO169:IP170"/>
    <mergeCell ref="IQ169:IR170"/>
    <mergeCell ref="IK171:IL172"/>
    <mergeCell ref="IM171:IN172"/>
    <mergeCell ref="IO171:IP172"/>
    <mergeCell ref="IQ171:IR172"/>
    <mergeCell ref="JF2:JH2"/>
    <mergeCell ref="IM132:IN133"/>
    <mergeCell ref="IO132:IP133"/>
    <mergeCell ref="IQ132:IR133"/>
    <mergeCell ref="IS132:IT133"/>
    <mergeCell ref="IU132:IV133"/>
    <mergeCell ref="IW132:IX133"/>
    <mergeCell ref="IY132:IZ133"/>
    <mergeCell ref="JA132:JB133"/>
    <mergeCell ref="IK134:IL135"/>
    <mergeCell ref="IM134:IN135"/>
    <mergeCell ref="IO134:IP135"/>
    <mergeCell ref="IQ134:IR135"/>
    <mergeCell ref="IS134:IT135"/>
    <mergeCell ref="IU134:IV135"/>
    <mergeCell ref="IW134:IX135"/>
    <mergeCell ref="IY134:IZ135"/>
    <mergeCell ref="JA134:JB135"/>
    <mergeCell ref="IM128:IN129"/>
    <mergeCell ref="IO128:IP129"/>
    <mergeCell ref="IQ128:IR129"/>
    <mergeCell ref="IS128:IT129"/>
    <mergeCell ref="IU128:IV129"/>
    <mergeCell ref="IW128:IX129"/>
    <mergeCell ref="IY128:IZ129"/>
    <mergeCell ref="JA128:JB129"/>
    <mergeCell ref="IK130:IL131"/>
    <mergeCell ref="IM130:IN131"/>
    <mergeCell ref="IO130:IP131"/>
    <mergeCell ref="IQ130:IR131"/>
    <mergeCell ref="IS130:IT131"/>
    <mergeCell ref="IU130:IV131"/>
    <mergeCell ref="IW130:IX131"/>
    <mergeCell ref="IY130:IZ131"/>
    <mergeCell ref="JA130:JB131"/>
    <mergeCell ref="IM124:IN125"/>
    <mergeCell ref="IO124:IP125"/>
    <mergeCell ref="IQ124:IR125"/>
    <mergeCell ref="IS124:IT125"/>
    <mergeCell ref="IU124:IV125"/>
    <mergeCell ref="IW124:IX125"/>
    <mergeCell ref="IY124:IZ125"/>
    <mergeCell ref="JA124:JB125"/>
    <mergeCell ref="IK126:IL127"/>
    <mergeCell ref="IM126:IN127"/>
    <mergeCell ref="IO126:IP127"/>
    <mergeCell ref="IQ126:IR127"/>
    <mergeCell ref="IS126:IT127"/>
    <mergeCell ref="IU126:IV127"/>
    <mergeCell ref="IW126:IX127"/>
    <mergeCell ref="IY126:IZ127"/>
    <mergeCell ref="JA126:JB127"/>
    <mergeCell ref="IS118:IT119"/>
    <mergeCell ref="IU118:IV119"/>
    <mergeCell ref="IW118:IX119"/>
    <mergeCell ref="IY118:IZ119"/>
    <mergeCell ref="JA118:JB119"/>
    <mergeCell ref="IK120:IL121"/>
    <mergeCell ref="IM120:IN121"/>
    <mergeCell ref="IO120:IP121"/>
    <mergeCell ref="IQ120:IR121"/>
    <mergeCell ref="IS120:IT121"/>
    <mergeCell ref="IU120:IV121"/>
    <mergeCell ref="IW120:IX121"/>
    <mergeCell ref="IY120:IZ121"/>
    <mergeCell ref="JA120:JB121"/>
    <mergeCell ref="IK122:IL123"/>
    <mergeCell ref="IM122:IN123"/>
    <mergeCell ref="IO122:IP123"/>
    <mergeCell ref="IQ122:IR123"/>
    <mergeCell ref="IS122:IT123"/>
    <mergeCell ref="IU122:IV123"/>
    <mergeCell ref="IW122:IX123"/>
    <mergeCell ref="IY122:IZ123"/>
    <mergeCell ref="JA122:JB123"/>
    <mergeCell ref="IM94:IN95"/>
    <mergeCell ref="IO94:IP95"/>
    <mergeCell ref="IQ94:IR95"/>
    <mergeCell ref="IK96:IL97"/>
    <mergeCell ref="IM96:IN97"/>
    <mergeCell ref="IO96:IP97"/>
    <mergeCell ref="IQ96:IR97"/>
    <mergeCell ref="IK98:IL99"/>
    <mergeCell ref="IM98:IN99"/>
    <mergeCell ref="IO98:IP99"/>
    <mergeCell ref="IQ98:IR99"/>
    <mergeCell ref="IK100:IL101"/>
    <mergeCell ref="IM100:IN101"/>
    <mergeCell ref="IO100:IP101"/>
    <mergeCell ref="IQ100:IR101"/>
    <mergeCell ref="IK118:IL119"/>
    <mergeCell ref="IM118:IN119"/>
    <mergeCell ref="IO118:IP119"/>
    <mergeCell ref="IQ118:IR119"/>
    <mergeCell ref="IM66:IN67"/>
    <mergeCell ref="IO66:IP67"/>
    <mergeCell ref="IQ66:IR67"/>
    <mergeCell ref="IS66:IT67"/>
    <mergeCell ref="IU66:IV67"/>
    <mergeCell ref="IW66:IX67"/>
    <mergeCell ref="IY66:IZ67"/>
    <mergeCell ref="IK68:IL69"/>
    <mergeCell ref="IM68:IN69"/>
    <mergeCell ref="IO68:IP69"/>
    <mergeCell ref="IQ68:IR69"/>
    <mergeCell ref="IS68:IT69"/>
    <mergeCell ref="IU68:IV69"/>
    <mergeCell ref="IW68:IX69"/>
    <mergeCell ref="IY68:IZ69"/>
    <mergeCell ref="IK70:IL71"/>
    <mergeCell ref="IM70:IN71"/>
    <mergeCell ref="IO70:IP71"/>
    <mergeCell ref="IQ70:IR71"/>
    <mergeCell ref="IS70:IT71"/>
    <mergeCell ref="IU70:IV71"/>
    <mergeCell ref="IW70:IX71"/>
    <mergeCell ref="IY70:IZ71"/>
    <mergeCell ref="IM60:IN61"/>
    <mergeCell ref="IO60:IP61"/>
    <mergeCell ref="IQ60:IR61"/>
    <mergeCell ref="IS60:IT61"/>
    <mergeCell ref="IU60:IV61"/>
    <mergeCell ref="IW60:IX61"/>
    <mergeCell ref="IY60:IZ61"/>
    <mergeCell ref="IK62:IL63"/>
    <mergeCell ref="IM62:IN63"/>
    <mergeCell ref="IO62:IP63"/>
    <mergeCell ref="IQ62:IR63"/>
    <mergeCell ref="IS62:IT63"/>
    <mergeCell ref="IU62:IV63"/>
    <mergeCell ref="IW62:IX63"/>
    <mergeCell ref="IY62:IZ63"/>
    <mergeCell ref="IK64:IL65"/>
    <mergeCell ref="IM64:IN65"/>
    <mergeCell ref="IO64:IP65"/>
    <mergeCell ref="IQ64:IR65"/>
    <mergeCell ref="IS64:IT65"/>
    <mergeCell ref="IU64:IV65"/>
    <mergeCell ref="IW64:IX65"/>
    <mergeCell ref="IY64:IZ65"/>
    <mergeCell ref="IM54:IN55"/>
    <mergeCell ref="IO54:IP55"/>
    <mergeCell ref="IQ54:IR55"/>
    <mergeCell ref="IS54:IT55"/>
    <mergeCell ref="IU54:IV55"/>
    <mergeCell ref="IW54:IX55"/>
    <mergeCell ref="IY54:IZ55"/>
    <mergeCell ref="IK56:IL57"/>
    <mergeCell ref="IM56:IN57"/>
    <mergeCell ref="IO56:IP57"/>
    <mergeCell ref="IQ56:IR57"/>
    <mergeCell ref="IS56:IT57"/>
    <mergeCell ref="IU56:IV57"/>
    <mergeCell ref="IW56:IX57"/>
    <mergeCell ref="IY56:IZ57"/>
    <mergeCell ref="IK58:IL59"/>
    <mergeCell ref="IM58:IN59"/>
    <mergeCell ref="IO58:IP59"/>
    <mergeCell ref="IQ58:IR59"/>
    <mergeCell ref="IS58:IT59"/>
    <mergeCell ref="IU58:IV59"/>
    <mergeCell ref="IW58:IX59"/>
    <mergeCell ref="IY58:IZ59"/>
    <mergeCell ref="IM20:IN21"/>
    <mergeCell ref="IO20:IP21"/>
    <mergeCell ref="IQ20:IR21"/>
    <mergeCell ref="IS20:IT21"/>
    <mergeCell ref="IU20:IV21"/>
    <mergeCell ref="IW20:IX21"/>
    <mergeCell ref="IY20:IZ21"/>
    <mergeCell ref="JA20:JB21"/>
    <mergeCell ref="JC20:JD21"/>
    <mergeCell ref="IK22:IL23"/>
    <mergeCell ref="IM22:IN23"/>
    <mergeCell ref="IO22:IP23"/>
    <mergeCell ref="IQ22:IR23"/>
    <mergeCell ref="IS22:IT23"/>
    <mergeCell ref="IU22:IV23"/>
    <mergeCell ref="IW22:IX23"/>
    <mergeCell ref="IY22:IZ23"/>
    <mergeCell ref="JA22:JB23"/>
    <mergeCell ref="JC22:JD23"/>
    <mergeCell ref="IM16:IN17"/>
    <mergeCell ref="IO16:IP17"/>
    <mergeCell ref="IQ16:IR17"/>
    <mergeCell ref="IS16:IT17"/>
    <mergeCell ref="IU16:IV17"/>
    <mergeCell ref="IW16:IX17"/>
    <mergeCell ref="IY16:IZ17"/>
    <mergeCell ref="JA16:JB17"/>
    <mergeCell ref="JC16:JD17"/>
    <mergeCell ref="IK18:IL19"/>
    <mergeCell ref="IM18:IN19"/>
    <mergeCell ref="IO18:IP19"/>
    <mergeCell ref="IQ18:IR19"/>
    <mergeCell ref="IS18:IT19"/>
    <mergeCell ref="IU18:IV19"/>
    <mergeCell ref="IW18:IX19"/>
    <mergeCell ref="IY18:IZ19"/>
    <mergeCell ref="JA18:JB19"/>
    <mergeCell ref="JC18:JD19"/>
    <mergeCell ref="IM12:IN13"/>
    <mergeCell ref="IO12:IP13"/>
    <mergeCell ref="IQ12:IR13"/>
    <mergeCell ref="IS12:IT13"/>
    <mergeCell ref="IU12:IV13"/>
    <mergeCell ref="IW12:IX13"/>
    <mergeCell ref="IY12:IZ13"/>
    <mergeCell ref="JA12:JB13"/>
    <mergeCell ref="JC12:JD13"/>
    <mergeCell ref="IK14:IL15"/>
    <mergeCell ref="IM14:IN15"/>
    <mergeCell ref="IO14:IP15"/>
    <mergeCell ref="IQ14:IR15"/>
    <mergeCell ref="IS14:IT15"/>
    <mergeCell ref="IU14:IV15"/>
    <mergeCell ref="IW14:IX15"/>
    <mergeCell ref="IY14:IZ15"/>
    <mergeCell ref="JA14:JB15"/>
    <mergeCell ref="JC14:JD15"/>
    <mergeCell ref="IM8:IN9"/>
    <mergeCell ref="IO8:IP9"/>
    <mergeCell ref="IQ8:IR9"/>
    <mergeCell ref="IS8:IT9"/>
    <mergeCell ref="IU8:IV9"/>
    <mergeCell ref="IW8:IX9"/>
    <mergeCell ref="IY8:IZ9"/>
    <mergeCell ref="JA8:JB9"/>
    <mergeCell ref="JC8:JD9"/>
    <mergeCell ref="IK10:IL11"/>
    <mergeCell ref="IM10:IN11"/>
    <mergeCell ref="IO10:IP11"/>
    <mergeCell ref="IQ10:IR11"/>
    <mergeCell ref="IS10:IT11"/>
    <mergeCell ref="IU10:IV11"/>
    <mergeCell ref="IW10:IX11"/>
    <mergeCell ref="IY10:IZ11"/>
    <mergeCell ref="JA10:JB11"/>
    <mergeCell ref="JC10:JD11"/>
    <mergeCell ref="IM4:IN5"/>
    <mergeCell ref="IO4:IP5"/>
    <mergeCell ref="IQ4:IR5"/>
    <mergeCell ref="IS4:IT5"/>
    <mergeCell ref="IU4:IV5"/>
    <mergeCell ref="IW4:IX5"/>
    <mergeCell ref="IY4:IZ5"/>
    <mergeCell ref="JA4:JB5"/>
    <mergeCell ref="JC4:JD5"/>
    <mergeCell ref="IK6:IL7"/>
    <mergeCell ref="IM6:IN7"/>
    <mergeCell ref="IO6:IP7"/>
    <mergeCell ref="IQ6:IR7"/>
    <mergeCell ref="IS6:IT7"/>
    <mergeCell ref="IU6:IV7"/>
    <mergeCell ref="IW6:IX7"/>
    <mergeCell ref="IY6:IZ7"/>
    <mergeCell ref="JA6:JB7"/>
    <mergeCell ref="JC6:JD7"/>
    <mergeCell ref="HP165:HQ166"/>
    <mergeCell ref="HR165:HS166"/>
    <mergeCell ref="HT165:HU166"/>
    <mergeCell ref="HN167:HO168"/>
    <mergeCell ref="HP167:HQ168"/>
    <mergeCell ref="HR167:HS168"/>
    <mergeCell ref="HT167:HU168"/>
    <mergeCell ref="HN169:HO170"/>
    <mergeCell ref="HP169:HQ170"/>
    <mergeCell ref="HR169:HS170"/>
    <mergeCell ref="HT169:HU170"/>
    <mergeCell ref="HN171:HO172"/>
    <mergeCell ref="HP171:HQ172"/>
    <mergeCell ref="HR171:HS172"/>
    <mergeCell ref="HT171:HU172"/>
    <mergeCell ref="II2:IJ2"/>
    <mergeCell ref="IK4:IL5"/>
    <mergeCell ref="IK8:IL9"/>
    <mergeCell ref="IK12:IL13"/>
    <mergeCell ref="IK16:IL17"/>
    <mergeCell ref="IK20:IL21"/>
    <mergeCell ref="IK54:IL55"/>
    <mergeCell ref="IK60:IL61"/>
    <mergeCell ref="IK66:IL67"/>
    <mergeCell ref="IK94:IL95"/>
    <mergeCell ref="IK124:IL125"/>
    <mergeCell ref="IK128:IL129"/>
    <mergeCell ref="IK132:IL133"/>
    <mergeCell ref="IK165:IL166"/>
    <mergeCell ref="HP132:HQ133"/>
    <mergeCell ref="HR132:HS133"/>
    <mergeCell ref="HT132:HU133"/>
    <mergeCell ref="HV132:HW133"/>
    <mergeCell ref="HX132:HY133"/>
    <mergeCell ref="HZ132:IA133"/>
    <mergeCell ref="IB132:IC133"/>
    <mergeCell ref="ID132:IE133"/>
    <mergeCell ref="HN134:HO135"/>
    <mergeCell ref="HP134:HQ135"/>
    <mergeCell ref="HR134:HS135"/>
    <mergeCell ref="HT134:HU135"/>
    <mergeCell ref="HV134:HW135"/>
    <mergeCell ref="HX134:HY135"/>
    <mergeCell ref="HZ134:IA135"/>
    <mergeCell ref="IB134:IC135"/>
    <mergeCell ref="ID134:IE135"/>
    <mergeCell ref="HP128:HQ129"/>
    <mergeCell ref="HR128:HS129"/>
    <mergeCell ref="HT128:HU129"/>
    <mergeCell ref="HV128:HW129"/>
    <mergeCell ref="HX128:HY129"/>
    <mergeCell ref="HZ128:IA129"/>
    <mergeCell ref="IB128:IC129"/>
    <mergeCell ref="ID128:IE129"/>
    <mergeCell ref="HN130:HO131"/>
    <mergeCell ref="HP130:HQ131"/>
    <mergeCell ref="HR130:HS131"/>
    <mergeCell ref="HT130:HU131"/>
    <mergeCell ref="HV130:HW131"/>
    <mergeCell ref="HX130:HY131"/>
    <mergeCell ref="HZ130:IA131"/>
    <mergeCell ref="IB130:IC131"/>
    <mergeCell ref="ID130:IE131"/>
    <mergeCell ref="HP124:HQ125"/>
    <mergeCell ref="HR124:HS125"/>
    <mergeCell ref="HT124:HU125"/>
    <mergeCell ref="HV124:HW125"/>
    <mergeCell ref="HX124:HY125"/>
    <mergeCell ref="HZ124:IA125"/>
    <mergeCell ref="IB124:IC125"/>
    <mergeCell ref="ID124:IE125"/>
    <mergeCell ref="HN126:HO127"/>
    <mergeCell ref="HP126:HQ127"/>
    <mergeCell ref="HR126:HS127"/>
    <mergeCell ref="HT126:HU127"/>
    <mergeCell ref="HV126:HW127"/>
    <mergeCell ref="HX126:HY127"/>
    <mergeCell ref="HZ126:IA127"/>
    <mergeCell ref="IB126:IC127"/>
    <mergeCell ref="ID126:IE127"/>
    <mergeCell ref="HV118:HW119"/>
    <mergeCell ref="HX118:HY119"/>
    <mergeCell ref="HZ118:IA119"/>
    <mergeCell ref="IB118:IC119"/>
    <mergeCell ref="ID118:IE119"/>
    <mergeCell ref="HN120:HO121"/>
    <mergeCell ref="HP120:HQ121"/>
    <mergeCell ref="HR120:HS121"/>
    <mergeCell ref="HT120:HU121"/>
    <mergeCell ref="HV120:HW121"/>
    <mergeCell ref="HX120:HY121"/>
    <mergeCell ref="HZ120:IA121"/>
    <mergeCell ref="IB120:IC121"/>
    <mergeCell ref="ID120:IE121"/>
    <mergeCell ref="HN122:HO123"/>
    <mergeCell ref="HP122:HQ123"/>
    <mergeCell ref="HR122:HS123"/>
    <mergeCell ref="HT122:HU123"/>
    <mergeCell ref="HV122:HW123"/>
    <mergeCell ref="HX122:HY123"/>
    <mergeCell ref="HZ122:IA123"/>
    <mergeCell ref="IB122:IC123"/>
    <mergeCell ref="ID122:IE123"/>
    <mergeCell ref="HP94:HQ95"/>
    <mergeCell ref="HR94:HS95"/>
    <mergeCell ref="HT94:HU95"/>
    <mergeCell ref="HN96:HO97"/>
    <mergeCell ref="HP96:HQ97"/>
    <mergeCell ref="HR96:HS97"/>
    <mergeCell ref="HT96:HU97"/>
    <mergeCell ref="HN98:HO99"/>
    <mergeCell ref="HP98:HQ99"/>
    <mergeCell ref="HR98:HS99"/>
    <mergeCell ref="HT98:HU99"/>
    <mergeCell ref="HN100:HO101"/>
    <mergeCell ref="HP100:HQ101"/>
    <mergeCell ref="HR100:HS101"/>
    <mergeCell ref="HT100:HU101"/>
    <mergeCell ref="HN118:HO119"/>
    <mergeCell ref="HP118:HQ119"/>
    <mergeCell ref="HR118:HS119"/>
    <mergeCell ref="HT118:HU119"/>
    <mergeCell ref="HP66:HQ67"/>
    <mergeCell ref="HR66:HS67"/>
    <mergeCell ref="HT66:HU67"/>
    <mergeCell ref="HV66:HW67"/>
    <mergeCell ref="HX66:HY67"/>
    <mergeCell ref="HZ66:IA67"/>
    <mergeCell ref="IB66:IC67"/>
    <mergeCell ref="HN68:HO69"/>
    <mergeCell ref="HP68:HQ69"/>
    <mergeCell ref="HR68:HS69"/>
    <mergeCell ref="HT68:HU69"/>
    <mergeCell ref="HV68:HW69"/>
    <mergeCell ref="HX68:HY69"/>
    <mergeCell ref="HZ68:IA69"/>
    <mergeCell ref="IB68:IC69"/>
    <mergeCell ref="HN70:HO71"/>
    <mergeCell ref="HP70:HQ71"/>
    <mergeCell ref="HR70:HS71"/>
    <mergeCell ref="HT70:HU71"/>
    <mergeCell ref="HV70:HW71"/>
    <mergeCell ref="HX70:HY71"/>
    <mergeCell ref="HZ70:IA71"/>
    <mergeCell ref="IB70:IC71"/>
    <mergeCell ref="HP60:HQ61"/>
    <mergeCell ref="HR60:HS61"/>
    <mergeCell ref="HT60:HU61"/>
    <mergeCell ref="HV60:HW61"/>
    <mergeCell ref="HX60:HY61"/>
    <mergeCell ref="HZ60:IA61"/>
    <mergeCell ref="IB60:IC61"/>
    <mergeCell ref="HN62:HO63"/>
    <mergeCell ref="HP62:HQ63"/>
    <mergeCell ref="HR62:HS63"/>
    <mergeCell ref="HT62:HU63"/>
    <mergeCell ref="HV62:HW63"/>
    <mergeCell ref="HX62:HY63"/>
    <mergeCell ref="HZ62:IA63"/>
    <mergeCell ref="IB62:IC63"/>
    <mergeCell ref="HN64:HO65"/>
    <mergeCell ref="HP64:HQ65"/>
    <mergeCell ref="HR64:HS65"/>
    <mergeCell ref="HT64:HU65"/>
    <mergeCell ref="HV64:HW65"/>
    <mergeCell ref="HX64:HY65"/>
    <mergeCell ref="HZ64:IA65"/>
    <mergeCell ref="IB64:IC65"/>
    <mergeCell ref="HP54:HQ55"/>
    <mergeCell ref="HR54:HS55"/>
    <mergeCell ref="HT54:HU55"/>
    <mergeCell ref="HV54:HW55"/>
    <mergeCell ref="HX54:HY55"/>
    <mergeCell ref="HZ54:IA55"/>
    <mergeCell ref="IB54:IC55"/>
    <mergeCell ref="HN56:HO57"/>
    <mergeCell ref="HP56:HQ57"/>
    <mergeCell ref="HR56:HS57"/>
    <mergeCell ref="HT56:HU57"/>
    <mergeCell ref="HV56:HW57"/>
    <mergeCell ref="HX56:HY57"/>
    <mergeCell ref="HZ56:IA57"/>
    <mergeCell ref="IB56:IC57"/>
    <mergeCell ref="HN58:HO59"/>
    <mergeCell ref="HP58:HQ59"/>
    <mergeCell ref="HR58:HS59"/>
    <mergeCell ref="HT58:HU59"/>
    <mergeCell ref="HV58:HW59"/>
    <mergeCell ref="HX58:HY59"/>
    <mergeCell ref="HZ58:IA59"/>
    <mergeCell ref="IB58:IC59"/>
    <mergeCell ref="HP20:HQ21"/>
    <mergeCell ref="HR20:HS21"/>
    <mergeCell ref="HT20:HU21"/>
    <mergeCell ref="HV20:HW21"/>
    <mergeCell ref="HX20:HY21"/>
    <mergeCell ref="HZ20:IA21"/>
    <mergeCell ref="IB20:IC21"/>
    <mergeCell ref="ID20:IE21"/>
    <mergeCell ref="IF20:IG21"/>
    <mergeCell ref="HN22:HO23"/>
    <mergeCell ref="HP22:HQ23"/>
    <mergeCell ref="HR22:HS23"/>
    <mergeCell ref="HT22:HU23"/>
    <mergeCell ref="HV22:HW23"/>
    <mergeCell ref="HX22:HY23"/>
    <mergeCell ref="HZ22:IA23"/>
    <mergeCell ref="IB22:IC23"/>
    <mergeCell ref="ID22:IE23"/>
    <mergeCell ref="IF22:IG23"/>
    <mergeCell ref="HP16:HQ17"/>
    <mergeCell ref="HR16:HS17"/>
    <mergeCell ref="HT16:HU17"/>
    <mergeCell ref="HV16:HW17"/>
    <mergeCell ref="HX16:HY17"/>
    <mergeCell ref="HZ16:IA17"/>
    <mergeCell ref="IB16:IC17"/>
    <mergeCell ref="ID16:IE17"/>
    <mergeCell ref="IF16:IG17"/>
    <mergeCell ref="HN18:HO19"/>
    <mergeCell ref="HP18:HQ19"/>
    <mergeCell ref="HR18:HS19"/>
    <mergeCell ref="HT18:HU19"/>
    <mergeCell ref="HV18:HW19"/>
    <mergeCell ref="HX18:HY19"/>
    <mergeCell ref="HZ18:IA19"/>
    <mergeCell ref="IB18:IC19"/>
    <mergeCell ref="ID18:IE19"/>
    <mergeCell ref="IF18:IG19"/>
    <mergeCell ref="HP12:HQ13"/>
    <mergeCell ref="HR12:HS13"/>
    <mergeCell ref="HT12:HU13"/>
    <mergeCell ref="HV12:HW13"/>
    <mergeCell ref="HX12:HY13"/>
    <mergeCell ref="HZ12:IA13"/>
    <mergeCell ref="IB12:IC13"/>
    <mergeCell ref="ID12:IE13"/>
    <mergeCell ref="IF12:IG13"/>
    <mergeCell ref="HN14:HO15"/>
    <mergeCell ref="HP14:HQ15"/>
    <mergeCell ref="HR14:HS15"/>
    <mergeCell ref="HT14:HU15"/>
    <mergeCell ref="HV14:HW15"/>
    <mergeCell ref="HX14:HY15"/>
    <mergeCell ref="HZ14:IA15"/>
    <mergeCell ref="IB14:IC15"/>
    <mergeCell ref="ID14:IE15"/>
    <mergeCell ref="IF14:IG15"/>
    <mergeCell ref="HP8:HQ9"/>
    <mergeCell ref="HR8:HS9"/>
    <mergeCell ref="HT8:HU9"/>
    <mergeCell ref="HV8:HW9"/>
    <mergeCell ref="HX8:HY9"/>
    <mergeCell ref="HZ8:IA9"/>
    <mergeCell ref="IB8:IC9"/>
    <mergeCell ref="ID8:IE9"/>
    <mergeCell ref="IF8:IG9"/>
    <mergeCell ref="HN10:HO11"/>
    <mergeCell ref="HP10:HQ11"/>
    <mergeCell ref="HR10:HS11"/>
    <mergeCell ref="HT10:HU11"/>
    <mergeCell ref="HV10:HW11"/>
    <mergeCell ref="HX10:HY11"/>
    <mergeCell ref="HZ10:IA11"/>
    <mergeCell ref="IB10:IC11"/>
    <mergeCell ref="ID10:IE11"/>
    <mergeCell ref="IF10:IG11"/>
    <mergeCell ref="HP4:HQ5"/>
    <mergeCell ref="HR4:HS5"/>
    <mergeCell ref="HT4:HU5"/>
    <mergeCell ref="HV4:HW5"/>
    <mergeCell ref="HX4:HY5"/>
    <mergeCell ref="HZ4:IA5"/>
    <mergeCell ref="IB4:IC5"/>
    <mergeCell ref="ID4:IE5"/>
    <mergeCell ref="IF4:IG5"/>
    <mergeCell ref="HN6:HO7"/>
    <mergeCell ref="HP6:HQ7"/>
    <mergeCell ref="HR6:HS7"/>
    <mergeCell ref="HT6:HU7"/>
    <mergeCell ref="HV6:HW7"/>
    <mergeCell ref="HX6:HY7"/>
    <mergeCell ref="HZ6:IA7"/>
    <mergeCell ref="IB6:IC7"/>
    <mergeCell ref="ID6:IE7"/>
    <mergeCell ref="IF6:IG7"/>
    <mergeCell ref="GR165:GS166"/>
    <mergeCell ref="GT165:GU166"/>
    <mergeCell ref="GV165:GW166"/>
    <mergeCell ref="GX165:GY166"/>
    <mergeCell ref="GR167:GS168"/>
    <mergeCell ref="GT167:GU168"/>
    <mergeCell ref="GV167:GW168"/>
    <mergeCell ref="GX167:GY168"/>
    <mergeCell ref="GR169:GS170"/>
    <mergeCell ref="GT169:GU170"/>
    <mergeCell ref="GV169:GW170"/>
    <mergeCell ref="GX169:GY170"/>
    <mergeCell ref="GR171:GS172"/>
    <mergeCell ref="GT171:GU172"/>
    <mergeCell ref="GV171:GW172"/>
    <mergeCell ref="GX171:GY172"/>
    <mergeCell ref="HN4:HO5"/>
    <mergeCell ref="HN8:HO9"/>
    <mergeCell ref="HN12:HO13"/>
    <mergeCell ref="HN16:HO17"/>
    <mergeCell ref="HN20:HO21"/>
    <mergeCell ref="HN54:HO55"/>
    <mergeCell ref="HN60:HO61"/>
    <mergeCell ref="HN66:HO67"/>
    <mergeCell ref="HN94:HO95"/>
    <mergeCell ref="HN124:HO125"/>
    <mergeCell ref="HN128:HO129"/>
    <mergeCell ref="HN132:HO133"/>
    <mergeCell ref="HN165:HO166"/>
    <mergeCell ref="GR132:GS133"/>
    <mergeCell ref="GT132:GU133"/>
    <mergeCell ref="GV132:GW133"/>
    <mergeCell ref="GX132:GY133"/>
    <mergeCell ref="GZ132:HA133"/>
    <mergeCell ref="HB132:HC133"/>
    <mergeCell ref="HD132:HE133"/>
    <mergeCell ref="HF132:HG133"/>
    <mergeCell ref="HH132:HI133"/>
    <mergeCell ref="GR134:GS135"/>
    <mergeCell ref="GT134:GU135"/>
    <mergeCell ref="GV134:GW135"/>
    <mergeCell ref="GX134:GY135"/>
    <mergeCell ref="GZ134:HA135"/>
    <mergeCell ref="HB134:HC135"/>
    <mergeCell ref="HD134:HE135"/>
    <mergeCell ref="HF134:HG135"/>
    <mergeCell ref="HH134:HI135"/>
    <mergeCell ref="GR128:GS129"/>
    <mergeCell ref="GT128:GU129"/>
    <mergeCell ref="GV128:GW129"/>
    <mergeCell ref="GX128:GY129"/>
    <mergeCell ref="GZ128:HA129"/>
    <mergeCell ref="HB128:HC129"/>
    <mergeCell ref="HD128:HE129"/>
    <mergeCell ref="HF128:HG129"/>
    <mergeCell ref="HH128:HI129"/>
    <mergeCell ref="GR130:GS131"/>
    <mergeCell ref="GT130:GU131"/>
    <mergeCell ref="GV130:GW131"/>
    <mergeCell ref="GX130:GY131"/>
    <mergeCell ref="GZ130:HA131"/>
    <mergeCell ref="HB130:HC131"/>
    <mergeCell ref="HD130:HE131"/>
    <mergeCell ref="HF130:HG131"/>
    <mergeCell ref="HH130:HI131"/>
    <mergeCell ref="GR124:GS125"/>
    <mergeCell ref="GT124:GU125"/>
    <mergeCell ref="GV124:GW125"/>
    <mergeCell ref="GX124:GY125"/>
    <mergeCell ref="GZ124:HA125"/>
    <mergeCell ref="HB124:HC125"/>
    <mergeCell ref="HD124:HE125"/>
    <mergeCell ref="HF124:HG125"/>
    <mergeCell ref="HH124:HI125"/>
    <mergeCell ref="GR126:GS127"/>
    <mergeCell ref="GT126:GU127"/>
    <mergeCell ref="GV126:GW127"/>
    <mergeCell ref="GX126:GY127"/>
    <mergeCell ref="GZ126:HA127"/>
    <mergeCell ref="HB126:HC127"/>
    <mergeCell ref="HD126:HE127"/>
    <mergeCell ref="HF126:HG127"/>
    <mergeCell ref="HH126:HI127"/>
    <mergeCell ref="GZ118:HA119"/>
    <mergeCell ref="HB118:HC119"/>
    <mergeCell ref="HD118:HE119"/>
    <mergeCell ref="HF118:HG119"/>
    <mergeCell ref="HH118:HI119"/>
    <mergeCell ref="GR120:GS121"/>
    <mergeCell ref="GT120:GU121"/>
    <mergeCell ref="GV120:GW121"/>
    <mergeCell ref="GX120:GY121"/>
    <mergeCell ref="GZ120:HA121"/>
    <mergeCell ref="HB120:HC121"/>
    <mergeCell ref="HD120:HE121"/>
    <mergeCell ref="HF120:HG121"/>
    <mergeCell ref="HH120:HI121"/>
    <mergeCell ref="GR122:GS123"/>
    <mergeCell ref="GT122:GU123"/>
    <mergeCell ref="GV122:GW123"/>
    <mergeCell ref="GX122:GY123"/>
    <mergeCell ref="GZ122:HA123"/>
    <mergeCell ref="HB122:HC123"/>
    <mergeCell ref="HD122:HE123"/>
    <mergeCell ref="HF122:HG123"/>
    <mergeCell ref="HH122:HI123"/>
    <mergeCell ref="GR94:GS95"/>
    <mergeCell ref="GT94:GU95"/>
    <mergeCell ref="GV94:GW95"/>
    <mergeCell ref="GX94:GY95"/>
    <mergeCell ref="GR96:GS97"/>
    <mergeCell ref="GT96:GU97"/>
    <mergeCell ref="GV96:GW97"/>
    <mergeCell ref="GX96:GY97"/>
    <mergeCell ref="GR98:GS99"/>
    <mergeCell ref="GT98:GU99"/>
    <mergeCell ref="GV98:GW99"/>
    <mergeCell ref="GX98:GY99"/>
    <mergeCell ref="GR100:GS101"/>
    <mergeCell ref="GT100:GU101"/>
    <mergeCell ref="GV100:GW101"/>
    <mergeCell ref="GX100:GY101"/>
    <mergeCell ref="GR118:GS119"/>
    <mergeCell ref="GT118:GU119"/>
    <mergeCell ref="GV118:GW119"/>
    <mergeCell ref="GX118:GY119"/>
    <mergeCell ref="GR66:GS67"/>
    <mergeCell ref="GT66:GU67"/>
    <mergeCell ref="GV66:GW67"/>
    <mergeCell ref="GX66:GY67"/>
    <mergeCell ref="GZ66:HA67"/>
    <mergeCell ref="HB66:HC67"/>
    <mergeCell ref="HD66:HE67"/>
    <mergeCell ref="HF66:HG67"/>
    <mergeCell ref="GR68:GS69"/>
    <mergeCell ref="GT68:GU69"/>
    <mergeCell ref="GV68:GW69"/>
    <mergeCell ref="GX68:GY69"/>
    <mergeCell ref="GZ68:HA69"/>
    <mergeCell ref="HB68:HC69"/>
    <mergeCell ref="HD68:HE69"/>
    <mergeCell ref="HF68:HG69"/>
    <mergeCell ref="GR70:GS71"/>
    <mergeCell ref="GT70:GU71"/>
    <mergeCell ref="GV70:GW71"/>
    <mergeCell ref="GX70:GY71"/>
    <mergeCell ref="GZ70:HA71"/>
    <mergeCell ref="HB70:HC71"/>
    <mergeCell ref="HD70:HE71"/>
    <mergeCell ref="HF70:HG71"/>
    <mergeCell ref="GR60:GS61"/>
    <mergeCell ref="GT60:GU61"/>
    <mergeCell ref="GV60:GW61"/>
    <mergeCell ref="GX60:GY61"/>
    <mergeCell ref="GZ60:HA61"/>
    <mergeCell ref="HB60:HC61"/>
    <mergeCell ref="HD60:HE61"/>
    <mergeCell ref="HF60:HG61"/>
    <mergeCell ref="GR62:GS63"/>
    <mergeCell ref="GT62:GU63"/>
    <mergeCell ref="GV62:GW63"/>
    <mergeCell ref="GX62:GY63"/>
    <mergeCell ref="GZ62:HA63"/>
    <mergeCell ref="HB62:HC63"/>
    <mergeCell ref="HD62:HE63"/>
    <mergeCell ref="HF62:HG63"/>
    <mergeCell ref="GR64:GS65"/>
    <mergeCell ref="GT64:GU65"/>
    <mergeCell ref="GV64:GW65"/>
    <mergeCell ref="GX64:GY65"/>
    <mergeCell ref="GZ64:HA65"/>
    <mergeCell ref="HB64:HC65"/>
    <mergeCell ref="HD64:HE65"/>
    <mergeCell ref="HF64:HG65"/>
    <mergeCell ref="GR54:GS55"/>
    <mergeCell ref="GT54:GU55"/>
    <mergeCell ref="GV54:GW55"/>
    <mergeCell ref="GX54:GY55"/>
    <mergeCell ref="GZ54:HA55"/>
    <mergeCell ref="HB54:HC55"/>
    <mergeCell ref="HD54:HE55"/>
    <mergeCell ref="HF54:HG55"/>
    <mergeCell ref="GR56:GS57"/>
    <mergeCell ref="GT56:GU57"/>
    <mergeCell ref="GV56:GW57"/>
    <mergeCell ref="GX56:GY57"/>
    <mergeCell ref="GZ56:HA57"/>
    <mergeCell ref="HB56:HC57"/>
    <mergeCell ref="HD56:HE57"/>
    <mergeCell ref="HF56:HG57"/>
    <mergeCell ref="GR58:GS59"/>
    <mergeCell ref="GT58:GU59"/>
    <mergeCell ref="GV58:GW59"/>
    <mergeCell ref="GX58:GY59"/>
    <mergeCell ref="GZ58:HA59"/>
    <mergeCell ref="HB58:HC59"/>
    <mergeCell ref="HD58:HE59"/>
    <mergeCell ref="HF58:HG59"/>
    <mergeCell ref="GR20:GS21"/>
    <mergeCell ref="GT20:GU21"/>
    <mergeCell ref="GV20:GW21"/>
    <mergeCell ref="GX20:GY21"/>
    <mergeCell ref="GZ20:HA21"/>
    <mergeCell ref="HB20:HC21"/>
    <mergeCell ref="HD20:HE21"/>
    <mergeCell ref="HF20:HG21"/>
    <mergeCell ref="HH20:HI21"/>
    <mergeCell ref="HJ20:HK21"/>
    <mergeCell ref="GR22:GS23"/>
    <mergeCell ref="GT22:GU23"/>
    <mergeCell ref="GV22:GW23"/>
    <mergeCell ref="GX22:GY23"/>
    <mergeCell ref="GZ22:HA23"/>
    <mergeCell ref="HB22:HC23"/>
    <mergeCell ref="HD22:HE23"/>
    <mergeCell ref="HF22:HG23"/>
    <mergeCell ref="HH22:HI23"/>
    <mergeCell ref="HJ22:HK23"/>
    <mergeCell ref="GR16:GS17"/>
    <mergeCell ref="GT16:GU17"/>
    <mergeCell ref="GV16:GW17"/>
    <mergeCell ref="GX16:GY17"/>
    <mergeCell ref="GZ16:HA17"/>
    <mergeCell ref="HB16:HC17"/>
    <mergeCell ref="HD16:HE17"/>
    <mergeCell ref="HF16:HG17"/>
    <mergeCell ref="HH16:HI17"/>
    <mergeCell ref="HJ16:HK17"/>
    <mergeCell ref="GR18:GS19"/>
    <mergeCell ref="GT18:GU19"/>
    <mergeCell ref="GV18:GW19"/>
    <mergeCell ref="GX18:GY19"/>
    <mergeCell ref="GZ18:HA19"/>
    <mergeCell ref="HB18:HC19"/>
    <mergeCell ref="HD18:HE19"/>
    <mergeCell ref="HF18:HG19"/>
    <mergeCell ref="HH18:HI19"/>
    <mergeCell ref="HJ18:HK19"/>
    <mergeCell ref="GR12:GS13"/>
    <mergeCell ref="GT12:GU13"/>
    <mergeCell ref="GV12:GW13"/>
    <mergeCell ref="GX12:GY13"/>
    <mergeCell ref="GZ12:HA13"/>
    <mergeCell ref="HB12:HC13"/>
    <mergeCell ref="HD12:HE13"/>
    <mergeCell ref="HF12:HG13"/>
    <mergeCell ref="HH12:HI13"/>
    <mergeCell ref="HJ12:HK13"/>
    <mergeCell ref="GR14:GS15"/>
    <mergeCell ref="GT14:GU15"/>
    <mergeCell ref="GV14:GW15"/>
    <mergeCell ref="GX14:GY15"/>
    <mergeCell ref="GZ14:HA15"/>
    <mergeCell ref="HB14:HC15"/>
    <mergeCell ref="HD14:HE15"/>
    <mergeCell ref="HF14:HG15"/>
    <mergeCell ref="HH14:HI15"/>
    <mergeCell ref="HJ14:HK15"/>
    <mergeCell ref="GR8:GS9"/>
    <mergeCell ref="GT8:GU9"/>
    <mergeCell ref="GV8:GW9"/>
    <mergeCell ref="GX8:GY9"/>
    <mergeCell ref="GZ8:HA9"/>
    <mergeCell ref="HB8:HC9"/>
    <mergeCell ref="HD8:HE9"/>
    <mergeCell ref="HF8:HG9"/>
    <mergeCell ref="HH8:HI9"/>
    <mergeCell ref="HJ8:HK9"/>
    <mergeCell ref="GR10:GS11"/>
    <mergeCell ref="GT10:GU11"/>
    <mergeCell ref="GV10:GW11"/>
    <mergeCell ref="GX10:GY11"/>
    <mergeCell ref="GZ10:HA11"/>
    <mergeCell ref="HB10:HC11"/>
    <mergeCell ref="HD10:HE11"/>
    <mergeCell ref="HF10:HG11"/>
    <mergeCell ref="HH10:HI11"/>
    <mergeCell ref="HJ10:HK11"/>
    <mergeCell ref="GR4:GS5"/>
    <mergeCell ref="GT4:GU5"/>
    <mergeCell ref="GV4:GW5"/>
    <mergeCell ref="GX4:GY5"/>
    <mergeCell ref="GZ4:HA5"/>
    <mergeCell ref="HB4:HC5"/>
    <mergeCell ref="HD4:HE5"/>
    <mergeCell ref="HF4:HG5"/>
    <mergeCell ref="HH4:HI5"/>
    <mergeCell ref="HJ4:HK5"/>
    <mergeCell ref="GR6:GS7"/>
    <mergeCell ref="GT6:GU7"/>
    <mergeCell ref="GV6:GW7"/>
    <mergeCell ref="GX6:GY7"/>
    <mergeCell ref="GZ6:HA7"/>
    <mergeCell ref="HB6:HC7"/>
    <mergeCell ref="HD6:HE7"/>
    <mergeCell ref="HF6:HG7"/>
    <mergeCell ref="HH6:HI7"/>
    <mergeCell ref="HJ6:HK7"/>
    <mergeCell ref="FV165:FW166"/>
    <mergeCell ref="FX165:FY166"/>
    <mergeCell ref="FZ165:GA166"/>
    <mergeCell ref="GB165:GC166"/>
    <mergeCell ref="FV167:FW168"/>
    <mergeCell ref="FX167:FY168"/>
    <mergeCell ref="FZ167:GA168"/>
    <mergeCell ref="GB167:GC168"/>
    <mergeCell ref="FV169:FW170"/>
    <mergeCell ref="FX169:FY170"/>
    <mergeCell ref="FZ169:GA170"/>
    <mergeCell ref="GB169:GC170"/>
    <mergeCell ref="FV171:FW172"/>
    <mergeCell ref="FX171:FY172"/>
    <mergeCell ref="FZ171:GA172"/>
    <mergeCell ref="GB171:GC172"/>
    <mergeCell ref="FT2:FU2"/>
    <mergeCell ref="FV132:FW133"/>
    <mergeCell ref="FX132:FY133"/>
    <mergeCell ref="FZ132:GA133"/>
    <mergeCell ref="GB132:GC133"/>
    <mergeCell ref="FV124:FW125"/>
    <mergeCell ref="FX124:FY125"/>
    <mergeCell ref="FZ124:GA125"/>
    <mergeCell ref="GB124:GC125"/>
    <mergeCell ref="FV68:FW69"/>
    <mergeCell ref="FX68:FY69"/>
    <mergeCell ref="FZ68:GA69"/>
    <mergeCell ref="GB68:GC69"/>
    <mergeCell ref="FV60:FW61"/>
    <mergeCell ref="FX60:FY61"/>
    <mergeCell ref="FZ60:GA61"/>
    <mergeCell ref="GD132:GE133"/>
    <mergeCell ref="GF132:GG133"/>
    <mergeCell ref="GH132:GI133"/>
    <mergeCell ref="GJ132:GK133"/>
    <mergeCell ref="GL132:GM133"/>
    <mergeCell ref="FV134:FW135"/>
    <mergeCell ref="FX134:FY135"/>
    <mergeCell ref="FZ134:GA135"/>
    <mergeCell ref="GB134:GC135"/>
    <mergeCell ref="GD134:GE135"/>
    <mergeCell ref="GF134:GG135"/>
    <mergeCell ref="GH134:GI135"/>
    <mergeCell ref="GJ134:GK135"/>
    <mergeCell ref="GL134:GM135"/>
    <mergeCell ref="FV128:FW129"/>
    <mergeCell ref="FX128:FY129"/>
    <mergeCell ref="FZ128:GA129"/>
    <mergeCell ref="GB128:GC129"/>
    <mergeCell ref="GD128:GE129"/>
    <mergeCell ref="GF128:GG129"/>
    <mergeCell ref="GH128:GI129"/>
    <mergeCell ref="GJ128:GK129"/>
    <mergeCell ref="GL128:GM129"/>
    <mergeCell ref="FV130:FW131"/>
    <mergeCell ref="FX130:FY131"/>
    <mergeCell ref="FZ130:GA131"/>
    <mergeCell ref="GB130:GC131"/>
    <mergeCell ref="GD130:GE131"/>
    <mergeCell ref="GF130:GG131"/>
    <mergeCell ref="GH130:GI131"/>
    <mergeCell ref="GJ130:GK131"/>
    <mergeCell ref="GL130:GM131"/>
    <mergeCell ref="GD124:GE125"/>
    <mergeCell ref="GF124:GG125"/>
    <mergeCell ref="GH124:GI125"/>
    <mergeCell ref="GJ124:GK125"/>
    <mergeCell ref="GL124:GM125"/>
    <mergeCell ref="FV126:FW127"/>
    <mergeCell ref="FX126:FY127"/>
    <mergeCell ref="FZ126:GA127"/>
    <mergeCell ref="GB126:GC127"/>
    <mergeCell ref="GD126:GE127"/>
    <mergeCell ref="GF126:GG127"/>
    <mergeCell ref="GH126:GI127"/>
    <mergeCell ref="GJ126:GK127"/>
    <mergeCell ref="GL126:GM127"/>
    <mergeCell ref="GD118:GE119"/>
    <mergeCell ref="GF118:GG119"/>
    <mergeCell ref="GH118:GI119"/>
    <mergeCell ref="GJ118:GK119"/>
    <mergeCell ref="GL118:GM119"/>
    <mergeCell ref="FV120:FW121"/>
    <mergeCell ref="FX120:FY121"/>
    <mergeCell ref="FZ120:GA121"/>
    <mergeCell ref="GB120:GC121"/>
    <mergeCell ref="GD120:GE121"/>
    <mergeCell ref="GF120:GG121"/>
    <mergeCell ref="GH120:GI121"/>
    <mergeCell ref="GJ120:GK121"/>
    <mergeCell ref="GL120:GM121"/>
    <mergeCell ref="FV122:FW123"/>
    <mergeCell ref="FX122:FY123"/>
    <mergeCell ref="FZ122:GA123"/>
    <mergeCell ref="GB122:GC123"/>
    <mergeCell ref="GD122:GE123"/>
    <mergeCell ref="GF122:GG123"/>
    <mergeCell ref="GH122:GI123"/>
    <mergeCell ref="GJ122:GK123"/>
    <mergeCell ref="GL122:GM123"/>
    <mergeCell ref="FV94:FW95"/>
    <mergeCell ref="FX94:FY95"/>
    <mergeCell ref="FZ94:GA95"/>
    <mergeCell ref="GB94:GC95"/>
    <mergeCell ref="FV96:FW97"/>
    <mergeCell ref="FX96:FY97"/>
    <mergeCell ref="FZ96:GA97"/>
    <mergeCell ref="GB96:GC97"/>
    <mergeCell ref="FV98:FW99"/>
    <mergeCell ref="FX98:FY99"/>
    <mergeCell ref="FZ98:GA99"/>
    <mergeCell ref="GB98:GC99"/>
    <mergeCell ref="FV100:FW101"/>
    <mergeCell ref="FX100:FY101"/>
    <mergeCell ref="FZ100:GA101"/>
    <mergeCell ref="GB100:GC101"/>
    <mergeCell ref="FV118:FW119"/>
    <mergeCell ref="FX118:FY119"/>
    <mergeCell ref="FZ118:GA119"/>
    <mergeCell ref="GB118:GC119"/>
    <mergeCell ref="GD68:GE69"/>
    <mergeCell ref="GF68:GG69"/>
    <mergeCell ref="GH68:GI69"/>
    <mergeCell ref="GJ68:GK69"/>
    <mergeCell ref="GL68:GM69"/>
    <mergeCell ref="FV70:FW71"/>
    <mergeCell ref="FX70:FY71"/>
    <mergeCell ref="FZ70:GA71"/>
    <mergeCell ref="GB70:GC71"/>
    <mergeCell ref="GD70:GE71"/>
    <mergeCell ref="GF70:GG71"/>
    <mergeCell ref="GH70:GI71"/>
    <mergeCell ref="GJ70:GK71"/>
    <mergeCell ref="GL70:GM71"/>
    <mergeCell ref="FV64:FW65"/>
    <mergeCell ref="FX64:FY65"/>
    <mergeCell ref="FZ64:GA65"/>
    <mergeCell ref="GB64:GC65"/>
    <mergeCell ref="GD64:GE65"/>
    <mergeCell ref="GF64:GG65"/>
    <mergeCell ref="GH64:GI65"/>
    <mergeCell ref="GJ64:GK65"/>
    <mergeCell ref="GL64:GM65"/>
    <mergeCell ref="FV66:FW67"/>
    <mergeCell ref="FX66:FY67"/>
    <mergeCell ref="FZ66:GA67"/>
    <mergeCell ref="GB66:GC67"/>
    <mergeCell ref="GD66:GE67"/>
    <mergeCell ref="GF66:GG67"/>
    <mergeCell ref="GH66:GI67"/>
    <mergeCell ref="GJ66:GK67"/>
    <mergeCell ref="GL66:GM67"/>
    <mergeCell ref="GB60:GC61"/>
    <mergeCell ref="GD60:GE61"/>
    <mergeCell ref="GF60:GG61"/>
    <mergeCell ref="GH60:GI61"/>
    <mergeCell ref="GJ60:GK61"/>
    <mergeCell ref="GL60:GM61"/>
    <mergeCell ref="FV62:FW63"/>
    <mergeCell ref="FX62:FY63"/>
    <mergeCell ref="FZ62:GA63"/>
    <mergeCell ref="GB62:GC63"/>
    <mergeCell ref="GD62:GE63"/>
    <mergeCell ref="GF62:GG63"/>
    <mergeCell ref="GH62:GI63"/>
    <mergeCell ref="GJ62:GK63"/>
    <mergeCell ref="GL62:GM63"/>
    <mergeCell ref="FV56:FW57"/>
    <mergeCell ref="FX56:FY57"/>
    <mergeCell ref="FZ56:GA57"/>
    <mergeCell ref="GB56:GC57"/>
    <mergeCell ref="GD56:GE57"/>
    <mergeCell ref="GF56:GG57"/>
    <mergeCell ref="GH56:GI57"/>
    <mergeCell ref="GJ56:GK57"/>
    <mergeCell ref="GL56:GM57"/>
    <mergeCell ref="FV58:FW59"/>
    <mergeCell ref="FX58:FY59"/>
    <mergeCell ref="FZ58:GA59"/>
    <mergeCell ref="GB58:GC59"/>
    <mergeCell ref="GD58:GE59"/>
    <mergeCell ref="GF58:GG59"/>
    <mergeCell ref="GH58:GI59"/>
    <mergeCell ref="GJ58:GK59"/>
    <mergeCell ref="GL58:GM59"/>
    <mergeCell ref="FV22:FW23"/>
    <mergeCell ref="FX22:FY23"/>
    <mergeCell ref="FZ22:GA23"/>
    <mergeCell ref="GB22:GC23"/>
    <mergeCell ref="GD22:GE23"/>
    <mergeCell ref="GF22:GG23"/>
    <mergeCell ref="GH22:GI23"/>
    <mergeCell ref="GJ22:GK23"/>
    <mergeCell ref="GL22:GM23"/>
    <mergeCell ref="GN22:GO23"/>
    <mergeCell ref="FV54:FW55"/>
    <mergeCell ref="FX54:FY55"/>
    <mergeCell ref="FZ54:GA55"/>
    <mergeCell ref="GB54:GC55"/>
    <mergeCell ref="GD54:GE55"/>
    <mergeCell ref="GF54:GG55"/>
    <mergeCell ref="GH54:GI55"/>
    <mergeCell ref="GJ54:GK55"/>
    <mergeCell ref="GL54:GM55"/>
    <mergeCell ref="FV18:FW19"/>
    <mergeCell ref="FX18:FY19"/>
    <mergeCell ref="FZ18:GA19"/>
    <mergeCell ref="GB18:GC19"/>
    <mergeCell ref="GD18:GE19"/>
    <mergeCell ref="GF18:GG19"/>
    <mergeCell ref="GH18:GI19"/>
    <mergeCell ref="GJ18:GK19"/>
    <mergeCell ref="GL18:GM19"/>
    <mergeCell ref="GN18:GO19"/>
    <mergeCell ref="FV20:FW21"/>
    <mergeCell ref="FX20:FY21"/>
    <mergeCell ref="FZ20:GA21"/>
    <mergeCell ref="GB20:GC21"/>
    <mergeCell ref="GD20:GE21"/>
    <mergeCell ref="GF20:GG21"/>
    <mergeCell ref="GH20:GI21"/>
    <mergeCell ref="GJ20:GK21"/>
    <mergeCell ref="GL20:GM21"/>
    <mergeCell ref="GN20:GO21"/>
    <mergeCell ref="FV14:FW15"/>
    <mergeCell ref="FX14:FY15"/>
    <mergeCell ref="FZ14:GA15"/>
    <mergeCell ref="GB14:GC15"/>
    <mergeCell ref="GD14:GE15"/>
    <mergeCell ref="GF14:GG15"/>
    <mergeCell ref="GH14:GI15"/>
    <mergeCell ref="GJ14:GK15"/>
    <mergeCell ref="GL14:GM15"/>
    <mergeCell ref="GN14:GO15"/>
    <mergeCell ref="FV16:FW17"/>
    <mergeCell ref="FX16:FY17"/>
    <mergeCell ref="FZ16:GA17"/>
    <mergeCell ref="GB16:GC17"/>
    <mergeCell ref="GD16:GE17"/>
    <mergeCell ref="GF16:GG17"/>
    <mergeCell ref="GH16:GI17"/>
    <mergeCell ref="GJ16:GK17"/>
    <mergeCell ref="GL16:GM17"/>
    <mergeCell ref="GN16:GO17"/>
    <mergeCell ref="GN8:GO9"/>
    <mergeCell ref="FV10:FW11"/>
    <mergeCell ref="FX10:FY11"/>
    <mergeCell ref="FZ10:GA11"/>
    <mergeCell ref="GB10:GC11"/>
    <mergeCell ref="GD10:GE11"/>
    <mergeCell ref="GF10:GG11"/>
    <mergeCell ref="GH10:GI11"/>
    <mergeCell ref="GJ10:GK11"/>
    <mergeCell ref="GL10:GM11"/>
    <mergeCell ref="GN10:GO11"/>
    <mergeCell ref="FV12:FW13"/>
    <mergeCell ref="FX12:FY13"/>
    <mergeCell ref="FZ12:GA13"/>
    <mergeCell ref="GB12:GC13"/>
    <mergeCell ref="GD12:GE13"/>
    <mergeCell ref="GF12:GG13"/>
    <mergeCell ref="GH12:GI13"/>
    <mergeCell ref="GJ12:GK13"/>
    <mergeCell ref="GL12:GM13"/>
    <mergeCell ref="GN12:GO13"/>
    <mergeCell ref="FA171:FB172"/>
    <mergeCell ref="FC171:FD172"/>
    <mergeCell ref="FE171:FF172"/>
    <mergeCell ref="FV4:FW5"/>
    <mergeCell ref="FX4:FY5"/>
    <mergeCell ref="FZ4:GA5"/>
    <mergeCell ref="GB4:GC5"/>
    <mergeCell ref="GD4:GE5"/>
    <mergeCell ref="GF4:GG5"/>
    <mergeCell ref="GH4:GI5"/>
    <mergeCell ref="GJ4:GK5"/>
    <mergeCell ref="GL4:GM5"/>
    <mergeCell ref="GN4:GO5"/>
    <mergeCell ref="FV6:FW7"/>
    <mergeCell ref="FX6:FY7"/>
    <mergeCell ref="FZ6:GA7"/>
    <mergeCell ref="GB6:GC7"/>
    <mergeCell ref="GD6:GE7"/>
    <mergeCell ref="GF6:GG7"/>
    <mergeCell ref="GH6:GI7"/>
    <mergeCell ref="GJ6:GK7"/>
    <mergeCell ref="GL6:GM7"/>
    <mergeCell ref="GN6:GO7"/>
    <mergeCell ref="FV8:FW9"/>
    <mergeCell ref="FX8:FY9"/>
    <mergeCell ref="FZ8:GA9"/>
    <mergeCell ref="GB8:GC9"/>
    <mergeCell ref="GD8:GE9"/>
    <mergeCell ref="GF8:GG9"/>
    <mergeCell ref="GH8:GI9"/>
    <mergeCell ref="GJ8:GK9"/>
    <mergeCell ref="GL8:GM9"/>
    <mergeCell ref="FA134:FB135"/>
    <mergeCell ref="FC134:FD135"/>
    <mergeCell ref="FE134:FF135"/>
    <mergeCell ref="FG134:FH135"/>
    <mergeCell ref="FI134:FJ135"/>
    <mergeCell ref="FK134:FL135"/>
    <mergeCell ref="FM134:FN135"/>
    <mergeCell ref="FO134:FP135"/>
    <mergeCell ref="EY165:EZ166"/>
    <mergeCell ref="FA165:FB166"/>
    <mergeCell ref="FC165:FD166"/>
    <mergeCell ref="FE165:FF166"/>
    <mergeCell ref="EY167:EZ168"/>
    <mergeCell ref="FA167:FB168"/>
    <mergeCell ref="FC167:FD168"/>
    <mergeCell ref="FE167:FF168"/>
    <mergeCell ref="EY169:EZ170"/>
    <mergeCell ref="FA169:FB170"/>
    <mergeCell ref="FC169:FD170"/>
    <mergeCell ref="FE169:FF170"/>
    <mergeCell ref="FA130:FB131"/>
    <mergeCell ref="FC130:FD131"/>
    <mergeCell ref="FE130:FF131"/>
    <mergeCell ref="FG130:FH131"/>
    <mergeCell ref="FI130:FJ131"/>
    <mergeCell ref="FK130:FL131"/>
    <mergeCell ref="FM130:FN131"/>
    <mergeCell ref="FO130:FP131"/>
    <mergeCell ref="EY132:EZ133"/>
    <mergeCell ref="FA132:FB133"/>
    <mergeCell ref="FC132:FD133"/>
    <mergeCell ref="FE132:FF133"/>
    <mergeCell ref="FG132:FH133"/>
    <mergeCell ref="FI132:FJ133"/>
    <mergeCell ref="FK132:FL133"/>
    <mergeCell ref="FM132:FN133"/>
    <mergeCell ref="FO132:FP133"/>
    <mergeCell ref="FA126:FB127"/>
    <mergeCell ref="FC126:FD127"/>
    <mergeCell ref="FE126:FF127"/>
    <mergeCell ref="FG126:FH127"/>
    <mergeCell ref="FI126:FJ127"/>
    <mergeCell ref="FK126:FL127"/>
    <mergeCell ref="FM126:FN127"/>
    <mergeCell ref="FO126:FP127"/>
    <mergeCell ref="EY128:EZ129"/>
    <mergeCell ref="FA128:FB129"/>
    <mergeCell ref="FC128:FD129"/>
    <mergeCell ref="FE128:FF129"/>
    <mergeCell ref="FG128:FH129"/>
    <mergeCell ref="FI128:FJ129"/>
    <mergeCell ref="FK128:FL129"/>
    <mergeCell ref="FM128:FN129"/>
    <mergeCell ref="FO128:FP129"/>
    <mergeCell ref="FA122:FB123"/>
    <mergeCell ref="FC122:FD123"/>
    <mergeCell ref="FE122:FF123"/>
    <mergeCell ref="FG122:FH123"/>
    <mergeCell ref="FI122:FJ123"/>
    <mergeCell ref="FK122:FL123"/>
    <mergeCell ref="FM122:FN123"/>
    <mergeCell ref="FO122:FP123"/>
    <mergeCell ref="EY124:EZ125"/>
    <mergeCell ref="FA124:FB125"/>
    <mergeCell ref="FC124:FD125"/>
    <mergeCell ref="FE124:FF125"/>
    <mergeCell ref="FG124:FH125"/>
    <mergeCell ref="FI124:FJ125"/>
    <mergeCell ref="FK124:FL125"/>
    <mergeCell ref="FM124:FN125"/>
    <mergeCell ref="FO124:FP125"/>
    <mergeCell ref="FA100:FB101"/>
    <mergeCell ref="FC100:FD101"/>
    <mergeCell ref="FE100:FF101"/>
    <mergeCell ref="EY118:EZ119"/>
    <mergeCell ref="FA118:FB119"/>
    <mergeCell ref="FC118:FD119"/>
    <mergeCell ref="FE118:FF119"/>
    <mergeCell ref="FG118:FH119"/>
    <mergeCell ref="FI118:FJ119"/>
    <mergeCell ref="FK118:FL119"/>
    <mergeCell ref="FM118:FN119"/>
    <mergeCell ref="FO118:FP119"/>
    <mergeCell ref="EY120:EZ121"/>
    <mergeCell ref="FA120:FB121"/>
    <mergeCell ref="FC120:FD121"/>
    <mergeCell ref="FE120:FF121"/>
    <mergeCell ref="FG120:FH121"/>
    <mergeCell ref="FI120:FJ121"/>
    <mergeCell ref="FK120:FL121"/>
    <mergeCell ref="FM120:FN121"/>
    <mergeCell ref="FO120:FP121"/>
    <mergeCell ref="FA70:FB71"/>
    <mergeCell ref="FC70:FD71"/>
    <mergeCell ref="FE70:FF71"/>
    <mergeCell ref="FG70:FH71"/>
    <mergeCell ref="FI70:FJ71"/>
    <mergeCell ref="FK70:FL71"/>
    <mergeCell ref="FM70:FN71"/>
    <mergeCell ref="FO70:FP71"/>
    <mergeCell ref="EY94:EZ95"/>
    <mergeCell ref="FA94:FB95"/>
    <mergeCell ref="FC94:FD95"/>
    <mergeCell ref="FE94:FF95"/>
    <mergeCell ref="EY96:EZ97"/>
    <mergeCell ref="FA96:FB97"/>
    <mergeCell ref="FC96:FD97"/>
    <mergeCell ref="FE96:FF97"/>
    <mergeCell ref="EY98:EZ99"/>
    <mergeCell ref="FA98:FB99"/>
    <mergeCell ref="FC98:FD99"/>
    <mergeCell ref="FE98:FF99"/>
    <mergeCell ref="FA66:FB67"/>
    <mergeCell ref="FC66:FD67"/>
    <mergeCell ref="FE66:FF67"/>
    <mergeCell ref="FG66:FH67"/>
    <mergeCell ref="FI66:FJ67"/>
    <mergeCell ref="FK66:FL67"/>
    <mergeCell ref="FM66:FN67"/>
    <mergeCell ref="FO66:FP67"/>
    <mergeCell ref="EY68:EZ69"/>
    <mergeCell ref="FA68:FB69"/>
    <mergeCell ref="FC68:FD69"/>
    <mergeCell ref="FE68:FF69"/>
    <mergeCell ref="FG68:FH69"/>
    <mergeCell ref="FI68:FJ69"/>
    <mergeCell ref="FK68:FL69"/>
    <mergeCell ref="FM68:FN69"/>
    <mergeCell ref="FO68:FP69"/>
    <mergeCell ref="FA62:FB63"/>
    <mergeCell ref="FC62:FD63"/>
    <mergeCell ref="FE62:FF63"/>
    <mergeCell ref="FG62:FH63"/>
    <mergeCell ref="FI62:FJ63"/>
    <mergeCell ref="FK62:FL63"/>
    <mergeCell ref="FM62:FN63"/>
    <mergeCell ref="FO62:FP63"/>
    <mergeCell ref="EY64:EZ65"/>
    <mergeCell ref="FA64:FB65"/>
    <mergeCell ref="FC64:FD65"/>
    <mergeCell ref="FE64:FF65"/>
    <mergeCell ref="FG64:FH65"/>
    <mergeCell ref="FI64:FJ65"/>
    <mergeCell ref="FK64:FL65"/>
    <mergeCell ref="FM64:FN65"/>
    <mergeCell ref="FO64:FP65"/>
    <mergeCell ref="FA58:FB59"/>
    <mergeCell ref="FC58:FD59"/>
    <mergeCell ref="FE58:FF59"/>
    <mergeCell ref="FG58:FH59"/>
    <mergeCell ref="FI58:FJ59"/>
    <mergeCell ref="FK58:FL59"/>
    <mergeCell ref="FM58:FN59"/>
    <mergeCell ref="FO58:FP59"/>
    <mergeCell ref="EY60:EZ61"/>
    <mergeCell ref="FA60:FB61"/>
    <mergeCell ref="FC60:FD61"/>
    <mergeCell ref="FE60:FF61"/>
    <mergeCell ref="FG60:FH61"/>
    <mergeCell ref="FI60:FJ61"/>
    <mergeCell ref="FK60:FL61"/>
    <mergeCell ref="FM60:FN61"/>
    <mergeCell ref="FO60:FP61"/>
    <mergeCell ref="FA54:FB55"/>
    <mergeCell ref="FC54:FD55"/>
    <mergeCell ref="FE54:FF55"/>
    <mergeCell ref="FG54:FH55"/>
    <mergeCell ref="FI54:FJ55"/>
    <mergeCell ref="FK54:FL55"/>
    <mergeCell ref="FM54:FN55"/>
    <mergeCell ref="FO54:FP55"/>
    <mergeCell ref="EY56:EZ57"/>
    <mergeCell ref="FA56:FB57"/>
    <mergeCell ref="FC56:FD57"/>
    <mergeCell ref="FE56:FF57"/>
    <mergeCell ref="FG56:FH57"/>
    <mergeCell ref="FI56:FJ57"/>
    <mergeCell ref="FK56:FL57"/>
    <mergeCell ref="FM56:FN57"/>
    <mergeCell ref="FO56:FP57"/>
    <mergeCell ref="FA20:FB21"/>
    <mergeCell ref="FC20:FD21"/>
    <mergeCell ref="FE20:FF21"/>
    <mergeCell ref="FG20:FH21"/>
    <mergeCell ref="FI20:FJ21"/>
    <mergeCell ref="FK20:FL21"/>
    <mergeCell ref="FM20:FN21"/>
    <mergeCell ref="FO20:FP21"/>
    <mergeCell ref="FQ20:FR21"/>
    <mergeCell ref="EY22:EZ23"/>
    <mergeCell ref="FA22:FB23"/>
    <mergeCell ref="FC22:FD23"/>
    <mergeCell ref="FE22:FF23"/>
    <mergeCell ref="FG22:FH23"/>
    <mergeCell ref="FI22:FJ23"/>
    <mergeCell ref="FK22:FL23"/>
    <mergeCell ref="FM22:FN23"/>
    <mergeCell ref="FO22:FP23"/>
    <mergeCell ref="FQ22:FR23"/>
    <mergeCell ref="FA16:FB17"/>
    <mergeCell ref="FC16:FD17"/>
    <mergeCell ref="FE16:FF17"/>
    <mergeCell ref="FG16:FH17"/>
    <mergeCell ref="FI16:FJ17"/>
    <mergeCell ref="FK16:FL17"/>
    <mergeCell ref="FM16:FN17"/>
    <mergeCell ref="FO16:FP17"/>
    <mergeCell ref="FQ16:FR17"/>
    <mergeCell ref="EY18:EZ19"/>
    <mergeCell ref="FA18:FB19"/>
    <mergeCell ref="FC18:FD19"/>
    <mergeCell ref="FE18:FF19"/>
    <mergeCell ref="FG18:FH19"/>
    <mergeCell ref="FI18:FJ19"/>
    <mergeCell ref="FK18:FL19"/>
    <mergeCell ref="FM18:FN19"/>
    <mergeCell ref="FO18:FP19"/>
    <mergeCell ref="FQ18:FR19"/>
    <mergeCell ref="FA12:FB13"/>
    <mergeCell ref="FC12:FD13"/>
    <mergeCell ref="FE12:FF13"/>
    <mergeCell ref="FG12:FH13"/>
    <mergeCell ref="FI12:FJ13"/>
    <mergeCell ref="FK12:FL13"/>
    <mergeCell ref="FM12:FN13"/>
    <mergeCell ref="FO12:FP13"/>
    <mergeCell ref="FQ12:FR13"/>
    <mergeCell ref="EY14:EZ15"/>
    <mergeCell ref="FA14:FB15"/>
    <mergeCell ref="FC14:FD15"/>
    <mergeCell ref="FE14:FF15"/>
    <mergeCell ref="FG14:FH15"/>
    <mergeCell ref="FI14:FJ15"/>
    <mergeCell ref="FK14:FL15"/>
    <mergeCell ref="FM14:FN15"/>
    <mergeCell ref="FO14:FP15"/>
    <mergeCell ref="FQ14:FR15"/>
    <mergeCell ref="FA8:FB9"/>
    <mergeCell ref="FC8:FD9"/>
    <mergeCell ref="FE8:FF9"/>
    <mergeCell ref="FG8:FH9"/>
    <mergeCell ref="FI8:FJ9"/>
    <mergeCell ref="FK8:FL9"/>
    <mergeCell ref="FM8:FN9"/>
    <mergeCell ref="FO8:FP9"/>
    <mergeCell ref="FQ8:FR9"/>
    <mergeCell ref="EY10:EZ11"/>
    <mergeCell ref="FA10:FB11"/>
    <mergeCell ref="FC10:FD11"/>
    <mergeCell ref="FE10:FF11"/>
    <mergeCell ref="FG10:FH11"/>
    <mergeCell ref="FI10:FJ11"/>
    <mergeCell ref="FK10:FL11"/>
    <mergeCell ref="FM10:FN11"/>
    <mergeCell ref="FO10:FP11"/>
    <mergeCell ref="FQ10:FR11"/>
    <mergeCell ref="FA4:FB5"/>
    <mergeCell ref="FC4:FD5"/>
    <mergeCell ref="FE4:FF5"/>
    <mergeCell ref="FG4:FH5"/>
    <mergeCell ref="FI4:FJ5"/>
    <mergeCell ref="FK4:FL5"/>
    <mergeCell ref="FM4:FN5"/>
    <mergeCell ref="FO4:FP5"/>
    <mergeCell ref="FQ4:FR5"/>
    <mergeCell ref="EY6:EZ7"/>
    <mergeCell ref="FA6:FB7"/>
    <mergeCell ref="FC6:FD7"/>
    <mergeCell ref="FE6:FF7"/>
    <mergeCell ref="FG6:FH7"/>
    <mergeCell ref="FI6:FJ7"/>
    <mergeCell ref="FK6:FL7"/>
    <mergeCell ref="FM6:FN7"/>
    <mergeCell ref="FO6:FP7"/>
    <mergeCell ref="FQ6:FR7"/>
    <mergeCell ref="EE165:EF166"/>
    <mergeCell ref="EG165:EH166"/>
    <mergeCell ref="EI165:EJ166"/>
    <mergeCell ref="EC167:ED168"/>
    <mergeCell ref="EE167:EF168"/>
    <mergeCell ref="EG167:EH168"/>
    <mergeCell ref="EI167:EJ168"/>
    <mergeCell ref="EC169:ED170"/>
    <mergeCell ref="EE169:EF170"/>
    <mergeCell ref="EG169:EH170"/>
    <mergeCell ref="EI169:EJ170"/>
    <mergeCell ref="EC171:ED172"/>
    <mergeCell ref="EE171:EF172"/>
    <mergeCell ref="EG171:EH172"/>
    <mergeCell ref="EI171:EJ172"/>
    <mergeCell ref="EA2:EB2"/>
    <mergeCell ref="EY4:EZ5"/>
    <mergeCell ref="EY8:EZ9"/>
    <mergeCell ref="EY12:EZ13"/>
    <mergeCell ref="EY16:EZ17"/>
    <mergeCell ref="EY20:EZ21"/>
    <mergeCell ref="EY54:EZ55"/>
    <mergeCell ref="EY58:EZ59"/>
    <mergeCell ref="EY62:EZ63"/>
    <mergeCell ref="EY66:EZ67"/>
    <mergeCell ref="EY70:EZ71"/>
    <mergeCell ref="EY100:EZ101"/>
    <mergeCell ref="EY122:EZ123"/>
    <mergeCell ref="EY126:EZ127"/>
    <mergeCell ref="EY130:EZ131"/>
    <mergeCell ref="EY134:EZ135"/>
    <mergeCell ref="EY171:EZ172"/>
    <mergeCell ref="EE132:EF133"/>
    <mergeCell ref="EG132:EH133"/>
    <mergeCell ref="EI132:EJ133"/>
    <mergeCell ref="EK132:EL133"/>
    <mergeCell ref="EM132:EN133"/>
    <mergeCell ref="EO132:EP133"/>
    <mergeCell ref="EQ132:ER133"/>
    <mergeCell ref="ES132:ET133"/>
    <mergeCell ref="EC134:ED135"/>
    <mergeCell ref="EE134:EF135"/>
    <mergeCell ref="EG134:EH135"/>
    <mergeCell ref="EI134:EJ135"/>
    <mergeCell ref="EK134:EL135"/>
    <mergeCell ref="EM134:EN135"/>
    <mergeCell ref="EO134:EP135"/>
    <mergeCell ref="EQ134:ER135"/>
    <mergeCell ref="ES134:ET135"/>
    <mergeCell ref="EE128:EF129"/>
    <mergeCell ref="EG128:EH129"/>
    <mergeCell ref="EI128:EJ129"/>
    <mergeCell ref="EK128:EL129"/>
    <mergeCell ref="EM128:EN129"/>
    <mergeCell ref="EO128:EP129"/>
    <mergeCell ref="EQ128:ER129"/>
    <mergeCell ref="ES128:ET129"/>
    <mergeCell ref="EC130:ED131"/>
    <mergeCell ref="EE130:EF131"/>
    <mergeCell ref="EG130:EH131"/>
    <mergeCell ref="EI130:EJ131"/>
    <mergeCell ref="EK130:EL131"/>
    <mergeCell ref="EM130:EN131"/>
    <mergeCell ref="EO130:EP131"/>
    <mergeCell ref="EQ130:ER131"/>
    <mergeCell ref="ES130:ET131"/>
    <mergeCell ref="EE124:EF125"/>
    <mergeCell ref="EG124:EH125"/>
    <mergeCell ref="EI124:EJ125"/>
    <mergeCell ref="EK124:EL125"/>
    <mergeCell ref="EM124:EN125"/>
    <mergeCell ref="EO124:EP125"/>
    <mergeCell ref="EQ124:ER125"/>
    <mergeCell ref="ES124:ET125"/>
    <mergeCell ref="EC126:ED127"/>
    <mergeCell ref="EE126:EF127"/>
    <mergeCell ref="EG126:EH127"/>
    <mergeCell ref="EI126:EJ127"/>
    <mergeCell ref="EK126:EL127"/>
    <mergeCell ref="EM126:EN127"/>
    <mergeCell ref="EO126:EP127"/>
    <mergeCell ref="EQ126:ER127"/>
    <mergeCell ref="ES126:ET127"/>
    <mergeCell ref="EK118:EL119"/>
    <mergeCell ref="EM118:EN119"/>
    <mergeCell ref="EO118:EP119"/>
    <mergeCell ref="EQ118:ER119"/>
    <mergeCell ref="ES118:ET119"/>
    <mergeCell ref="EC120:ED121"/>
    <mergeCell ref="EE120:EF121"/>
    <mergeCell ref="EG120:EH121"/>
    <mergeCell ref="EI120:EJ121"/>
    <mergeCell ref="EK120:EL121"/>
    <mergeCell ref="EM120:EN121"/>
    <mergeCell ref="EO120:EP121"/>
    <mergeCell ref="EQ120:ER121"/>
    <mergeCell ref="ES120:ET121"/>
    <mergeCell ref="EC122:ED123"/>
    <mergeCell ref="EE122:EF123"/>
    <mergeCell ref="EG122:EH123"/>
    <mergeCell ref="EI122:EJ123"/>
    <mergeCell ref="EK122:EL123"/>
    <mergeCell ref="EM122:EN123"/>
    <mergeCell ref="EO122:EP123"/>
    <mergeCell ref="EQ122:ER123"/>
    <mergeCell ref="ES122:ET123"/>
    <mergeCell ref="EE94:EF95"/>
    <mergeCell ref="EG94:EH95"/>
    <mergeCell ref="EI94:EJ95"/>
    <mergeCell ref="EC96:ED97"/>
    <mergeCell ref="EE96:EF97"/>
    <mergeCell ref="EG96:EH97"/>
    <mergeCell ref="EI96:EJ97"/>
    <mergeCell ref="EC98:ED99"/>
    <mergeCell ref="EE98:EF99"/>
    <mergeCell ref="EG98:EH99"/>
    <mergeCell ref="EI98:EJ99"/>
    <mergeCell ref="EC100:ED101"/>
    <mergeCell ref="EE100:EF101"/>
    <mergeCell ref="EG100:EH101"/>
    <mergeCell ref="EI100:EJ101"/>
    <mergeCell ref="EC118:ED119"/>
    <mergeCell ref="EE118:EF119"/>
    <mergeCell ref="EG118:EH119"/>
    <mergeCell ref="EI118:EJ119"/>
    <mergeCell ref="EE66:EF67"/>
    <mergeCell ref="EG66:EH67"/>
    <mergeCell ref="EI66:EJ67"/>
    <mergeCell ref="EK66:EL67"/>
    <mergeCell ref="EM66:EN67"/>
    <mergeCell ref="EO66:EP67"/>
    <mergeCell ref="EQ66:ER67"/>
    <mergeCell ref="EC68:ED69"/>
    <mergeCell ref="EE68:EF69"/>
    <mergeCell ref="EG68:EH69"/>
    <mergeCell ref="EI68:EJ69"/>
    <mergeCell ref="EK68:EL69"/>
    <mergeCell ref="EM68:EN69"/>
    <mergeCell ref="EO68:EP69"/>
    <mergeCell ref="EQ68:ER69"/>
    <mergeCell ref="EC70:ED71"/>
    <mergeCell ref="EE70:EF71"/>
    <mergeCell ref="EG70:EH71"/>
    <mergeCell ref="EI70:EJ71"/>
    <mergeCell ref="EK70:EL71"/>
    <mergeCell ref="EM70:EN71"/>
    <mergeCell ref="EO70:EP71"/>
    <mergeCell ref="EQ70:ER71"/>
    <mergeCell ref="EE60:EF61"/>
    <mergeCell ref="EG60:EH61"/>
    <mergeCell ref="EI60:EJ61"/>
    <mergeCell ref="EK60:EL61"/>
    <mergeCell ref="EM60:EN61"/>
    <mergeCell ref="EO60:EP61"/>
    <mergeCell ref="EQ60:ER61"/>
    <mergeCell ref="EC62:ED63"/>
    <mergeCell ref="EE62:EF63"/>
    <mergeCell ref="EG62:EH63"/>
    <mergeCell ref="EI62:EJ63"/>
    <mergeCell ref="EK62:EL63"/>
    <mergeCell ref="EM62:EN63"/>
    <mergeCell ref="EO62:EP63"/>
    <mergeCell ref="EQ62:ER63"/>
    <mergeCell ref="EC64:ED65"/>
    <mergeCell ref="EE64:EF65"/>
    <mergeCell ref="EG64:EH65"/>
    <mergeCell ref="EI64:EJ65"/>
    <mergeCell ref="EK64:EL65"/>
    <mergeCell ref="EM64:EN65"/>
    <mergeCell ref="EO64:EP65"/>
    <mergeCell ref="EQ64:ER65"/>
    <mergeCell ref="EE54:EF55"/>
    <mergeCell ref="EG54:EH55"/>
    <mergeCell ref="EI54:EJ55"/>
    <mergeCell ref="EK54:EL55"/>
    <mergeCell ref="EM54:EN55"/>
    <mergeCell ref="EO54:EP55"/>
    <mergeCell ref="EQ54:ER55"/>
    <mergeCell ref="EC56:ED57"/>
    <mergeCell ref="EE56:EF57"/>
    <mergeCell ref="EG56:EH57"/>
    <mergeCell ref="EI56:EJ57"/>
    <mergeCell ref="EK56:EL57"/>
    <mergeCell ref="EM56:EN57"/>
    <mergeCell ref="EO56:EP57"/>
    <mergeCell ref="EQ56:ER57"/>
    <mergeCell ref="EC58:ED59"/>
    <mergeCell ref="EE58:EF59"/>
    <mergeCell ref="EG58:EH59"/>
    <mergeCell ref="EI58:EJ59"/>
    <mergeCell ref="EK58:EL59"/>
    <mergeCell ref="EM58:EN59"/>
    <mergeCell ref="EO58:EP59"/>
    <mergeCell ref="EQ58:ER59"/>
    <mergeCell ref="EE20:EF21"/>
    <mergeCell ref="EG20:EH21"/>
    <mergeCell ref="EI20:EJ21"/>
    <mergeCell ref="EK20:EL21"/>
    <mergeCell ref="EM20:EN21"/>
    <mergeCell ref="EO20:EP21"/>
    <mergeCell ref="EQ20:ER21"/>
    <mergeCell ref="ES20:ET21"/>
    <mergeCell ref="EU20:EV21"/>
    <mergeCell ref="EC22:ED23"/>
    <mergeCell ref="EE22:EF23"/>
    <mergeCell ref="EG22:EH23"/>
    <mergeCell ref="EI22:EJ23"/>
    <mergeCell ref="EK22:EL23"/>
    <mergeCell ref="EM22:EN23"/>
    <mergeCell ref="EO22:EP23"/>
    <mergeCell ref="EQ22:ER23"/>
    <mergeCell ref="ES22:ET23"/>
    <mergeCell ref="EU22:EV23"/>
    <mergeCell ref="EE16:EF17"/>
    <mergeCell ref="EG16:EH17"/>
    <mergeCell ref="EI16:EJ17"/>
    <mergeCell ref="EK16:EL17"/>
    <mergeCell ref="EM16:EN17"/>
    <mergeCell ref="EO16:EP17"/>
    <mergeCell ref="EQ16:ER17"/>
    <mergeCell ref="ES16:ET17"/>
    <mergeCell ref="EU16:EV17"/>
    <mergeCell ref="EC18:ED19"/>
    <mergeCell ref="EE18:EF19"/>
    <mergeCell ref="EG18:EH19"/>
    <mergeCell ref="EI18:EJ19"/>
    <mergeCell ref="EK18:EL19"/>
    <mergeCell ref="EM18:EN19"/>
    <mergeCell ref="EO18:EP19"/>
    <mergeCell ref="EQ18:ER19"/>
    <mergeCell ref="ES18:ET19"/>
    <mergeCell ref="EU18:EV19"/>
    <mergeCell ref="EE12:EF13"/>
    <mergeCell ref="EG12:EH13"/>
    <mergeCell ref="EI12:EJ13"/>
    <mergeCell ref="EK12:EL13"/>
    <mergeCell ref="EM12:EN13"/>
    <mergeCell ref="EO12:EP13"/>
    <mergeCell ref="EQ12:ER13"/>
    <mergeCell ref="ES12:ET13"/>
    <mergeCell ref="EU12:EV13"/>
    <mergeCell ref="EC14:ED15"/>
    <mergeCell ref="EE14:EF15"/>
    <mergeCell ref="EG14:EH15"/>
    <mergeCell ref="EI14:EJ15"/>
    <mergeCell ref="EK14:EL15"/>
    <mergeCell ref="EM14:EN15"/>
    <mergeCell ref="EO14:EP15"/>
    <mergeCell ref="EQ14:ER15"/>
    <mergeCell ref="ES14:ET15"/>
    <mergeCell ref="EU14:EV15"/>
    <mergeCell ref="EE8:EF9"/>
    <mergeCell ref="EG8:EH9"/>
    <mergeCell ref="EI8:EJ9"/>
    <mergeCell ref="EK8:EL9"/>
    <mergeCell ref="EM8:EN9"/>
    <mergeCell ref="EO8:EP9"/>
    <mergeCell ref="EQ8:ER9"/>
    <mergeCell ref="ES8:ET9"/>
    <mergeCell ref="EU8:EV9"/>
    <mergeCell ref="EC10:ED11"/>
    <mergeCell ref="EE10:EF11"/>
    <mergeCell ref="EG10:EH11"/>
    <mergeCell ref="EI10:EJ11"/>
    <mergeCell ref="EK10:EL11"/>
    <mergeCell ref="EM10:EN11"/>
    <mergeCell ref="EO10:EP11"/>
    <mergeCell ref="EQ10:ER11"/>
    <mergeCell ref="ES10:ET11"/>
    <mergeCell ref="EU10:EV11"/>
    <mergeCell ref="EE4:EF5"/>
    <mergeCell ref="EG4:EH5"/>
    <mergeCell ref="EI4:EJ5"/>
    <mergeCell ref="EK4:EL5"/>
    <mergeCell ref="EM4:EN5"/>
    <mergeCell ref="EO4:EP5"/>
    <mergeCell ref="EQ4:ER5"/>
    <mergeCell ref="ES4:ET5"/>
    <mergeCell ref="EU4:EV5"/>
    <mergeCell ref="EC6:ED7"/>
    <mergeCell ref="EE6:EF7"/>
    <mergeCell ref="EG6:EH7"/>
    <mergeCell ref="EI6:EJ7"/>
    <mergeCell ref="EK6:EL7"/>
    <mergeCell ref="EM6:EN7"/>
    <mergeCell ref="EO6:EP7"/>
    <mergeCell ref="EQ6:ER7"/>
    <mergeCell ref="ES6:ET7"/>
    <mergeCell ref="EU6:EV7"/>
    <mergeCell ref="DF165:DG166"/>
    <mergeCell ref="DH165:DI166"/>
    <mergeCell ref="DJ165:DK166"/>
    <mergeCell ref="DL165:DM166"/>
    <mergeCell ref="DF167:DG168"/>
    <mergeCell ref="DH167:DI168"/>
    <mergeCell ref="DJ167:DK168"/>
    <mergeCell ref="DL167:DM168"/>
    <mergeCell ref="DF169:DG170"/>
    <mergeCell ref="DH169:DI170"/>
    <mergeCell ref="DJ169:DK170"/>
    <mergeCell ref="DL169:DM170"/>
    <mergeCell ref="DF171:DG172"/>
    <mergeCell ref="DH171:DI172"/>
    <mergeCell ref="DJ171:DK172"/>
    <mergeCell ref="DL171:DM172"/>
    <mergeCell ref="EC4:ED5"/>
    <mergeCell ref="EC8:ED9"/>
    <mergeCell ref="EC12:ED13"/>
    <mergeCell ref="EC16:ED17"/>
    <mergeCell ref="EC20:ED21"/>
    <mergeCell ref="EC54:ED55"/>
    <mergeCell ref="EC60:ED61"/>
    <mergeCell ref="EC66:ED67"/>
    <mergeCell ref="EC94:ED95"/>
    <mergeCell ref="EC124:ED125"/>
    <mergeCell ref="EC128:ED129"/>
    <mergeCell ref="EC132:ED133"/>
    <mergeCell ref="EC165:ED166"/>
    <mergeCell ref="DF132:DG133"/>
    <mergeCell ref="DH132:DI133"/>
    <mergeCell ref="DJ132:DK133"/>
    <mergeCell ref="DL132:DM133"/>
    <mergeCell ref="DN132:DO133"/>
    <mergeCell ref="DP132:DQ133"/>
    <mergeCell ref="DR132:DS133"/>
    <mergeCell ref="DT132:DU133"/>
    <mergeCell ref="DV132:DW133"/>
    <mergeCell ref="DF134:DG135"/>
    <mergeCell ref="DH134:DI135"/>
    <mergeCell ref="DJ134:DK135"/>
    <mergeCell ref="DL134:DM135"/>
    <mergeCell ref="DN134:DO135"/>
    <mergeCell ref="DP134:DQ135"/>
    <mergeCell ref="DR134:DS135"/>
    <mergeCell ref="DT134:DU135"/>
    <mergeCell ref="DV134:DW135"/>
    <mergeCell ref="DF128:DG129"/>
    <mergeCell ref="DH128:DI129"/>
    <mergeCell ref="DJ128:DK129"/>
    <mergeCell ref="DL128:DM129"/>
    <mergeCell ref="DN128:DO129"/>
    <mergeCell ref="DP128:DQ129"/>
    <mergeCell ref="DR128:DS129"/>
    <mergeCell ref="DT128:DU129"/>
    <mergeCell ref="DV128:DW129"/>
    <mergeCell ref="DF130:DG131"/>
    <mergeCell ref="DH130:DI131"/>
    <mergeCell ref="DJ130:DK131"/>
    <mergeCell ref="DL130:DM131"/>
    <mergeCell ref="DN130:DO131"/>
    <mergeCell ref="DP130:DQ131"/>
    <mergeCell ref="DR130:DS131"/>
    <mergeCell ref="DT130:DU131"/>
    <mergeCell ref="DV130:DW131"/>
    <mergeCell ref="DF124:DG125"/>
    <mergeCell ref="DH124:DI125"/>
    <mergeCell ref="DJ124:DK125"/>
    <mergeCell ref="DL124:DM125"/>
    <mergeCell ref="DN124:DO125"/>
    <mergeCell ref="DP124:DQ125"/>
    <mergeCell ref="DR124:DS125"/>
    <mergeCell ref="DT124:DU125"/>
    <mergeCell ref="DV124:DW125"/>
    <mergeCell ref="DF126:DG127"/>
    <mergeCell ref="DH126:DI127"/>
    <mergeCell ref="DJ126:DK127"/>
    <mergeCell ref="DL126:DM127"/>
    <mergeCell ref="DN126:DO127"/>
    <mergeCell ref="DP126:DQ127"/>
    <mergeCell ref="DR126:DS127"/>
    <mergeCell ref="DT126:DU127"/>
    <mergeCell ref="DV126:DW127"/>
    <mergeCell ref="DN118:DO119"/>
    <mergeCell ref="DP118:DQ119"/>
    <mergeCell ref="DR118:DS119"/>
    <mergeCell ref="DT118:DU119"/>
    <mergeCell ref="DV118:DW119"/>
    <mergeCell ref="DF120:DG121"/>
    <mergeCell ref="DH120:DI121"/>
    <mergeCell ref="DJ120:DK121"/>
    <mergeCell ref="DL120:DM121"/>
    <mergeCell ref="DN120:DO121"/>
    <mergeCell ref="DP120:DQ121"/>
    <mergeCell ref="DR120:DS121"/>
    <mergeCell ref="DT120:DU121"/>
    <mergeCell ref="DV120:DW121"/>
    <mergeCell ref="DF122:DG123"/>
    <mergeCell ref="DH122:DI123"/>
    <mergeCell ref="DJ122:DK123"/>
    <mergeCell ref="DL122:DM123"/>
    <mergeCell ref="DN122:DO123"/>
    <mergeCell ref="DP122:DQ123"/>
    <mergeCell ref="DR122:DS123"/>
    <mergeCell ref="DT122:DU123"/>
    <mergeCell ref="DV122:DW123"/>
    <mergeCell ref="DF94:DG95"/>
    <mergeCell ref="DH94:DI95"/>
    <mergeCell ref="DJ94:DK95"/>
    <mergeCell ref="DL94:DM95"/>
    <mergeCell ref="DF96:DG97"/>
    <mergeCell ref="DH96:DI97"/>
    <mergeCell ref="DJ96:DK97"/>
    <mergeCell ref="DL96:DM97"/>
    <mergeCell ref="DF98:DG99"/>
    <mergeCell ref="DH98:DI99"/>
    <mergeCell ref="DJ98:DK99"/>
    <mergeCell ref="DL98:DM99"/>
    <mergeCell ref="DF100:DG101"/>
    <mergeCell ref="DH100:DI101"/>
    <mergeCell ref="DJ100:DK101"/>
    <mergeCell ref="DL100:DM101"/>
    <mergeCell ref="DF118:DG119"/>
    <mergeCell ref="DH118:DI119"/>
    <mergeCell ref="DJ118:DK119"/>
    <mergeCell ref="DL118:DM119"/>
    <mergeCell ref="DF66:DG67"/>
    <mergeCell ref="DH66:DI67"/>
    <mergeCell ref="DJ66:DK67"/>
    <mergeCell ref="DL66:DM67"/>
    <mergeCell ref="DN66:DO67"/>
    <mergeCell ref="DP66:DQ67"/>
    <mergeCell ref="DR66:DS67"/>
    <mergeCell ref="DT66:DU67"/>
    <mergeCell ref="DF68:DG69"/>
    <mergeCell ref="DH68:DI69"/>
    <mergeCell ref="DJ68:DK69"/>
    <mergeCell ref="DL68:DM69"/>
    <mergeCell ref="DN68:DO69"/>
    <mergeCell ref="DP68:DQ69"/>
    <mergeCell ref="DR68:DS69"/>
    <mergeCell ref="DT68:DU69"/>
    <mergeCell ref="DF70:DG71"/>
    <mergeCell ref="DH70:DI71"/>
    <mergeCell ref="DJ70:DK71"/>
    <mergeCell ref="DL70:DM71"/>
    <mergeCell ref="DN70:DO71"/>
    <mergeCell ref="DP70:DQ71"/>
    <mergeCell ref="DR70:DS71"/>
    <mergeCell ref="DT70:DU71"/>
    <mergeCell ref="DF60:DG61"/>
    <mergeCell ref="DH60:DI61"/>
    <mergeCell ref="DJ60:DK61"/>
    <mergeCell ref="DL60:DM61"/>
    <mergeCell ref="DN60:DO61"/>
    <mergeCell ref="DP60:DQ61"/>
    <mergeCell ref="DR60:DS61"/>
    <mergeCell ref="DT60:DU61"/>
    <mergeCell ref="DF62:DG63"/>
    <mergeCell ref="DH62:DI63"/>
    <mergeCell ref="DJ62:DK63"/>
    <mergeCell ref="DL62:DM63"/>
    <mergeCell ref="DN62:DO63"/>
    <mergeCell ref="DP62:DQ63"/>
    <mergeCell ref="DR62:DS63"/>
    <mergeCell ref="DT62:DU63"/>
    <mergeCell ref="DF64:DG65"/>
    <mergeCell ref="DH64:DI65"/>
    <mergeCell ref="DJ64:DK65"/>
    <mergeCell ref="DL64:DM65"/>
    <mergeCell ref="DN64:DO65"/>
    <mergeCell ref="DP64:DQ65"/>
    <mergeCell ref="DR64:DS65"/>
    <mergeCell ref="DT64:DU65"/>
    <mergeCell ref="DF54:DG55"/>
    <mergeCell ref="DH54:DI55"/>
    <mergeCell ref="DJ54:DK55"/>
    <mergeCell ref="DL54:DM55"/>
    <mergeCell ref="DN54:DO55"/>
    <mergeCell ref="DP54:DQ55"/>
    <mergeCell ref="DR54:DS55"/>
    <mergeCell ref="DT54:DU55"/>
    <mergeCell ref="DF56:DG57"/>
    <mergeCell ref="DH56:DI57"/>
    <mergeCell ref="DJ56:DK57"/>
    <mergeCell ref="DL56:DM57"/>
    <mergeCell ref="DN56:DO57"/>
    <mergeCell ref="DP56:DQ57"/>
    <mergeCell ref="DR56:DS57"/>
    <mergeCell ref="DT56:DU57"/>
    <mergeCell ref="DF58:DG59"/>
    <mergeCell ref="DH58:DI59"/>
    <mergeCell ref="DJ58:DK59"/>
    <mergeCell ref="DL58:DM59"/>
    <mergeCell ref="DN58:DO59"/>
    <mergeCell ref="DP58:DQ59"/>
    <mergeCell ref="DR58:DS59"/>
    <mergeCell ref="DT58:DU59"/>
    <mergeCell ref="DF20:DG21"/>
    <mergeCell ref="DH20:DI21"/>
    <mergeCell ref="DJ20:DK21"/>
    <mergeCell ref="DL20:DM21"/>
    <mergeCell ref="DN20:DO21"/>
    <mergeCell ref="DP20:DQ21"/>
    <mergeCell ref="DR20:DS21"/>
    <mergeCell ref="DT20:DU21"/>
    <mergeCell ref="DV20:DW21"/>
    <mergeCell ref="DX20:DY21"/>
    <mergeCell ref="DF22:DG23"/>
    <mergeCell ref="DH22:DI23"/>
    <mergeCell ref="DJ22:DK23"/>
    <mergeCell ref="DL22:DM23"/>
    <mergeCell ref="DN22:DO23"/>
    <mergeCell ref="DP22:DQ23"/>
    <mergeCell ref="DR22:DS23"/>
    <mergeCell ref="DT22:DU23"/>
    <mergeCell ref="DV22:DW23"/>
    <mergeCell ref="DX22:DY23"/>
    <mergeCell ref="DF16:DG17"/>
    <mergeCell ref="DH16:DI17"/>
    <mergeCell ref="DJ16:DK17"/>
    <mergeCell ref="DL16:DM17"/>
    <mergeCell ref="DN16:DO17"/>
    <mergeCell ref="DP16:DQ17"/>
    <mergeCell ref="DR16:DS17"/>
    <mergeCell ref="DT16:DU17"/>
    <mergeCell ref="DV16:DW17"/>
    <mergeCell ref="DX16:DY17"/>
    <mergeCell ref="DF18:DG19"/>
    <mergeCell ref="DH18:DI19"/>
    <mergeCell ref="DJ18:DK19"/>
    <mergeCell ref="DL18:DM19"/>
    <mergeCell ref="DN18:DO19"/>
    <mergeCell ref="DP18:DQ19"/>
    <mergeCell ref="DR18:DS19"/>
    <mergeCell ref="DT18:DU19"/>
    <mergeCell ref="DV18:DW19"/>
    <mergeCell ref="DX18:DY19"/>
    <mergeCell ref="DF12:DG13"/>
    <mergeCell ref="DH12:DI13"/>
    <mergeCell ref="DJ12:DK13"/>
    <mergeCell ref="DL12:DM13"/>
    <mergeCell ref="DN12:DO13"/>
    <mergeCell ref="DP12:DQ13"/>
    <mergeCell ref="DR12:DS13"/>
    <mergeCell ref="DT12:DU13"/>
    <mergeCell ref="DV12:DW13"/>
    <mergeCell ref="DX12:DY13"/>
    <mergeCell ref="DF14:DG15"/>
    <mergeCell ref="DH14:DI15"/>
    <mergeCell ref="DJ14:DK15"/>
    <mergeCell ref="DL14:DM15"/>
    <mergeCell ref="DN14:DO15"/>
    <mergeCell ref="DP14:DQ15"/>
    <mergeCell ref="DR14:DS15"/>
    <mergeCell ref="DT14:DU15"/>
    <mergeCell ref="DV14:DW15"/>
    <mergeCell ref="DX14:DY15"/>
    <mergeCell ref="DF8:DG9"/>
    <mergeCell ref="DH8:DI9"/>
    <mergeCell ref="DJ8:DK9"/>
    <mergeCell ref="DL8:DM9"/>
    <mergeCell ref="DN8:DO9"/>
    <mergeCell ref="DP8:DQ9"/>
    <mergeCell ref="DR8:DS9"/>
    <mergeCell ref="DT8:DU9"/>
    <mergeCell ref="DV8:DW9"/>
    <mergeCell ref="DX8:DY9"/>
    <mergeCell ref="DF10:DG11"/>
    <mergeCell ref="DH10:DI11"/>
    <mergeCell ref="DJ10:DK11"/>
    <mergeCell ref="DL10:DM11"/>
    <mergeCell ref="DN10:DO11"/>
    <mergeCell ref="DP10:DQ11"/>
    <mergeCell ref="DR10:DS11"/>
    <mergeCell ref="DT10:DU11"/>
    <mergeCell ref="DV10:DW11"/>
    <mergeCell ref="DX10:DY11"/>
    <mergeCell ref="DH4:DI5"/>
    <mergeCell ref="DJ4:DK5"/>
    <mergeCell ref="DL4:DM5"/>
    <mergeCell ref="DN4:DO5"/>
    <mergeCell ref="DP4:DQ5"/>
    <mergeCell ref="DR4:DS5"/>
    <mergeCell ref="DT4:DU5"/>
    <mergeCell ref="DV4:DW5"/>
    <mergeCell ref="DX4:DY5"/>
    <mergeCell ref="DF6:DG7"/>
    <mergeCell ref="DH6:DI7"/>
    <mergeCell ref="DJ6:DK7"/>
    <mergeCell ref="DL6:DM7"/>
    <mergeCell ref="DN6:DO7"/>
    <mergeCell ref="DP6:DQ7"/>
    <mergeCell ref="DR6:DS7"/>
    <mergeCell ref="DT6:DU7"/>
    <mergeCell ref="DV6:DW7"/>
    <mergeCell ref="DX6:DY7"/>
    <mergeCell ref="O4:P5"/>
    <mergeCell ref="Q4:R5"/>
    <mergeCell ref="S4:T5"/>
    <mergeCell ref="U4:V5"/>
    <mergeCell ref="C6:D7"/>
    <mergeCell ref="E6:F7"/>
    <mergeCell ref="G6:H7"/>
    <mergeCell ref="I6:J7"/>
    <mergeCell ref="K6:L7"/>
    <mergeCell ref="M6:N7"/>
    <mergeCell ref="C4:D5"/>
    <mergeCell ref="E4:F5"/>
    <mergeCell ref="G4:H5"/>
    <mergeCell ref="I4:J5"/>
    <mergeCell ref="K4:L5"/>
    <mergeCell ref="M4:N5"/>
    <mergeCell ref="DF4:DG5"/>
    <mergeCell ref="AJ6:AK7"/>
    <mergeCell ref="AL6:AM7"/>
    <mergeCell ref="AN6:AO7"/>
    <mergeCell ref="AP6:AQ7"/>
    <mergeCell ref="BE6:BF7"/>
    <mergeCell ref="BG6:BH7"/>
    <mergeCell ref="BI6:BJ7"/>
    <mergeCell ref="BK6:BL7"/>
    <mergeCell ref="BZ4:CA5"/>
    <mergeCell ref="CB4:CC5"/>
    <mergeCell ref="CD4:CE5"/>
    <mergeCell ref="CF4:CG5"/>
    <mergeCell ref="BN6:BO7"/>
    <mergeCell ref="BP6:BQ7"/>
    <mergeCell ref="BR6:BS7"/>
    <mergeCell ref="O8:P9"/>
    <mergeCell ref="Q8:R9"/>
    <mergeCell ref="S8:T9"/>
    <mergeCell ref="U8:V9"/>
    <mergeCell ref="C10:D11"/>
    <mergeCell ref="E10:F11"/>
    <mergeCell ref="G10:H11"/>
    <mergeCell ref="I10:J11"/>
    <mergeCell ref="K10:L11"/>
    <mergeCell ref="M10:N11"/>
    <mergeCell ref="O6:P7"/>
    <mergeCell ref="Q6:R7"/>
    <mergeCell ref="S6:T7"/>
    <mergeCell ref="U6:V7"/>
    <mergeCell ref="C8:D9"/>
    <mergeCell ref="E8:F9"/>
    <mergeCell ref="G8:H9"/>
    <mergeCell ref="I8:J9"/>
    <mergeCell ref="K8:L9"/>
    <mergeCell ref="M8:N9"/>
    <mergeCell ref="O12:P13"/>
    <mergeCell ref="Q12:R13"/>
    <mergeCell ref="S12:T13"/>
    <mergeCell ref="U12:V13"/>
    <mergeCell ref="C14:D15"/>
    <mergeCell ref="E14:F15"/>
    <mergeCell ref="G14:H15"/>
    <mergeCell ref="I14:J15"/>
    <mergeCell ref="K14:L15"/>
    <mergeCell ref="M14:N15"/>
    <mergeCell ref="O10:P11"/>
    <mergeCell ref="Q10:R11"/>
    <mergeCell ref="S10:T11"/>
    <mergeCell ref="U10:V11"/>
    <mergeCell ref="C12:D13"/>
    <mergeCell ref="E12:F13"/>
    <mergeCell ref="G12:H13"/>
    <mergeCell ref="I12:J13"/>
    <mergeCell ref="K12:L13"/>
    <mergeCell ref="M12:N13"/>
    <mergeCell ref="O16:P17"/>
    <mergeCell ref="Q16:R17"/>
    <mergeCell ref="S16:T17"/>
    <mergeCell ref="U16:V17"/>
    <mergeCell ref="C18:D19"/>
    <mergeCell ref="E18:F19"/>
    <mergeCell ref="G18:H19"/>
    <mergeCell ref="I18:J19"/>
    <mergeCell ref="K18:L19"/>
    <mergeCell ref="M18:N19"/>
    <mergeCell ref="O14:P15"/>
    <mergeCell ref="Q14:R15"/>
    <mergeCell ref="S14:T15"/>
    <mergeCell ref="U14:V15"/>
    <mergeCell ref="C16:D17"/>
    <mergeCell ref="E16:F17"/>
    <mergeCell ref="G16:H17"/>
    <mergeCell ref="I16:J17"/>
    <mergeCell ref="K16:L17"/>
    <mergeCell ref="M16:N17"/>
    <mergeCell ref="O20:P21"/>
    <mergeCell ref="Q20:R21"/>
    <mergeCell ref="S20:T21"/>
    <mergeCell ref="U20:V21"/>
    <mergeCell ref="C22:D23"/>
    <mergeCell ref="E22:F23"/>
    <mergeCell ref="G22:H23"/>
    <mergeCell ref="I22:J23"/>
    <mergeCell ref="K22:L23"/>
    <mergeCell ref="M22:N23"/>
    <mergeCell ref="O18:P19"/>
    <mergeCell ref="Q18:R19"/>
    <mergeCell ref="S18:T19"/>
    <mergeCell ref="U18:V19"/>
    <mergeCell ref="C20:D21"/>
    <mergeCell ref="E20:F21"/>
    <mergeCell ref="G20:H21"/>
    <mergeCell ref="I20:J21"/>
    <mergeCell ref="K20:L21"/>
    <mergeCell ref="M20:N21"/>
    <mergeCell ref="O54:P55"/>
    <mergeCell ref="Q54:R55"/>
    <mergeCell ref="C56:D57"/>
    <mergeCell ref="E56:F57"/>
    <mergeCell ref="G56:H57"/>
    <mergeCell ref="I56:J57"/>
    <mergeCell ref="K56:L57"/>
    <mergeCell ref="M56:N57"/>
    <mergeCell ref="O56:P57"/>
    <mergeCell ref="O22:P23"/>
    <mergeCell ref="Q22:R23"/>
    <mergeCell ref="S22:T23"/>
    <mergeCell ref="U22:V23"/>
    <mergeCell ref="C54:D55"/>
    <mergeCell ref="E54:F55"/>
    <mergeCell ref="G54:H55"/>
    <mergeCell ref="I54:J55"/>
    <mergeCell ref="K54:L55"/>
    <mergeCell ref="M54:N5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8:D29"/>
    <mergeCell ref="E28:F29"/>
    <mergeCell ref="G28:H29"/>
    <mergeCell ref="C60:D61"/>
    <mergeCell ref="E60:F61"/>
    <mergeCell ref="G60:H61"/>
    <mergeCell ref="I60:J61"/>
    <mergeCell ref="K60:L61"/>
    <mergeCell ref="M60:N61"/>
    <mergeCell ref="O60:P61"/>
    <mergeCell ref="Q60:R61"/>
    <mergeCell ref="Q56:R57"/>
    <mergeCell ref="C58:D59"/>
    <mergeCell ref="E58:F59"/>
    <mergeCell ref="G58:H59"/>
    <mergeCell ref="I58:J59"/>
    <mergeCell ref="K58:L59"/>
    <mergeCell ref="M58:N59"/>
    <mergeCell ref="O58:P59"/>
    <mergeCell ref="Q58:R59"/>
    <mergeCell ref="M68:N69"/>
    <mergeCell ref="O68:P69"/>
    <mergeCell ref="Q68:R69"/>
    <mergeCell ref="Q64:R65"/>
    <mergeCell ref="C66:D67"/>
    <mergeCell ref="E66:F67"/>
    <mergeCell ref="G66:H67"/>
    <mergeCell ref="I66:J67"/>
    <mergeCell ref="K66:L67"/>
    <mergeCell ref="M66:N67"/>
    <mergeCell ref="O66:P67"/>
    <mergeCell ref="Q66:R67"/>
    <mergeCell ref="O62:P63"/>
    <mergeCell ref="Q62:R63"/>
    <mergeCell ref="C64:D65"/>
    <mergeCell ref="E64:F65"/>
    <mergeCell ref="G64:H65"/>
    <mergeCell ref="I64:J65"/>
    <mergeCell ref="K64:L65"/>
    <mergeCell ref="M64:N65"/>
    <mergeCell ref="O64:P65"/>
    <mergeCell ref="C62:D63"/>
    <mergeCell ref="E62:F63"/>
    <mergeCell ref="G62:H63"/>
    <mergeCell ref="I62:J63"/>
    <mergeCell ref="K62:L63"/>
    <mergeCell ref="M62:N63"/>
    <mergeCell ref="C96:D97"/>
    <mergeCell ref="E96:F97"/>
    <mergeCell ref="G96:H97"/>
    <mergeCell ref="I96:J97"/>
    <mergeCell ref="C98:D99"/>
    <mergeCell ref="E98:F99"/>
    <mergeCell ref="G98:H99"/>
    <mergeCell ref="I98:J99"/>
    <mergeCell ref="C94:D95"/>
    <mergeCell ref="E94:F95"/>
    <mergeCell ref="G94:H95"/>
    <mergeCell ref="I94:J95"/>
    <mergeCell ref="C68:D69"/>
    <mergeCell ref="E68:F69"/>
    <mergeCell ref="G68:H69"/>
    <mergeCell ref="I68:J69"/>
    <mergeCell ref="K68:L69"/>
    <mergeCell ref="C72:D73"/>
    <mergeCell ref="E72:F73"/>
    <mergeCell ref="G72:H73"/>
    <mergeCell ref="I72:J73"/>
    <mergeCell ref="K72:L73"/>
    <mergeCell ref="C78:D79"/>
    <mergeCell ref="E78:F79"/>
    <mergeCell ref="G78:H79"/>
    <mergeCell ref="I78:J79"/>
    <mergeCell ref="K78:L79"/>
    <mergeCell ref="C84:D85"/>
    <mergeCell ref="E84:F85"/>
    <mergeCell ref="G84:H85"/>
    <mergeCell ref="I84:J85"/>
    <mergeCell ref="K84:L85"/>
    <mergeCell ref="C100:D101"/>
    <mergeCell ref="E100:F101"/>
    <mergeCell ref="G100:H101"/>
    <mergeCell ref="I100:J101"/>
    <mergeCell ref="C118:D119"/>
    <mergeCell ref="E118:F119"/>
    <mergeCell ref="G118:H119"/>
    <mergeCell ref="I118:J119"/>
    <mergeCell ref="C109:D110"/>
    <mergeCell ref="E109:F110"/>
    <mergeCell ref="G109:H110"/>
    <mergeCell ref="I109:J110"/>
    <mergeCell ref="C111:D112"/>
    <mergeCell ref="E111:F112"/>
    <mergeCell ref="G111:H112"/>
    <mergeCell ref="I111:J112"/>
    <mergeCell ref="C113:D114"/>
    <mergeCell ref="E113:F114"/>
    <mergeCell ref="G113:H114"/>
    <mergeCell ref="I113:J114"/>
    <mergeCell ref="M120:N121"/>
    <mergeCell ref="O120:P121"/>
    <mergeCell ref="Q120:R121"/>
    <mergeCell ref="S120:T121"/>
    <mergeCell ref="C122:D123"/>
    <mergeCell ref="E122:F123"/>
    <mergeCell ref="G122:H123"/>
    <mergeCell ref="I122:J123"/>
    <mergeCell ref="K122:L123"/>
    <mergeCell ref="M122:N123"/>
    <mergeCell ref="K118:L119"/>
    <mergeCell ref="M118:N119"/>
    <mergeCell ref="O118:P119"/>
    <mergeCell ref="Q118:R119"/>
    <mergeCell ref="S118:T119"/>
    <mergeCell ref="C120:D121"/>
    <mergeCell ref="E120:F121"/>
    <mergeCell ref="G120:H121"/>
    <mergeCell ref="I120:J121"/>
    <mergeCell ref="K120:L121"/>
    <mergeCell ref="Q124:R125"/>
    <mergeCell ref="S124:T125"/>
    <mergeCell ref="C126:D127"/>
    <mergeCell ref="E126:F127"/>
    <mergeCell ref="G126:H127"/>
    <mergeCell ref="I126:J127"/>
    <mergeCell ref="K126:L127"/>
    <mergeCell ref="M126:N127"/>
    <mergeCell ref="O126:P127"/>
    <mergeCell ref="Q126:R127"/>
    <mergeCell ref="O122:P123"/>
    <mergeCell ref="Q122:R123"/>
    <mergeCell ref="S122:T123"/>
    <mergeCell ref="C124:D125"/>
    <mergeCell ref="E124:F125"/>
    <mergeCell ref="G124:H125"/>
    <mergeCell ref="I124:J125"/>
    <mergeCell ref="K124:L125"/>
    <mergeCell ref="M124:N125"/>
    <mergeCell ref="O124:P125"/>
    <mergeCell ref="I132:J133"/>
    <mergeCell ref="K132:L133"/>
    <mergeCell ref="M132:N133"/>
    <mergeCell ref="O132:P133"/>
    <mergeCell ref="C130:D131"/>
    <mergeCell ref="E130:F131"/>
    <mergeCell ref="G130:H131"/>
    <mergeCell ref="I130:J131"/>
    <mergeCell ref="K130:L131"/>
    <mergeCell ref="M130:N131"/>
    <mergeCell ref="S126:T127"/>
    <mergeCell ref="C128:D129"/>
    <mergeCell ref="E128:F129"/>
    <mergeCell ref="G128:H129"/>
    <mergeCell ref="I128:J129"/>
    <mergeCell ref="K128:L129"/>
    <mergeCell ref="M128:N129"/>
    <mergeCell ref="O128:P129"/>
    <mergeCell ref="Q128:R129"/>
    <mergeCell ref="S128:T129"/>
    <mergeCell ref="C171:D172"/>
    <mergeCell ref="E171:F172"/>
    <mergeCell ref="G171:H172"/>
    <mergeCell ref="I171:J172"/>
    <mergeCell ref="S134:T135"/>
    <mergeCell ref="C165:D166"/>
    <mergeCell ref="E165:F166"/>
    <mergeCell ref="G165:H166"/>
    <mergeCell ref="I165:J166"/>
    <mergeCell ref="C167:D168"/>
    <mergeCell ref="E167:F168"/>
    <mergeCell ref="G167:H168"/>
    <mergeCell ref="I167:J168"/>
    <mergeCell ref="C138:D139"/>
    <mergeCell ref="E138:F139"/>
    <mergeCell ref="G138:H139"/>
    <mergeCell ref="I138:J139"/>
    <mergeCell ref="K138:L139"/>
    <mergeCell ref="M138:N139"/>
    <mergeCell ref="O138:P139"/>
    <mergeCell ref="Q138:R139"/>
    <mergeCell ref="S138:T139"/>
    <mergeCell ref="C140:D141"/>
    <mergeCell ref="E140:F141"/>
    <mergeCell ref="G140:H141"/>
    <mergeCell ref="I140:J141"/>
    <mergeCell ref="K140:L141"/>
    <mergeCell ref="M140:N141"/>
    <mergeCell ref="C134:D135"/>
    <mergeCell ref="E134:F135"/>
    <mergeCell ref="G134:H135"/>
    <mergeCell ref="I134:J135"/>
    <mergeCell ref="AJ4:AK5"/>
    <mergeCell ref="AL4:AM5"/>
    <mergeCell ref="AN4:AO5"/>
    <mergeCell ref="AP4:AQ5"/>
    <mergeCell ref="X6:Y7"/>
    <mergeCell ref="Z6:AA7"/>
    <mergeCell ref="AB6:AC7"/>
    <mergeCell ref="AD6:AE7"/>
    <mergeCell ref="AF6:AG7"/>
    <mergeCell ref="AH6:AI7"/>
    <mergeCell ref="X4:Y5"/>
    <mergeCell ref="Z4:AA5"/>
    <mergeCell ref="AB4:AC5"/>
    <mergeCell ref="AD4:AE5"/>
    <mergeCell ref="AF4:AG5"/>
    <mergeCell ref="AH4:AI5"/>
    <mergeCell ref="C169:D170"/>
    <mergeCell ref="E169:F170"/>
    <mergeCell ref="G169:H170"/>
    <mergeCell ref="I169:J170"/>
    <mergeCell ref="Q132:R133"/>
    <mergeCell ref="S132:T133"/>
    <mergeCell ref="K134:L135"/>
    <mergeCell ref="M134:N135"/>
    <mergeCell ref="O134:P135"/>
    <mergeCell ref="Q134:R135"/>
    <mergeCell ref="O130:P131"/>
    <mergeCell ref="Q130:R131"/>
    <mergeCell ref="S130:T131"/>
    <mergeCell ref="C132:D133"/>
    <mergeCell ref="E132:F133"/>
    <mergeCell ref="G132:H133"/>
    <mergeCell ref="AJ10:AK11"/>
    <mergeCell ref="AL10:AM11"/>
    <mergeCell ref="AN10:AO11"/>
    <mergeCell ref="AP10:AQ11"/>
    <mergeCell ref="X12:Y13"/>
    <mergeCell ref="Z12:AA13"/>
    <mergeCell ref="AB12:AC13"/>
    <mergeCell ref="AD12:AE13"/>
    <mergeCell ref="AF12:AG13"/>
    <mergeCell ref="AH12:AI13"/>
    <mergeCell ref="AJ8:AK9"/>
    <mergeCell ref="AL8:AM9"/>
    <mergeCell ref="AN8:AO9"/>
    <mergeCell ref="AP8:AQ9"/>
    <mergeCell ref="X10:Y11"/>
    <mergeCell ref="Z10:AA11"/>
    <mergeCell ref="AB10:AC11"/>
    <mergeCell ref="AD10:AE11"/>
    <mergeCell ref="AF10:AG11"/>
    <mergeCell ref="AH10:AI11"/>
    <mergeCell ref="X8:Y9"/>
    <mergeCell ref="Z8:AA9"/>
    <mergeCell ref="AB8:AC9"/>
    <mergeCell ref="AD8:AE9"/>
    <mergeCell ref="AF8:AG9"/>
    <mergeCell ref="AH8:AI9"/>
    <mergeCell ref="AJ14:AK15"/>
    <mergeCell ref="AL14:AM15"/>
    <mergeCell ref="AN14:AO15"/>
    <mergeCell ref="AP14:AQ15"/>
    <mergeCell ref="X16:Y17"/>
    <mergeCell ref="Z16:AA17"/>
    <mergeCell ref="AB16:AC17"/>
    <mergeCell ref="AD16:AE17"/>
    <mergeCell ref="AF16:AG17"/>
    <mergeCell ref="AH16:AI17"/>
    <mergeCell ref="AJ12:AK13"/>
    <mergeCell ref="AL12:AM13"/>
    <mergeCell ref="AN12:AO13"/>
    <mergeCell ref="AP12:AQ13"/>
    <mergeCell ref="X14:Y15"/>
    <mergeCell ref="Z14:AA15"/>
    <mergeCell ref="AB14:AC15"/>
    <mergeCell ref="AD14:AE15"/>
    <mergeCell ref="AF14:AG15"/>
    <mergeCell ref="AH14:AI15"/>
    <mergeCell ref="AJ18:AK19"/>
    <mergeCell ref="AL18:AM19"/>
    <mergeCell ref="AN18:AO19"/>
    <mergeCell ref="AP18:AQ19"/>
    <mergeCell ref="X20:Y21"/>
    <mergeCell ref="Z20:AA21"/>
    <mergeCell ref="AB20:AC21"/>
    <mergeCell ref="AD20:AE21"/>
    <mergeCell ref="AF20:AG21"/>
    <mergeCell ref="AH20:AI21"/>
    <mergeCell ref="AJ16:AK17"/>
    <mergeCell ref="AL16:AM17"/>
    <mergeCell ref="AN16:AO17"/>
    <mergeCell ref="AP16:AQ17"/>
    <mergeCell ref="X18:Y19"/>
    <mergeCell ref="Z18:AA19"/>
    <mergeCell ref="AB18:AC19"/>
    <mergeCell ref="AD18:AE19"/>
    <mergeCell ref="AF18:AG19"/>
    <mergeCell ref="AH18:AI19"/>
    <mergeCell ref="AJ20:AK21"/>
    <mergeCell ref="AL20:AM21"/>
    <mergeCell ref="AN20:AO21"/>
    <mergeCell ref="AP20:AQ21"/>
    <mergeCell ref="Z28:AA29"/>
    <mergeCell ref="AB28:AC29"/>
    <mergeCell ref="AD28:AE29"/>
    <mergeCell ref="AF28:AG29"/>
    <mergeCell ref="AH28:AI29"/>
    <mergeCell ref="AJ28:AK29"/>
    <mergeCell ref="AL28:AM29"/>
    <mergeCell ref="AN28:AO29"/>
    <mergeCell ref="AP28:AQ29"/>
    <mergeCell ref="AJ54:AK55"/>
    <mergeCell ref="AL54:AM55"/>
    <mergeCell ref="Z36:AA37"/>
    <mergeCell ref="AB36:AC37"/>
    <mergeCell ref="AD36:AE37"/>
    <mergeCell ref="AF36:AG37"/>
    <mergeCell ref="AH36:AI37"/>
    <mergeCell ref="AJ36:AK37"/>
    <mergeCell ref="AL36:AM37"/>
    <mergeCell ref="AN36:AO37"/>
    <mergeCell ref="AP36:AQ37"/>
    <mergeCell ref="AH42:AI43"/>
    <mergeCell ref="AJ42:AK43"/>
    <mergeCell ref="AL42:AM43"/>
    <mergeCell ref="AN42:AO43"/>
    <mergeCell ref="AP42:AQ43"/>
    <mergeCell ref="AJ22:AK23"/>
    <mergeCell ref="AL22:AM23"/>
    <mergeCell ref="AN22:AO23"/>
    <mergeCell ref="AP22:AQ23"/>
    <mergeCell ref="X54:Y55"/>
    <mergeCell ref="Z54:AA55"/>
    <mergeCell ref="AB54:AC55"/>
    <mergeCell ref="AD54:AE55"/>
    <mergeCell ref="AF54:AG55"/>
    <mergeCell ref="AH54:AI55"/>
    <mergeCell ref="X30:Y31"/>
    <mergeCell ref="Z30:AA31"/>
    <mergeCell ref="AP44:AQ45"/>
    <mergeCell ref="AJ38:AK39"/>
    <mergeCell ref="AL38:AM39"/>
    <mergeCell ref="AN38:AO39"/>
    <mergeCell ref="AP38:AQ39"/>
    <mergeCell ref="X40:Y41"/>
    <mergeCell ref="Z40:AA41"/>
    <mergeCell ref="AB40:AC41"/>
    <mergeCell ref="AD40:AE41"/>
    <mergeCell ref="AF40:AG41"/>
    <mergeCell ref="AH40:AI41"/>
    <mergeCell ref="AJ40:AK41"/>
    <mergeCell ref="X42:Y43"/>
    <mergeCell ref="X22:Y23"/>
    <mergeCell ref="Z22:AA23"/>
    <mergeCell ref="AB22:AC23"/>
    <mergeCell ref="AD22:AE23"/>
    <mergeCell ref="AF22:AG23"/>
    <mergeCell ref="AH22:AI23"/>
    <mergeCell ref="X28:Y29"/>
    <mergeCell ref="X60:Y61"/>
    <mergeCell ref="Z60:AA61"/>
    <mergeCell ref="AB60:AC61"/>
    <mergeCell ref="AD60:AE61"/>
    <mergeCell ref="AF60:AG61"/>
    <mergeCell ref="AH60:AI61"/>
    <mergeCell ref="AJ60:AK61"/>
    <mergeCell ref="AL60:AM61"/>
    <mergeCell ref="AL56:AM57"/>
    <mergeCell ref="X58:Y59"/>
    <mergeCell ref="Z58:AA59"/>
    <mergeCell ref="AB58:AC59"/>
    <mergeCell ref="AD58:AE59"/>
    <mergeCell ref="AF58:AG59"/>
    <mergeCell ref="AH58:AI59"/>
    <mergeCell ref="AJ58:AK59"/>
    <mergeCell ref="AL58:AM59"/>
    <mergeCell ref="X56:Y57"/>
    <mergeCell ref="Z56:AA57"/>
    <mergeCell ref="AB56:AC57"/>
    <mergeCell ref="AD56:AE57"/>
    <mergeCell ref="AF56:AG57"/>
    <mergeCell ref="AH56:AI57"/>
    <mergeCell ref="AJ56:AK57"/>
    <mergeCell ref="AL64:AM65"/>
    <mergeCell ref="X66:Y67"/>
    <mergeCell ref="Z66:AA67"/>
    <mergeCell ref="AB66:AC67"/>
    <mergeCell ref="AD66:AE67"/>
    <mergeCell ref="AF66:AG67"/>
    <mergeCell ref="AH66:AI67"/>
    <mergeCell ref="AJ66:AK67"/>
    <mergeCell ref="AL66:AM67"/>
    <mergeCell ref="AJ62:AK63"/>
    <mergeCell ref="AL62:AM63"/>
    <mergeCell ref="X64:Y65"/>
    <mergeCell ref="Z64:AA65"/>
    <mergeCell ref="AB64:AC65"/>
    <mergeCell ref="AD64:AE65"/>
    <mergeCell ref="AF64:AG65"/>
    <mergeCell ref="AH64:AI65"/>
    <mergeCell ref="AJ64:AK65"/>
    <mergeCell ref="X62:Y63"/>
    <mergeCell ref="Z62:AA63"/>
    <mergeCell ref="AB62:AC63"/>
    <mergeCell ref="AD62:AE63"/>
    <mergeCell ref="AF62:AG63"/>
    <mergeCell ref="AH62:AI63"/>
    <mergeCell ref="AN70:AO71"/>
    <mergeCell ref="X94:Y95"/>
    <mergeCell ref="Z94:AA95"/>
    <mergeCell ref="AB94:AC95"/>
    <mergeCell ref="AD94:AE95"/>
    <mergeCell ref="X72:Y73"/>
    <mergeCell ref="Z72:AA73"/>
    <mergeCell ref="AB72:AC73"/>
    <mergeCell ref="AD72:AE73"/>
    <mergeCell ref="AF72:AG73"/>
    <mergeCell ref="AH72:AI73"/>
    <mergeCell ref="AJ72:AK73"/>
    <mergeCell ref="AL72:AM73"/>
    <mergeCell ref="X74:Y75"/>
    <mergeCell ref="Z74:AA75"/>
    <mergeCell ref="AB74:AC75"/>
    <mergeCell ref="X68:Y69"/>
    <mergeCell ref="Z68:AA69"/>
    <mergeCell ref="AB68:AC69"/>
    <mergeCell ref="AD68:AE69"/>
    <mergeCell ref="AF68:AG69"/>
    <mergeCell ref="AH68:AI69"/>
    <mergeCell ref="AJ68:AK69"/>
    <mergeCell ref="AL68:AM69"/>
    <mergeCell ref="X84:Y85"/>
    <mergeCell ref="Z84:AA85"/>
    <mergeCell ref="AB84:AC85"/>
    <mergeCell ref="AD84:AE85"/>
    <mergeCell ref="AF84:AG85"/>
    <mergeCell ref="AH84:AI85"/>
    <mergeCell ref="AJ84:AK85"/>
    <mergeCell ref="AL84:AM85"/>
    <mergeCell ref="X100:Y101"/>
    <mergeCell ref="Z100:AA101"/>
    <mergeCell ref="AB100:AC101"/>
    <mergeCell ref="AD100:AE101"/>
    <mergeCell ref="X118:Y119"/>
    <mergeCell ref="Z118:AA119"/>
    <mergeCell ref="AB118:AC119"/>
    <mergeCell ref="AD118:AE119"/>
    <mergeCell ref="X109:Y110"/>
    <mergeCell ref="X111:Y112"/>
    <mergeCell ref="X113:Y114"/>
    <mergeCell ref="X96:Y97"/>
    <mergeCell ref="Z96:AA97"/>
    <mergeCell ref="AB96:AC97"/>
    <mergeCell ref="AD96:AE97"/>
    <mergeCell ref="X98:Y99"/>
    <mergeCell ref="Z98:AA99"/>
    <mergeCell ref="AB98:AC99"/>
    <mergeCell ref="AD98:AE99"/>
    <mergeCell ref="AH120:AI121"/>
    <mergeCell ref="AJ120:AK121"/>
    <mergeCell ref="AL120:AM121"/>
    <mergeCell ref="AN120:AO121"/>
    <mergeCell ref="X122:Y123"/>
    <mergeCell ref="Z122:AA123"/>
    <mergeCell ref="AB122:AC123"/>
    <mergeCell ref="AD122:AE123"/>
    <mergeCell ref="AF122:AG123"/>
    <mergeCell ref="AH122:AI123"/>
    <mergeCell ref="AF118:AG119"/>
    <mergeCell ref="AH118:AI119"/>
    <mergeCell ref="AJ118:AK119"/>
    <mergeCell ref="AL118:AM119"/>
    <mergeCell ref="AN118:AO119"/>
    <mergeCell ref="X120:Y121"/>
    <mergeCell ref="Z120:AA121"/>
    <mergeCell ref="AB120:AC121"/>
    <mergeCell ref="AD120:AE121"/>
    <mergeCell ref="AF120:AG121"/>
    <mergeCell ref="AL124:AM125"/>
    <mergeCell ref="AN124:AO125"/>
    <mergeCell ref="X126:Y127"/>
    <mergeCell ref="Z126:AA127"/>
    <mergeCell ref="AB126:AC127"/>
    <mergeCell ref="AD126:AE127"/>
    <mergeCell ref="AF126:AG127"/>
    <mergeCell ref="AH126:AI127"/>
    <mergeCell ref="AJ126:AK127"/>
    <mergeCell ref="AL126:AM127"/>
    <mergeCell ref="AJ122:AK123"/>
    <mergeCell ref="AL122:AM123"/>
    <mergeCell ref="AN122:AO123"/>
    <mergeCell ref="X124:Y125"/>
    <mergeCell ref="Z124:AA125"/>
    <mergeCell ref="AB124:AC125"/>
    <mergeCell ref="AD124:AE125"/>
    <mergeCell ref="AF124:AG125"/>
    <mergeCell ref="AH124:AI125"/>
    <mergeCell ref="AJ124:AK125"/>
    <mergeCell ref="AD132:AE133"/>
    <mergeCell ref="AF132:AG133"/>
    <mergeCell ref="AH132:AI133"/>
    <mergeCell ref="AJ132:AK133"/>
    <mergeCell ref="X130:Y131"/>
    <mergeCell ref="Z130:AA131"/>
    <mergeCell ref="AB130:AC131"/>
    <mergeCell ref="AD130:AE131"/>
    <mergeCell ref="AF130:AG131"/>
    <mergeCell ref="AH130:AI131"/>
    <mergeCell ref="AN126:AO127"/>
    <mergeCell ref="X128:Y129"/>
    <mergeCell ref="Z128:AA129"/>
    <mergeCell ref="AB128:AC129"/>
    <mergeCell ref="AD128:AE129"/>
    <mergeCell ref="AF128:AG129"/>
    <mergeCell ref="AH128:AI129"/>
    <mergeCell ref="AJ128:AK129"/>
    <mergeCell ref="AL128:AM129"/>
    <mergeCell ref="AN128:AO129"/>
    <mergeCell ref="X171:Y172"/>
    <mergeCell ref="Z171:AA172"/>
    <mergeCell ref="AB171:AC172"/>
    <mergeCell ref="AD171:AE172"/>
    <mergeCell ref="AN134:AO135"/>
    <mergeCell ref="X165:Y166"/>
    <mergeCell ref="Z165:AA166"/>
    <mergeCell ref="AB165:AC166"/>
    <mergeCell ref="AD165:AE166"/>
    <mergeCell ref="X167:Y168"/>
    <mergeCell ref="Z167:AA168"/>
    <mergeCell ref="AB167:AC168"/>
    <mergeCell ref="AD167:AE168"/>
    <mergeCell ref="X138:Y139"/>
    <mergeCell ref="Z138:AA139"/>
    <mergeCell ref="AB138:AC139"/>
    <mergeCell ref="AD138:AE139"/>
    <mergeCell ref="AF138:AG139"/>
    <mergeCell ref="AH138:AI139"/>
    <mergeCell ref="AJ138:AK139"/>
    <mergeCell ref="AL138:AM139"/>
    <mergeCell ref="AN138:AO139"/>
    <mergeCell ref="X140:Y141"/>
    <mergeCell ref="Z140:AA141"/>
    <mergeCell ref="AB140:AC141"/>
    <mergeCell ref="AD140:AE141"/>
    <mergeCell ref="AF140:AG141"/>
    <mergeCell ref="AH140:AI141"/>
    <mergeCell ref="X134:Y135"/>
    <mergeCell ref="Z134:AA135"/>
    <mergeCell ref="AB134:AC135"/>
    <mergeCell ref="AD134:AE135"/>
    <mergeCell ref="BE4:BF5"/>
    <mergeCell ref="BG4:BH5"/>
    <mergeCell ref="BI4:BJ5"/>
    <mergeCell ref="BK4:BL5"/>
    <mergeCell ref="AS6:AT7"/>
    <mergeCell ref="AU6:AV7"/>
    <mergeCell ref="AW6:AX7"/>
    <mergeCell ref="AY6:AZ7"/>
    <mergeCell ref="BA6:BB7"/>
    <mergeCell ref="BC6:BD7"/>
    <mergeCell ref="AS4:AT5"/>
    <mergeCell ref="AU4:AV5"/>
    <mergeCell ref="AW4:AX5"/>
    <mergeCell ref="AY4:AZ5"/>
    <mergeCell ref="BA4:BB5"/>
    <mergeCell ref="BC4:BD5"/>
    <mergeCell ref="X169:Y170"/>
    <mergeCell ref="Z169:AA170"/>
    <mergeCell ref="AB169:AC170"/>
    <mergeCell ref="AD169:AE170"/>
    <mergeCell ref="AL132:AM133"/>
    <mergeCell ref="AN132:AO133"/>
    <mergeCell ref="AF134:AG135"/>
    <mergeCell ref="AH134:AI135"/>
    <mergeCell ref="AJ134:AK135"/>
    <mergeCell ref="AL134:AM135"/>
    <mergeCell ref="AJ130:AK131"/>
    <mergeCell ref="AL130:AM131"/>
    <mergeCell ref="AN130:AO131"/>
    <mergeCell ref="X132:Y133"/>
    <mergeCell ref="Z132:AA133"/>
    <mergeCell ref="AB132:AC133"/>
    <mergeCell ref="BE10:BF11"/>
    <mergeCell ref="BG10:BH11"/>
    <mergeCell ref="BI10:BJ11"/>
    <mergeCell ref="BK10:BL11"/>
    <mergeCell ref="AS12:AT13"/>
    <mergeCell ref="AU12:AV13"/>
    <mergeCell ref="AW12:AX13"/>
    <mergeCell ref="AY12:AZ13"/>
    <mergeCell ref="BA12:BB13"/>
    <mergeCell ref="BC12:BD13"/>
    <mergeCell ref="BE8:BF9"/>
    <mergeCell ref="BG8:BH9"/>
    <mergeCell ref="BI8:BJ9"/>
    <mergeCell ref="BK8:BL9"/>
    <mergeCell ref="AS10:AT11"/>
    <mergeCell ref="AU10:AV11"/>
    <mergeCell ref="AW10:AX11"/>
    <mergeCell ref="AY10:AZ11"/>
    <mergeCell ref="BA10:BB11"/>
    <mergeCell ref="BC10:BD11"/>
    <mergeCell ref="AS8:AT9"/>
    <mergeCell ref="AU8:AV9"/>
    <mergeCell ref="AW8:AX9"/>
    <mergeCell ref="AY8:AZ9"/>
    <mergeCell ref="BA8:BB9"/>
    <mergeCell ref="BC8:BD9"/>
    <mergeCell ref="BE14:BF15"/>
    <mergeCell ref="BG14:BH15"/>
    <mergeCell ref="BI14:BJ15"/>
    <mergeCell ref="BK14:BL15"/>
    <mergeCell ref="AS16:AT17"/>
    <mergeCell ref="AU16:AV17"/>
    <mergeCell ref="AW16:AX17"/>
    <mergeCell ref="AY16:AZ17"/>
    <mergeCell ref="BA16:BB17"/>
    <mergeCell ref="BC16:BD17"/>
    <mergeCell ref="BE12:BF13"/>
    <mergeCell ref="BG12:BH13"/>
    <mergeCell ref="BI12:BJ13"/>
    <mergeCell ref="BK12:BL13"/>
    <mergeCell ref="AS14:AT15"/>
    <mergeCell ref="AU14:AV15"/>
    <mergeCell ref="AW14:AX15"/>
    <mergeCell ref="AY14:AZ15"/>
    <mergeCell ref="BA14:BB15"/>
    <mergeCell ref="BC14:BD15"/>
    <mergeCell ref="BE18:BF19"/>
    <mergeCell ref="BG18:BH19"/>
    <mergeCell ref="BI18:BJ19"/>
    <mergeCell ref="BK18:BL19"/>
    <mergeCell ref="AS20:AT21"/>
    <mergeCell ref="AU20:AV21"/>
    <mergeCell ref="AW20:AX21"/>
    <mergeCell ref="AY20:AZ21"/>
    <mergeCell ref="BA20:BB21"/>
    <mergeCell ref="BC20:BD21"/>
    <mergeCell ref="BE16:BF17"/>
    <mergeCell ref="BG16:BH17"/>
    <mergeCell ref="BI16:BJ17"/>
    <mergeCell ref="BK16:BL17"/>
    <mergeCell ref="AS18:AT19"/>
    <mergeCell ref="AU18:AV19"/>
    <mergeCell ref="AW18:AX19"/>
    <mergeCell ref="AY18:AZ19"/>
    <mergeCell ref="BA18:BB19"/>
    <mergeCell ref="BC18:BD19"/>
    <mergeCell ref="BE20:BF21"/>
    <mergeCell ref="BG20:BH21"/>
    <mergeCell ref="BI20:BJ21"/>
    <mergeCell ref="BK20:BL21"/>
    <mergeCell ref="AS22:AT23"/>
    <mergeCell ref="AU22:AV23"/>
    <mergeCell ref="AW22:AX23"/>
    <mergeCell ref="AY22:AZ23"/>
    <mergeCell ref="BA22:BB23"/>
    <mergeCell ref="BC22:BD23"/>
    <mergeCell ref="AT28:AU29"/>
    <mergeCell ref="AT30:AU31"/>
    <mergeCell ref="AT32:AU33"/>
    <mergeCell ref="AT34:AU35"/>
    <mergeCell ref="AT36:AU37"/>
    <mergeCell ref="AT38:AU39"/>
    <mergeCell ref="AT40:AU41"/>
    <mergeCell ref="AV28:AW29"/>
    <mergeCell ref="BE54:BF55"/>
    <mergeCell ref="BG54:BH55"/>
    <mergeCell ref="AS56:AT57"/>
    <mergeCell ref="AU56:AV57"/>
    <mergeCell ref="AW56:AX57"/>
    <mergeCell ref="AY56:AZ57"/>
    <mergeCell ref="BA56:BB57"/>
    <mergeCell ref="BC56:BD57"/>
    <mergeCell ref="BE56:BF57"/>
    <mergeCell ref="BE22:BF23"/>
    <mergeCell ref="BG22:BH23"/>
    <mergeCell ref="AR34:AS35"/>
    <mergeCell ref="AR36:AS37"/>
    <mergeCell ref="AR38:AS39"/>
    <mergeCell ref="AR40:AS41"/>
    <mergeCell ref="AR42:AS43"/>
    <mergeCell ref="AR44:AS45"/>
    <mergeCell ref="AR46:AS47"/>
    <mergeCell ref="BI22:BJ23"/>
    <mergeCell ref="BK22:BL23"/>
    <mergeCell ref="AS54:AT55"/>
    <mergeCell ref="AU54:AV55"/>
    <mergeCell ref="AW54:AX55"/>
    <mergeCell ref="AY54:AZ55"/>
    <mergeCell ref="BA54:BB55"/>
    <mergeCell ref="BC54:BD55"/>
    <mergeCell ref="AT42:AU43"/>
    <mergeCell ref="AT44:AU45"/>
    <mergeCell ref="AT46:AU47"/>
    <mergeCell ref="AT48:AU49"/>
    <mergeCell ref="AS60:AT61"/>
    <mergeCell ref="AU60:AV61"/>
    <mergeCell ref="AW60:AX61"/>
    <mergeCell ref="AY60:AZ61"/>
    <mergeCell ref="BA60:BB61"/>
    <mergeCell ref="BC60:BD61"/>
    <mergeCell ref="BE60:BF61"/>
    <mergeCell ref="BG60:BH61"/>
    <mergeCell ref="BG56:BH57"/>
    <mergeCell ref="AS58:AT59"/>
    <mergeCell ref="AU58:AV59"/>
    <mergeCell ref="AW58:AX59"/>
    <mergeCell ref="AY58:AZ59"/>
    <mergeCell ref="BA58:BB59"/>
    <mergeCell ref="BC58:BD59"/>
    <mergeCell ref="BE58:BF59"/>
    <mergeCell ref="BG58:BH59"/>
    <mergeCell ref="AR28:AS29"/>
    <mergeCell ref="AR30:AS31"/>
    <mergeCell ref="AR32:AS33"/>
    <mergeCell ref="BG64:BH65"/>
    <mergeCell ref="AS66:AT67"/>
    <mergeCell ref="AU66:AV67"/>
    <mergeCell ref="AW66:AX67"/>
    <mergeCell ref="AY66:AZ67"/>
    <mergeCell ref="BA66:BB67"/>
    <mergeCell ref="BC66:BD67"/>
    <mergeCell ref="BE66:BF67"/>
    <mergeCell ref="BG66:BH67"/>
    <mergeCell ref="BE62:BF63"/>
    <mergeCell ref="BG62:BH63"/>
    <mergeCell ref="AS64:AT65"/>
    <mergeCell ref="AU64:AV65"/>
    <mergeCell ref="AW64:AX65"/>
    <mergeCell ref="AY64:AZ65"/>
    <mergeCell ref="BA64:BB65"/>
    <mergeCell ref="BC64:BD65"/>
    <mergeCell ref="BE64:BF65"/>
    <mergeCell ref="AS62:AT63"/>
    <mergeCell ref="AU62:AV63"/>
    <mergeCell ref="AW62:AX63"/>
    <mergeCell ref="AY62:AZ63"/>
    <mergeCell ref="BA62:BB63"/>
    <mergeCell ref="BC62:BD63"/>
    <mergeCell ref="BG70:BH71"/>
    <mergeCell ref="BI70:BJ71"/>
    <mergeCell ref="AS94:AT95"/>
    <mergeCell ref="AU94:AV95"/>
    <mergeCell ref="AW94:AX95"/>
    <mergeCell ref="AY94:AZ95"/>
    <mergeCell ref="AS70:AT71"/>
    <mergeCell ref="AU70:AV71"/>
    <mergeCell ref="AW70:AX71"/>
    <mergeCell ref="AY70:AZ71"/>
    <mergeCell ref="BA70:BB71"/>
    <mergeCell ref="BC70:BD71"/>
    <mergeCell ref="AS68:AT69"/>
    <mergeCell ref="AU68:AV69"/>
    <mergeCell ref="AW68:AX69"/>
    <mergeCell ref="AY68:AZ69"/>
    <mergeCell ref="BA68:BB69"/>
    <mergeCell ref="BC68:BD69"/>
    <mergeCell ref="BE68:BF69"/>
    <mergeCell ref="BG68:BH69"/>
    <mergeCell ref="AS100:AT101"/>
    <mergeCell ref="AU100:AV101"/>
    <mergeCell ref="AW100:AX101"/>
    <mergeCell ref="AY100:AZ101"/>
    <mergeCell ref="AS118:AT119"/>
    <mergeCell ref="AU118:AV119"/>
    <mergeCell ref="AW118:AX119"/>
    <mergeCell ref="AY118:AZ119"/>
    <mergeCell ref="AS96:AT97"/>
    <mergeCell ref="AU96:AV97"/>
    <mergeCell ref="AW96:AX97"/>
    <mergeCell ref="AY96:AZ97"/>
    <mergeCell ref="AS98:AT99"/>
    <mergeCell ref="AU98:AV99"/>
    <mergeCell ref="AW98:AX99"/>
    <mergeCell ref="AY98:AZ99"/>
    <mergeCell ref="BE70:BF71"/>
    <mergeCell ref="BC120:BD121"/>
    <mergeCell ref="BE120:BF121"/>
    <mergeCell ref="BG120:BH121"/>
    <mergeCell ref="BI120:BJ121"/>
    <mergeCell ref="AS122:AT123"/>
    <mergeCell ref="AU122:AV123"/>
    <mergeCell ref="AW122:AX123"/>
    <mergeCell ref="AY122:AZ123"/>
    <mergeCell ref="BA122:BB123"/>
    <mergeCell ref="BC122:BD123"/>
    <mergeCell ref="BA118:BB119"/>
    <mergeCell ref="BC118:BD119"/>
    <mergeCell ref="BE118:BF119"/>
    <mergeCell ref="BG118:BH119"/>
    <mergeCell ref="BI118:BJ119"/>
    <mergeCell ref="AS120:AT121"/>
    <mergeCell ref="AU120:AV121"/>
    <mergeCell ref="AW120:AX121"/>
    <mergeCell ref="AY120:AZ121"/>
    <mergeCell ref="BA120:BB121"/>
    <mergeCell ref="BC128:BD129"/>
    <mergeCell ref="BE128:BF129"/>
    <mergeCell ref="BG128:BH129"/>
    <mergeCell ref="BI128:BJ129"/>
    <mergeCell ref="BG124:BH125"/>
    <mergeCell ref="BI124:BJ125"/>
    <mergeCell ref="AS126:AT127"/>
    <mergeCell ref="AU126:AV127"/>
    <mergeCell ref="AW126:AX127"/>
    <mergeCell ref="AY126:AZ127"/>
    <mergeCell ref="BA126:BB127"/>
    <mergeCell ref="BC126:BD127"/>
    <mergeCell ref="BE126:BF127"/>
    <mergeCell ref="BG126:BH127"/>
    <mergeCell ref="BE122:BF123"/>
    <mergeCell ref="BG122:BH123"/>
    <mergeCell ref="BI122:BJ123"/>
    <mergeCell ref="AS124:AT125"/>
    <mergeCell ref="AU124:AV125"/>
    <mergeCell ref="AW124:AX125"/>
    <mergeCell ref="AY124:AZ125"/>
    <mergeCell ref="BA124:BB125"/>
    <mergeCell ref="BC124:BD125"/>
    <mergeCell ref="BE124:BF125"/>
    <mergeCell ref="AS171:AT172"/>
    <mergeCell ref="AU171:AV172"/>
    <mergeCell ref="AW171:AX172"/>
    <mergeCell ref="AY171:AZ172"/>
    <mergeCell ref="BI134:BJ135"/>
    <mergeCell ref="AS165:AT166"/>
    <mergeCell ref="AU165:AV166"/>
    <mergeCell ref="AW165:AX166"/>
    <mergeCell ref="AY165:AZ166"/>
    <mergeCell ref="AS167:AT168"/>
    <mergeCell ref="AU167:AV168"/>
    <mergeCell ref="AW167:AX168"/>
    <mergeCell ref="AY167:AZ168"/>
    <mergeCell ref="BG132:BH133"/>
    <mergeCell ref="BI132:BJ133"/>
    <mergeCell ref="AS134:AT135"/>
    <mergeCell ref="AU134:AV135"/>
    <mergeCell ref="AW134:AX135"/>
    <mergeCell ref="AY134:AZ135"/>
    <mergeCell ref="BA134:BB135"/>
    <mergeCell ref="BC134:BD135"/>
    <mergeCell ref="BE134:BF135"/>
    <mergeCell ref="BG134:BH135"/>
    <mergeCell ref="AS132:AT133"/>
    <mergeCell ref="AU132:AV133"/>
    <mergeCell ref="AW132:AX133"/>
    <mergeCell ref="AY132:AZ133"/>
    <mergeCell ref="BA132:BB133"/>
    <mergeCell ref="BC132:BD133"/>
    <mergeCell ref="BE132:BF133"/>
    <mergeCell ref="BN4:BO5"/>
    <mergeCell ref="BP4:BQ5"/>
    <mergeCell ref="BR4:BS5"/>
    <mergeCell ref="BT4:BU5"/>
    <mergeCell ref="BV4:BW5"/>
    <mergeCell ref="BX4:BY5"/>
    <mergeCell ref="AS169:AT170"/>
    <mergeCell ref="AU169:AV170"/>
    <mergeCell ref="AW169:AX170"/>
    <mergeCell ref="AY169:AZ170"/>
    <mergeCell ref="BE130:BF131"/>
    <mergeCell ref="BG130:BH131"/>
    <mergeCell ref="BI130:BJ131"/>
    <mergeCell ref="AS130:AT131"/>
    <mergeCell ref="AU130:AV131"/>
    <mergeCell ref="AW130:AX131"/>
    <mergeCell ref="AY130:AZ131"/>
    <mergeCell ref="BA130:BB131"/>
    <mergeCell ref="BC130:BD131"/>
    <mergeCell ref="BI126:BJ127"/>
    <mergeCell ref="AS128:AT129"/>
    <mergeCell ref="AU128:AV129"/>
    <mergeCell ref="BN100:BO101"/>
    <mergeCell ref="BP100:BQ101"/>
    <mergeCell ref="BR100:BS101"/>
    <mergeCell ref="BT100:BU101"/>
    <mergeCell ref="BN118:BO119"/>
    <mergeCell ref="BP118:BQ119"/>
    <mergeCell ref="BR118:BS119"/>
    <mergeCell ref="AW128:AX129"/>
    <mergeCell ref="AY128:AZ129"/>
    <mergeCell ref="BA128:BB129"/>
    <mergeCell ref="BZ8:CA9"/>
    <mergeCell ref="CB8:CC9"/>
    <mergeCell ref="CD8:CE9"/>
    <mergeCell ref="CF8:CG9"/>
    <mergeCell ref="BN10:BO11"/>
    <mergeCell ref="BP10:BQ11"/>
    <mergeCell ref="BR10:BS11"/>
    <mergeCell ref="BT10:BU11"/>
    <mergeCell ref="BV10:BW11"/>
    <mergeCell ref="BX10:BY11"/>
    <mergeCell ref="BZ6:CA7"/>
    <mergeCell ref="CB6:CC7"/>
    <mergeCell ref="CD6:CE7"/>
    <mergeCell ref="CF6:CG7"/>
    <mergeCell ref="BN8:BO9"/>
    <mergeCell ref="BP8:BQ9"/>
    <mergeCell ref="BR8:BS9"/>
    <mergeCell ref="BT8:BU9"/>
    <mergeCell ref="BV8:BW9"/>
    <mergeCell ref="BX8:BY9"/>
    <mergeCell ref="BT6:BU7"/>
    <mergeCell ref="BV6:BW7"/>
    <mergeCell ref="BX6:BY7"/>
    <mergeCell ref="BZ12:CA13"/>
    <mergeCell ref="CB12:CC13"/>
    <mergeCell ref="CD12:CE13"/>
    <mergeCell ref="CF12:CG13"/>
    <mergeCell ref="BN14:BO15"/>
    <mergeCell ref="BP14:BQ15"/>
    <mergeCell ref="BR14:BS15"/>
    <mergeCell ref="BT14:BU15"/>
    <mergeCell ref="BV14:BW15"/>
    <mergeCell ref="BX14:BY15"/>
    <mergeCell ref="BZ10:CA11"/>
    <mergeCell ref="CB10:CC11"/>
    <mergeCell ref="CD10:CE11"/>
    <mergeCell ref="CF10:CG11"/>
    <mergeCell ref="BN12:BO13"/>
    <mergeCell ref="BP12:BQ13"/>
    <mergeCell ref="BR12:BS13"/>
    <mergeCell ref="BT12:BU13"/>
    <mergeCell ref="BV12:BW13"/>
    <mergeCell ref="BX12:BY13"/>
    <mergeCell ref="BZ16:CA17"/>
    <mergeCell ref="CB16:CC17"/>
    <mergeCell ref="CD16:CE17"/>
    <mergeCell ref="CF16:CG17"/>
    <mergeCell ref="BN18:BO19"/>
    <mergeCell ref="BP18:BQ19"/>
    <mergeCell ref="BR18:BS19"/>
    <mergeCell ref="BT18:BU19"/>
    <mergeCell ref="BV18:BW19"/>
    <mergeCell ref="BX18:BY19"/>
    <mergeCell ref="BZ14:CA15"/>
    <mergeCell ref="CB14:CC15"/>
    <mergeCell ref="CD14:CE15"/>
    <mergeCell ref="CF14:CG15"/>
    <mergeCell ref="BN16:BO17"/>
    <mergeCell ref="BP16:BQ17"/>
    <mergeCell ref="BR16:BS17"/>
    <mergeCell ref="BT16:BU17"/>
    <mergeCell ref="BV16:BW17"/>
    <mergeCell ref="BX16:BY17"/>
    <mergeCell ref="BZ20:CA21"/>
    <mergeCell ref="CB20:CC21"/>
    <mergeCell ref="CD20:CE21"/>
    <mergeCell ref="CF20:CG21"/>
    <mergeCell ref="BN22:BO23"/>
    <mergeCell ref="BP22:BQ23"/>
    <mergeCell ref="BR22:BS23"/>
    <mergeCell ref="BT22:BU23"/>
    <mergeCell ref="BV22:BW23"/>
    <mergeCell ref="BX22:BY23"/>
    <mergeCell ref="BZ18:CA19"/>
    <mergeCell ref="CB18:CC19"/>
    <mergeCell ref="CD18:CE19"/>
    <mergeCell ref="CF18:CG19"/>
    <mergeCell ref="BN20:BO21"/>
    <mergeCell ref="BP20:BQ21"/>
    <mergeCell ref="BR20:BS21"/>
    <mergeCell ref="BT20:BU21"/>
    <mergeCell ref="BV20:BW21"/>
    <mergeCell ref="BX20:BY21"/>
    <mergeCell ref="BV58:BW59"/>
    <mergeCell ref="BX58:BY59"/>
    <mergeCell ref="BZ54:CA55"/>
    <mergeCell ref="CB54:CC55"/>
    <mergeCell ref="BN56:BO57"/>
    <mergeCell ref="BP56:BQ57"/>
    <mergeCell ref="BR56:BS57"/>
    <mergeCell ref="BT56:BU57"/>
    <mergeCell ref="BV56:BW57"/>
    <mergeCell ref="BX56:BY57"/>
    <mergeCell ref="BZ56:CA57"/>
    <mergeCell ref="CB56:CC57"/>
    <mergeCell ref="BZ22:CA23"/>
    <mergeCell ref="CB22:CC23"/>
    <mergeCell ref="CD22:CE23"/>
    <mergeCell ref="CF22:CG23"/>
    <mergeCell ref="BN54:BO55"/>
    <mergeCell ref="BP54:BQ55"/>
    <mergeCell ref="BR54:BS55"/>
    <mergeCell ref="BT54:BU55"/>
    <mergeCell ref="BV54:BW55"/>
    <mergeCell ref="BX54:BY55"/>
    <mergeCell ref="BZ66:CA67"/>
    <mergeCell ref="CB66:CC67"/>
    <mergeCell ref="BN68:BO69"/>
    <mergeCell ref="BP68:BQ69"/>
    <mergeCell ref="BR68:BS69"/>
    <mergeCell ref="BT68:BU69"/>
    <mergeCell ref="BV68:BW69"/>
    <mergeCell ref="BX68:BY69"/>
    <mergeCell ref="BZ68:CA69"/>
    <mergeCell ref="CB68:CC69"/>
    <mergeCell ref="BN66:BO67"/>
    <mergeCell ref="BP66:BQ67"/>
    <mergeCell ref="BR66:BS67"/>
    <mergeCell ref="BT66:BU67"/>
    <mergeCell ref="BV66:BW67"/>
    <mergeCell ref="BX66:BY67"/>
    <mergeCell ref="BZ62:CA63"/>
    <mergeCell ref="CB62:CC63"/>
    <mergeCell ref="BN64:BO65"/>
    <mergeCell ref="BP64:BQ65"/>
    <mergeCell ref="BR64:BS65"/>
    <mergeCell ref="BT64:BU65"/>
    <mergeCell ref="BV64:BW65"/>
    <mergeCell ref="BX64:BY65"/>
    <mergeCell ref="BZ64:CA65"/>
    <mergeCell ref="CB64:CC65"/>
    <mergeCell ref="BN62:BO63"/>
    <mergeCell ref="BP62:BQ63"/>
    <mergeCell ref="BR62:BS63"/>
    <mergeCell ref="BT62:BU63"/>
    <mergeCell ref="BV62:BW63"/>
    <mergeCell ref="BX62:BY63"/>
    <mergeCell ref="BZ70:CA71"/>
    <mergeCell ref="BZ120:CA121"/>
    <mergeCell ref="CB120:CC121"/>
    <mergeCell ref="BN122:BO123"/>
    <mergeCell ref="BP122:BQ123"/>
    <mergeCell ref="BR122:BS123"/>
    <mergeCell ref="BT122:BU123"/>
    <mergeCell ref="BV122:BW123"/>
    <mergeCell ref="BX122:BY123"/>
    <mergeCell ref="BZ122:CA123"/>
    <mergeCell ref="CB122:CC123"/>
    <mergeCell ref="BV118:BW119"/>
    <mergeCell ref="BX118:BY119"/>
    <mergeCell ref="BZ118:CA119"/>
    <mergeCell ref="CB118:CC119"/>
    <mergeCell ref="BN120:BO121"/>
    <mergeCell ref="BP120:BQ121"/>
    <mergeCell ref="BR120:BS121"/>
    <mergeCell ref="BT120:BU121"/>
    <mergeCell ref="BV120:BW121"/>
    <mergeCell ref="BX120:BY121"/>
    <mergeCell ref="CB70:CC71"/>
    <mergeCell ref="BN94:BO95"/>
    <mergeCell ref="BP94:BQ95"/>
    <mergeCell ref="BR94:BS95"/>
    <mergeCell ref="BT94:BU95"/>
    <mergeCell ref="BN70:BO71"/>
    <mergeCell ref="BP70:BQ71"/>
    <mergeCell ref="BR70:BS71"/>
    <mergeCell ref="BT70:BU71"/>
    <mergeCell ref="BV70:BW71"/>
    <mergeCell ref="BX70:BY71"/>
    <mergeCell ref="BZ126:CA127"/>
    <mergeCell ref="CB126:CC127"/>
    <mergeCell ref="BN124:BO125"/>
    <mergeCell ref="BP124:BQ125"/>
    <mergeCell ref="BR124:BS125"/>
    <mergeCell ref="BT124:BU125"/>
    <mergeCell ref="BV124:BW125"/>
    <mergeCell ref="BX124:BY125"/>
    <mergeCell ref="BT118:BU119"/>
    <mergeCell ref="BN96:BO97"/>
    <mergeCell ref="BP96:BQ97"/>
    <mergeCell ref="BR96:BS97"/>
    <mergeCell ref="BT96:BU97"/>
    <mergeCell ref="BN98:BO99"/>
    <mergeCell ref="BP98:BQ99"/>
    <mergeCell ref="BR98:BS99"/>
    <mergeCell ref="BT98:BU99"/>
    <mergeCell ref="BN171:BO172"/>
    <mergeCell ref="BP171:BQ172"/>
    <mergeCell ref="BR171:BS172"/>
    <mergeCell ref="BT171:BU172"/>
    <mergeCell ref="BN165:BO166"/>
    <mergeCell ref="BP165:BQ166"/>
    <mergeCell ref="BR165:BS166"/>
    <mergeCell ref="BT165:BU166"/>
    <mergeCell ref="BN167:BO168"/>
    <mergeCell ref="BP167:BQ168"/>
    <mergeCell ref="BR167:BS168"/>
    <mergeCell ref="BT167:BU168"/>
    <mergeCell ref="BZ132:CA133"/>
    <mergeCell ref="CB132:CC133"/>
    <mergeCell ref="BN134:BO135"/>
    <mergeCell ref="BP134:BQ135"/>
    <mergeCell ref="BR134:BS135"/>
    <mergeCell ref="BT134:BU135"/>
    <mergeCell ref="BV134:BW135"/>
    <mergeCell ref="BX134:BY135"/>
    <mergeCell ref="BZ134:CA135"/>
    <mergeCell ref="CB134:CC135"/>
    <mergeCell ref="BN132:BO133"/>
    <mergeCell ref="BP132:BQ133"/>
    <mergeCell ref="BR132:BS133"/>
    <mergeCell ref="BT132:BU133"/>
    <mergeCell ref="BV132:BW133"/>
    <mergeCell ref="BX132:BY133"/>
    <mergeCell ref="BN169:BO170"/>
    <mergeCell ref="BP169:BQ170"/>
    <mergeCell ref="BR169:BS170"/>
    <mergeCell ref="BT169:BU170"/>
    <mergeCell ref="BZ128:CA129"/>
    <mergeCell ref="CB128:CC129"/>
    <mergeCell ref="BN130:BO131"/>
    <mergeCell ref="BP130:BQ131"/>
    <mergeCell ref="BR130:BS131"/>
    <mergeCell ref="BT130:BU131"/>
    <mergeCell ref="BV130:BW131"/>
    <mergeCell ref="BX130:BY131"/>
    <mergeCell ref="BZ130:CA131"/>
    <mergeCell ref="CB130:CC131"/>
    <mergeCell ref="BN128:BO129"/>
    <mergeCell ref="BP128:BQ129"/>
    <mergeCell ref="BR128:BS129"/>
    <mergeCell ref="BT128:BU129"/>
    <mergeCell ref="BV128:BW129"/>
    <mergeCell ref="BX128:BY129"/>
    <mergeCell ref="CU6:CV7"/>
    <mergeCell ref="CU10:CV11"/>
    <mergeCell ref="CU14:CV15"/>
    <mergeCell ref="CU18:CV19"/>
    <mergeCell ref="CU22:CV23"/>
    <mergeCell ref="CQ68:CR69"/>
    <mergeCell ref="CS68:CT69"/>
    <mergeCell ref="CU68:CV69"/>
    <mergeCell ref="BZ124:CA125"/>
    <mergeCell ref="CB124:CC125"/>
    <mergeCell ref="BN126:BO127"/>
    <mergeCell ref="BP126:BQ127"/>
    <mergeCell ref="BR126:BS127"/>
    <mergeCell ref="BT126:BU127"/>
    <mergeCell ref="BV126:BW127"/>
    <mergeCell ref="BX126:BY127"/>
    <mergeCell ref="CW6:CX7"/>
    <mergeCell ref="CY6:CZ7"/>
    <mergeCell ref="DA6:DB7"/>
    <mergeCell ref="DC6:DD7"/>
    <mergeCell ref="CK8:CL9"/>
    <mergeCell ref="CM8:CN9"/>
    <mergeCell ref="CO8:CP9"/>
    <mergeCell ref="CQ8:CR9"/>
    <mergeCell ref="CS8:CT9"/>
    <mergeCell ref="CU4:CV5"/>
    <mergeCell ref="CW4:CX5"/>
    <mergeCell ref="CY4:CZ5"/>
    <mergeCell ref="DA4:DB5"/>
    <mergeCell ref="DC4:DD5"/>
    <mergeCell ref="CK6:CL7"/>
    <mergeCell ref="CM6:CN7"/>
    <mergeCell ref="CO6:CP7"/>
    <mergeCell ref="CQ6:CR7"/>
    <mergeCell ref="CS6:CT7"/>
    <mergeCell ref="CK4:CL5"/>
    <mergeCell ref="CM4:CN5"/>
    <mergeCell ref="CO4:CP5"/>
    <mergeCell ref="CQ4:CR5"/>
    <mergeCell ref="CS4:CT5"/>
    <mergeCell ref="CW10:CX11"/>
    <mergeCell ref="CY10:CZ11"/>
    <mergeCell ref="DA10:DB11"/>
    <mergeCell ref="DC10:DD11"/>
    <mergeCell ref="CK12:CL13"/>
    <mergeCell ref="CM12:CN13"/>
    <mergeCell ref="CO12:CP13"/>
    <mergeCell ref="CQ12:CR13"/>
    <mergeCell ref="CS12:CT13"/>
    <mergeCell ref="CU8:CV9"/>
    <mergeCell ref="CW8:CX9"/>
    <mergeCell ref="CY8:CZ9"/>
    <mergeCell ref="DA8:DB9"/>
    <mergeCell ref="DC8:DD9"/>
    <mergeCell ref="CK10:CL11"/>
    <mergeCell ref="CM10:CN11"/>
    <mergeCell ref="CO10:CP11"/>
    <mergeCell ref="CQ10:CR11"/>
    <mergeCell ref="CS10:CT11"/>
    <mergeCell ref="CW14:CX15"/>
    <mergeCell ref="CY14:CZ15"/>
    <mergeCell ref="DA14:DB15"/>
    <mergeCell ref="DC14:DD15"/>
    <mergeCell ref="CK16:CL17"/>
    <mergeCell ref="CM16:CN17"/>
    <mergeCell ref="CO16:CP17"/>
    <mergeCell ref="CQ16:CR17"/>
    <mergeCell ref="CS16:CT17"/>
    <mergeCell ref="CU12:CV13"/>
    <mergeCell ref="CW12:CX13"/>
    <mergeCell ref="CY12:CZ13"/>
    <mergeCell ref="DA12:DB13"/>
    <mergeCell ref="DC12:DD13"/>
    <mergeCell ref="CK14:CL15"/>
    <mergeCell ref="CM14:CN15"/>
    <mergeCell ref="CO14:CP15"/>
    <mergeCell ref="CQ14:CR15"/>
    <mergeCell ref="CS14:CT15"/>
    <mergeCell ref="CW18:CX19"/>
    <mergeCell ref="CY18:CZ19"/>
    <mergeCell ref="DA18:DB19"/>
    <mergeCell ref="DC18:DD19"/>
    <mergeCell ref="CK20:CL21"/>
    <mergeCell ref="CM20:CN21"/>
    <mergeCell ref="CO20:CP21"/>
    <mergeCell ref="CQ20:CR21"/>
    <mergeCell ref="CS20:CT21"/>
    <mergeCell ref="CU16:CV17"/>
    <mergeCell ref="CW16:CX17"/>
    <mergeCell ref="CY16:CZ17"/>
    <mergeCell ref="DA16:DB17"/>
    <mergeCell ref="DC16:DD17"/>
    <mergeCell ref="CK18:CL19"/>
    <mergeCell ref="CM18:CN19"/>
    <mergeCell ref="CO18:CP19"/>
    <mergeCell ref="CQ18:CR19"/>
    <mergeCell ref="CS18:CT19"/>
    <mergeCell ref="CW22:CX23"/>
    <mergeCell ref="CY22:CZ23"/>
    <mergeCell ref="DA22:DB23"/>
    <mergeCell ref="DC22:DD23"/>
    <mergeCell ref="CK54:CL55"/>
    <mergeCell ref="CM54:CN55"/>
    <mergeCell ref="CO54:CP55"/>
    <mergeCell ref="CQ54:CR55"/>
    <mergeCell ref="CS54:CT55"/>
    <mergeCell ref="CU20:CV21"/>
    <mergeCell ref="CW20:CX21"/>
    <mergeCell ref="CY20:CZ21"/>
    <mergeCell ref="DA20:DB21"/>
    <mergeCell ref="DC20:DD21"/>
    <mergeCell ref="CK22:CL23"/>
    <mergeCell ref="CM22:CN23"/>
    <mergeCell ref="CO22:CP23"/>
    <mergeCell ref="CQ22:CR23"/>
    <mergeCell ref="CS22:CT23"/>
    <mergeCell ref="CK25:CL25"/>
    <mergeCell ref="CM25:CN25"/>
    <mergeCell ref="CO25:CP25"/>
    <mergeCell ref="CQ25:CR25"/>
    <mergeCell ref="CS25:CT25"/>
    <mergeCell ref="CU25:CV25"/>
    <mergeCell ref="CW25:CX25"/>
    <mergeCell ref="CY25:CZ25"/>
    <mergeCell ref="DA25:DB25"/>
    <mergeCell ref="DC25:DD25"/>
    <mergeCell ref="CY62:CZ63"/>
    <mergeCell ref="CK60:CL61"/>
    <mergeCell ref="CM60:CN61"/>
    <mergeCell ref="CO60:CP61"/>
    <mergeCell ref="CQ60:CR61"/>
    <mergeCell ref="CS60:CT61"/>
    <mergeCell ref="CU60:CV61"/>
    <mergeCell ref="CY56:CZ57"/>
    <mergeCell ref="CK58:CL59"/>
    <mergeCell ref="CM58:CN59"/>
    <mergeCell ref="CO58:CP59"/>
    <mergeCell ref="CQ58:CR59"/>
    <mergeCell ref="CS58:CT59"/>
    <mergeCell ref="CU58:CV59"/>
    <mergeCell ref="CW58:CX59"/>
    <mergeCell ref="CY58:CZ59"/>
    <mergeCell ref="CU54:CV55"/>
    <mergeCell ref="CW54:CX55"/>
    <mergeCell ref="CY54:CZ55"/>
    <mergeCell ref="CK56:CL57"/>
    <mergeCell ref="CM56:CN57"/>
    <mergeCell ref="CO56:CP57"/>
    <mergeCell ref="CQ56:CR57"/>
    <mergeCell ref="CS56:CT57"/>
    <mergeCell ref="CU56:CV57"/>
    <mergeCell ref="CW56:CX57"/>
    <mergeCell ref="CY60:CZ61"/>
    <mergeCell ref="CS62:CT63"/>
    <mergeCell ref="CU62:CV63"/>
    <mergeCell ref="CW62:CX63"/>
    <mergeCell ref="CW64:CX65"/>
    <mergeCell ref="CY64:CZ65"/>
    <mergeCell ref="CK66:CL67"/>
    <mergeCell ref="CM66:CN67"/>
    <mergeCell ref="CO66:CP67"/>
    <mergeCell ref="CQ66:CR67"/>
    <mergeCell ref="CS66:CT67"/>
    <mergeCell ref="CU66:CV67"/>
    <mergeCell ref="CW66:CX67"/>
    <mergeCell ref="CY66:CZ67"/>
    <mergeCell ref="CK64:CL65"/>
    <mergeCell ref="CM64:CN65"/>
    <mergeCell ref="CO64:CP65"/>
    <mergeCell ref="CQ64:CR65"/>
    <mergeCell ref="CS64:CT65"/>
    <mergeCell ref="CU64:CV65"/>
    <mergeCell ref="CW118:CX119"/>
    <mergeCell ref="CY118:CZ119"/>
    <mergeCell ref="CW68:CX69"/>
    <mergeCell ref="CY68:CZ69"/>
    <mergeCell ref="CS70:CT71"/>
    <mergeCell ref="CU70:CV71"/>
    <mergeCell ref="CW70:CX71"/>
    <mergeCell ref="CY70:CZ71"/>
    <mergeCell ref="CO68:CP69"/>
    <mergeCell ref="DA118:DB119"/>
    <mergeCell ref="CK120:CL121"/>
    <mergeCell ref="CM120:CN121"/>
    <mergeCell ref="CO120:CP121"/>
    <mergeCell ref="CQ120:CR121"/>
    <mergeCell ref="CS120:CT121"/>
    <mergeCell ref="CU120:CV121"/>
    <mergeCell ref="CW120:CX121"/>
    <mergeCell ref="CK118:CL119"/>
    <mergeCell ref="CM118:CN119"/>
    <mergeCell ref="CO118:CP119"/>
    <mergeCell ref="CQ118:CR119"/>
    <mergeCell ref="CS118:CT119"/>
    <mergeCell ref="CU118:CV119"/>
    <mergeCell ref="CK98:CL99"/>
    <mergeCell ref="CM98:CN99"/>
    <mergeCell ref="CO98:CP99"/>
    <mergeCell ref="CQ98:CR99"/>
    <mergeCell ref="CK100:CL101"/>
    <mergeCell ref="CM100:CN101"/>
    <mergeCell ref="CO100:CP101"/>
    <mergeCell ref="CQ100:CR101"/>
    <mergeCell ref="DA122:DB123"/>
    <mergeCell ref="CK124:CL125"/>
    <mergeCell ref="CM124:CN125"/>
    <mergeCell ref="CO124:CP125"/>
    <mergeCell ref="CQ124:CR125"/>
    <mergeCell ref="CS124:CT125"/>
    <mergeCell ref="CU124:CV125"/>
    <mergeCell ref="CW124:CX125"/>
    <mergeCell ref="CY124:CZ125"/>
    <mergeCell ref="DA124:DB125"/>
    <mergeCell ref="CY120:CZ121"/>
    <mergeCell ref="DA120:DB121"/>
    <mergeCell ref="CK122:CL123"/>
    <mergeCell ref="CM122:CN123"/>
    <mergeCell ref="CO122:CP123"/>
    <mergeCell ref="CQ122:CR123"/>
    <mergeCell ref="CS122:CT123"/>
    <mergeCell ref="CU122:CV123"/>
    <mergeCell ref="CW122:CX123"/>
    <mergeCell ref="CY122:CZ123"/>
    <mergeCell ref="CW130:CX131"/>
    <mergeCell ref="CY130:CZ131"/>
    <mergeCell ref="CW126:CX127"/>
    <mergeCell ref="CY126:CZ127"/>
    <mergeCell ref="DA126:DB127"/>
    <mergeCell ref="CK128:CL129"/>
    <mergeCell ref="CM128:CN129"/>
    <mergeCell ref="CO128:CP129"/>
    <mergeCell ref="CQ128:CR129"/>
    <mergeCell ref="CS128:CT129"/>
    <mergeCell ref="CU128:CV129"/>
    <mergeCell ref="CW128:CX129"/>
    <mergeCell ref="CK126:CL127"/>
    <mergeCell ref="CM126:CN127"/>
    <mergeCell ref="CO126:CP127"/>
    <mergeCell ref="CQ126:CR127"/>
    <mergeCell ref="CS126:CT127"/>
    <mergeCell ref="CU126:CV127"/>
    <mergeCell ref="X36:Y37"/>
    <mergeCell ref="CW134:CX135"/>
    <mergeCell ref="CY134:CZ135"/>
    <mergeCell ref="DA134:DB135"/>
    <mergeCell ref="CK165:CL166"/>
    <mergeCell ref="CM165:CN166"/>
    <mergeCell ref="CO165:CP166"/>
    <mergeCell ref="CQ165:CR166"/>
    <mergeCell ref="CK134:CL135"/>
    <mergeCell ref="CM134:CN135"/>
    <mergeCell ref="CO134:CP135"/>
    <mergeCell ref="CQ134:CR135"/>
    <mergeCell ref="CS134:CT135"/>
    <mergeCell ref="CU134:CV135"/>
    <mergeCell ref="DA130:DB131"/>
    <mergeCell ref="CK132:CL133"/>
    <mergeCell ref="CM132:CN133"/>
    <mergeCell ref="CO132:CP133"/>
    <mergeCell ref="CQ132:CR133"/>
    <mergeCell ref="CS132:CT133"/>
    <mergeCell ref="CU132:CV133"/>
    <mergeCell ref="CW132:CX133"/>
    <mergeCell ref="CY132:CZ133"/>
    <mergeCell ref="DA132:DB133"/>
    <mergeCell ref="CY128:CZ129"/>
    <mergeCell ref="DA128:DB129"/>
    <mergeCell ref="CK130:CL131"/>
    <mergeCell ref="CM130:CN131"/>
    <mergeCell ref="CO130:CP131"/>
    <mergeCell ref="CQ130:CR131"/>
    <mergeCell ref="CS130:CT131"/>
    <mergeCell ref="CU130:CV131"/>
    <mergeCell ref="CK171:CL172"/>
    <mergeCell ref="CM171:CN172"/>
    <mergeCell ref="CO171:CP172"/>
    <mergeCell ref="CQ171:CR172"/>
    <mergeCell ref="CI2:CJ2"/>
    <mergeCell ref="L2:M2"/>
    <mergeCell ref="CK167:CL168"/>
    <mergeCell ref="CM167:CN168"/>
    <mergeCell ref="CO167:CP168"/>
    <mergeCell ref="CQ167:CR168"/>
    <mergeCell ref="CK169:CL170"/>
    <mergeCell ref="CM169:CN170"/>
    <mergeCell ref="CO169:CP170"/>
    <mergeCell ref="CQ169:CR170"/>
    <mergeCell ref="CK94:CL95"/>
    <mergeCell ref="CM94:CN95"/>
    <mergeCell ref="CO94:CP95"/>
    <mergeCell ref="CQ94:CR95"/>
    <mergeCell ref="CK96:CL97"/>
    <mergeCell ref="CM96:CN97"/>
    <mergeCell ref="CO96:CP97"/>
    <mergeCell ref="CQ96:CR97"/>
    <mergeCell ref="CK62:CL63"/>
    <mergeCell ref="CM62:CN63"/>
    <mergeCell ref="CO62:CP63"/>
    <mergeCell ref="CQ62:CR63"/>
    <mergeCell ref="CK70:CL71"/>
    <mergeCell ref="CM70:CN71"/>
    <mergeCell ref="CO70:CP71"/>
    <mergeCell ref="CQ70:CR71"/>
    <mergeCell ref="CK68:CL69"/>
    <mergeCell ref="CM68:CN69"/>
    <mergeCell ref="HB25:HC25"/>
    <mergeCell ref="HD25:HE25"/>
    <mergeCell ref="HF25:HG25"/>
    <mergeCell ref="HH25:HI25"/>
    <mergeCell ref="HJ25:HK25"/>
    <mergeCell ref="FV25:FW25"/>
    <mergeCell ref="FX25:FY25"/>
    <mergeCell ref="FZ25:GA25"/>
    <mergeCell ref="GB25:GC25"/>
    <mergeCell ref="GD25:GE25"/>
    <mergeCell ref="GF25:GG25"/>
    <mergeCell ref="GH25:GI25"/>
    <mergeCell ref="GJ25:GK25"/>
    <mergeCell ref="GL25:GM25"/>
    <mergeCell ref="GN25:GO25"/>
    <mergeCell ref="EC25:ED25"/>
    <mergeCell ref="EE25:EF25"/>
    <mergeCell ref="EG25:EH25"/>
    <mergeCell ref="EI25:EJ25"/>
    <mergeCell ref="EK25:EL25"/>
    <mergeCell ref="EM25:EN25"/>
    <mergeCell ref="EO25:EP25"/>
    <mergeCell ref="EQ25:ER25"/>
    <mergeCell ref="ES25:ET25"/>
    <mergeCell ref="EU25:EV25"/>
    <mergeCell ref="KP25:KQ25"/>
    <mergeCell ref="KR25:KS25"/>
    <mergeCell ref="KT25:KU25"/>
    <mergeCell ref="KV25:KW25"/>
    <mergeCell ref="KX25:KY25"/>
    <mergeCell ref="JI25:JJ25"/>
    <mergeCell ref="JK25:JL25"/>
    <mergeCell ref="JM25:JN25"/>
    <mergeCell ref="JO25:JP25"/>
    <mergeCell ref="JQ25:JR25"/>
    <mergeCell ref="JS25:JT25"/>
    <mergeCell ref="JU25:JV25"/>
    <mergeCell ref="JW25:JX25"/>
    <mergeCell ref="JY25:JZ25"/>
    <mergeCell ref="KA25:KB25"/>
    <mergeCell ref="IK25:IL25"/>
    <mergeCell ref="IM25:IN25"/>
    <mergeCell ref="IO25:IP25"/>
    <mergeCell ref="IQ25:IR25"/>
    <mergeCell ref="IS25:IT25"/>
    <mergeCell ref="IU25:IV25"/>
    <mergeCell ref="IW25:IX25"/>
    <mergeCell ref="IY25:IZ25"/>
    <mergeCell ref="JA25:JB25"/>
    <mergeCell ref="JC25:JD25"/>
    <mergeCell ref="I28:J29"/>
    <mergeCell ref="K28:L29"/>
    <mergeCell ref="M28:N29"/>
    <mergeCell ref="O28:P29"/>
    <mergeCell ref="Q28:R29"/>
    <mergeCell ref="S28:T29"/>
    <mergeCell ref="U28:V29"/>
    <mergeCell ref="C30:D31"/>
    <mergeCell ref="E30:F31"/>
    <mergeCell ref="C36:D37"/>
    <mergeCell ref="E36:F37"/>
    <mergeCell ref="G36:H37"/>
    <mergeCell ref="KF25:KG25"/>
    <mergeCell ref="KH25:KI25"/>
    <mergeCell ref="KJ25:KK25"/>
    <mergeCell ref="KL25:KM25"/>
    <mergeCell ref="KN25:KO25"/>
    <mergeCell ref="HN25:HO25"/>
    <mergeCell ref="HP25:HQ25"/>
    <mergeCell ref="HR25:HS25"/>
    <mergeCell ref="HT25:HU25"/>
    <mergeCell ref="HV25:HW25"/>
    <mergeCell ref="HX25:HY25"/>
    <mergeCell ref="HZ25:IA25"/>
    <mergeCell ref="IB25:IC25"/>
    <mergeCell ref="ID25:IE25"/>
    <mergeCell ref="IF25:IG25"/>
    <mergeCell ref="GR25:GS25"/>
    <mergeCell ref="GT25:GU25"/>
    <mergeCell ref="GV25:GW25"/>
    <mergeCell ref="GX25:GY25"/>
    <mergeCell ref="GZ25:HA25"/>
    <mergeCell ref="C34:D35"/>
    <mergeCell ref="E34:F35"/>
    <mergeCell ref="G34:H35"/>
    <mergeCell ref="I34:J35"/>
    <mergeCell ref="K34:L35"/>
    <mergeCell ref="M34:N35"/>
    <mergeCell ref="O34:P35"/>
    <mergeCell ref="Q34:R35"/>
    <mergeCell ref="S34:T35"/>
    <mergeCell ref="U34:V35"/>
    <mergeCell ref="G38:H39"/>
    <mergeCell ref="I38:J39"/>
    <mergeCell ref="K38:L39"/>
    <mergeCell ref="M38:N39"/>
    <mergeCell ref="O38:P39"/>
    <mergeCell ref="Q38:R39"/>
    <mergeCell ref="S38:T39"/>
    <mergeCell ref="U38:V39"/>
    <mergeCell ref="I36:J37"/>
    <mergeCell ref="K36:L37"/>
    <mergeCell ref="M36:N37"/>
    <mergeCell ref="O36:P37"/>
    <mergeCell ref="Q36:R37"/>
    <mergeCell ref="S36:T37"/>
    <mergeCell ref="U36:V37"/>
    <mergeCell ref="C38:D39"/>
    <mergeCell ref="E38:F39"/>
    <mergeCell ref="C44:D45"/>
    <mergeCell ref="E44:F45"/>
    <mergeCell ref="G44:H45"/>
    <mergeCell ref="I44:J45"/>
    <mergeCell ref="K44:L45"/>
    <mergeCell ref="C46:D47"/>
    <mergeCell ref="E46:F47"/>
    <mergeCell ref="AP48:AQ49"/>
    <mergeCell ref="AH44:AI45"/>
    <mergeCell ref="AJ44:AK45"/>
    <mergeCell ref="AL44:AM45"/>
    <mergeCell ref="AN44:AO45"/>
    <mergeCell ref="AL46:AM47"/>
    <mergeCell ref="AN46:AO47"/>
    <mergeCell ref="AP46:AQ47"/>
    <mergeCell ref="X48:Y49"/>
    <mergeCell ref="CW60:CX61"/>
    <mergeCell ref="AN48:AO49"/>
    <mergeCell ref="BZ58:CA59"/>
    <mergeCell ref="CB58:CC59"/>
    <mergeCell ref="BN60:BO61"/>
    <mergeCell ref="BP60:BQ61"/>
    <mergeCell ref="BR60:BS61"/>
    <mergeCell ref="BT60:BU61"/>
    <mergeCell ref="BV60:BW61"/>
    <mergeCell ref="BX60:BY61"/>
    <mergeCell ref="BZ60:CA61"/>
    <mergeCell ref="CB60:CC61"/>
    <mergeCell ref="BN58:BO59"/>
    <mergeCell ref="BP58:BQ59"/>
    <mergeCell ref="BR58:BS59"/>
    <mergeCell ref="BT58:BU59"/>
    <mergeCell ref="G30:H31"/>
    <mergeCell ref="I30:J31"/>
    <mergeCell ref="K30:L31"/>
    <mergeCell ref="M30:N31"/>
    <mergeCell ref="O30:P31"/>
    <mergeCell ref="Q30:R31"/>
    <mergeCell ref="S30:T31"/>
    <mergeCell ref="U30:V31"/>
    <mergeCell ref="M40:N41"/>
    <mergeCell ref="O40:P41"/>
    <mergeCell ref="Q40:R41"/>
    <mergeCell ref="S40:T41"/>
    <mergeCell ref="U40:V41"/>
    <mergeCell ref="G46:H47"/>
    <mergeCell ref="I46:J47"/>
    <mergeCell ref="K46:L47"/>
    <mergeCell ref="M44:N45"/>
    <mergeCell ref="O44:P45"/>
    <mergeCell ref="Q44:R45"/>
    <mergeCell ref="S44:T45"/>
    <mergeCell ref="U44:V45"/>
    <mergeCell ref="M46:N47"/>
    <mergeCell ref="O46:P47"/>
    <mergeCell ref="Q46:R47"/>
    <mergeCell ref="S46:T47"/>
    <mergeCell ref="U46:V47"/>
    <mergeCell ref="C32:D33"/>
    <mergeCell ref="E32:F33"/>
    <mergeCell ref="G32:H33"/>
    <mergeCell ref="I32:J33"/>
    <mergeCell ref="K32:L33"/>
    <mergeCell ref="M32:N33"/>
    <mergeCell ref="O32:P33"/>
    <mergeCell ref="Q32:R33"/>
    <mergeCell ref="S32:T33"/>
    <mergeCell ref="U32:V33"/>
    <mergeCell ref="AF32:AG33"/>
    <mergeCell ref="AH32:AI33"/>
    <mergeCell ref="AJ32:AK33"/>
    <mergeCell ref="AL32:AM33"/>
    <mergeCell ref="AN32:AO33"/>
    <mergeCell ref="AL40:AM41"/>
    <mergeCell ref="AN40:AO41"/>
    <mergeCell ref="X34:Y35"/>
    <mergeCell ref="Z34:AA35"/>
    <mergeCell ref="AB34:AC35"/>
    <mergeCell ref="AD34:AE35"/>
    <mergeCell ref="X38:Y39"/>
    <mergeCell ref="Z38:AA39"/>
    <mergeCell ref="AB38:AC39"/>
    <mergeCell ref="AD38:AE39"/>
    <mergeCell ref="AF38:AG39"/>
    <mergeCell ref="AH38:AI39"/>
    <mergeCell ref="C40:D41"/>
    <mergeCell ref="E40:F41"/>
    <mergeCell ref="G40:H41"/>
    <mergeCell ref="I40:J41"/>
    <mergeCell ref="K40:L41"/>
    <mergeCell ref="C42:D43"/>
    <mergeCell ref="E42:F43"/>
    <mergeCell ref="G42:H43"/>
    <mergeCell ref="I42:J43"/>
    <mergeCell ref="K42:L43"/>
    <mergeCell ref="M42:N43"/>
    <mergeCell ref="O42:P43"/>
    <mergeCell ref="Q42:R43"/>
    <mergeCell ref="S42:T43"/>
    <mergeCell ref="U42:V43"/>
    <mergeCell ref="Z48:AA49"/>
    <mergeCell ref="AB48:AC49"/>
    <mergeCell ref="AD48:AE49"/>
    <mergeCell ref="AF48:AG49"/>
    <mergeCell ref="AH48:AI49"/>
    <mergeCell ref="AJ48:AK49"/>
    <mergeCell ref="AL48:AM49"/>
    <mergeCell ref="C48:D49"/>
    <mergeCell ref="E48:F49"/>
    <mergeCell ref="G48:H49"/>
    <mergeCell ref="I48:J49"/>
    <mergeCell ref="K48:L49"/>
    <mergeCell ref="M48:N49"/>
    <mergeCell ref="O48:P49"/>
    <mergeCell ref="Q48:R49"/>
    <mergeCell ref="S48:T49"/>
    <mergeCell ref="U48:V49"/>
    <mergeCell ref="X44:Y45"/>
    <mergeCell ref="Z44:AA45"/>
    <mergeCell ref="AB44:AC45"/>
    <mergeCell ref="AD44:AE45"/>
    <mergeCell ref="AF44:AG45"/>
    <mergeCell ref="AV30:AW31"/>
    <mergeCell ref="AV32:AW33"/>
    <mergeCell ref="AV34:AW35"/>
    <mergeCell ref="AV36:AW37"/>
    <mergeCell ref="AV38:AW39"/>
    <mergeCell ref="AV40:AW41"/>
    <mergeCell ref="AV42:AW43"/>
    <mergeCell ref="AV44:AW45"/>
    <mergeCell ref="Z42:AA43"/>
    <mergeCell ref="AB42:AC43"/>
    <mergeCell ref="AD42:AE43"/>
    <mergeCell ref="AF42:AG43"/>
    <mergeCell ref="AB30:AC31"/>
    <mergeCell ref="AD30:AE31"/>
    <mergeCell ref="AF30:AG31"/>
    <mergeCell ref="AH30:AI31"/>
    <mergeCell ref="AJ30:AK31"/>
    <mergeCell ref="AL30:AM31"/>
    <mergeCell ref="AN30:AO31"/>
    <mergeCell ref="AP30:AQ31"/>
    <mergeCell ref="AP32:AQ33"/>
    <mergeCell ref="AP40:AQ41"/>
    <mergeCell ref="AF34:AG35"/>
    <mergeCell ref="AH34:AI35"/>
    <mergeCell ref="AJ34:AK35"/>
    <mergeCell ref="AL34:AM35"/>
    <mergeCell ref="AN34:AO35"/>
    <mergeCell ref="AP34:AQ35"/>
    <mergeCell ref="X32:Y33"/>
    <mergeCell ref="Z32:AA33"/>
    <mergeCell ref="AB32:AC33"/>
    <mergeCell ref="AD32:AE33"/>
    <mergeCell ref="AV46:AW47"/>
    <mergeCell ref="AV48:AW49"/>
    <mergeCell ref="C105:D106"/>
    <mergeCell ref="E105:F106"/>
    <mergeCell ref="G105:H106"/>
    <mergeCell ref="I105:J106"/>
    <mergeCell ref="C107:D108"/>
    <mergeCell ref="E107:F108"/>
    <mergeCell ref="G107:H108"/>
    <mergeCell ref="I107:J108"/>
    <mergeCell ref="L105:M106"/>
    <mergeCell ref="N105:O106"/>
    <mergeCell ref="P105:Q106"/>
    <mergeCell ref="R105:S106"/>
    <mergeCell ref="L107:M108"/>
    <mergeCell ref="N107:O108"/>
    <mergeCell ref="P107:Q108"/>
    <mergeCell ref="R107:S108"/>
    <mergeCell ref="X105:Y106"/>
    <mergeCell ref="X107:Y108"/>
    <mergeCell ref="AR48:AS49"/>
    <mergeCell ref="X46:Y47"/>
    <mergeCell ref="Z46:AA47"/>
    <mergeCell ref="AB46:AC47"/>
    <mergeCell ref="AD46:AE47"/>
    <mergeCell ref="AF46:AG47"/>
    <mergeCell ref="AH46:AI47"/>
    <mergeCell ref="AJ46:AK47"/>
    <mergeCell ref="L111:M112"/>
    <mergeCell ref="N111:O112"/>
    <mergeCell ref="P111:Q112"/>
    <mergeCell ref="R111:S112"/>
    <mergeCell ref="L113:M114"/>
    <mergeCell ref="N113:O114"/>
    <mergeCell ref="P113:Q114"/>
    <mergeCell ref="R113:S114"/>
    <mergeCell ref="T105:U106"/>
    <mergeCell ref="T107:U108"/>
    <mergeCell ref="T109:U110"/>
    <mergeCell ref="T111:U112"/>
    <mergeCell ref="T113:U114"/>
    <mergeCell ref="V105:W106"/>
    <mergeCell ref="V107:W108"/>
    <mergeCell ref="V109:W110"/>
    <mergeCell ref="V111:W112"/>
    <mergeCell ref="V113:W114"/>
    <mergeCell ref="L109:M110"/>
    <mergeCell ref="N109:O110"/>
    <mergeCell ref="O180:P181"/>
    <mergeCell ref="Q180:R181"/>
    <mergeCell ref="S180:T181"/>
    <mergeCell ref="M182:N183"/>
    <mergeCell ref="O182:P183"/>
    <mergeCell ref="Q182:R183"/>
    <mergeCell ref="S182:T183"/>
    <mergeCell ref="M184:N185"/>
    <mergeCell ref="O184:P185"/>
    <mergeCell ref="Q184:R185"/>
    <mergeCell ref="S184:T185"/>
    <mergeCell ref="A105:B105"/>
    <mergeCell ref="E103:H103"/>
    <mergeCell ref="C176:D177"/>
    <mergeCell ref="E176:F177"/>
    <mergeCell ref="G176:H177"/>
    <mergeCell ref="I176:J177"/>
    <mergeCell ref="C178:D179"/>
    <mergeCell ref="E178:F179"/>
    <mergeCell ref="G178:H179"/>
    <mergeCell ref="I178:J179"/>
    <mergeCell ref="C180:D181"/>
    <mergeCell ref="E180:F181"/>
    <mergeCell ref="G180:H181"/>
    <mergeCell ref="I180:J181"/>
    <mergeCell ref="C182:D183"/>
    <mergeCell ref="E182:F183"/>
    <mergeCell ref="G182:H183"/>
    <mergeCell ref="I182:J183"/>
    <mergeCell ref="E174:H174"/>
    <mergeCell ref="P109:Q110"/>
    <mergeCell ref="R109:S110"/>
    <mergeCell ref="U176:V177"/>
    <mergeCell ref="U178:V179"/>
    <mergeCell ref="U180:V181"/>
    <mergeCell ref="U182:V183"/>
    <mergeCell ref="U184:V185"/>
    <mergeCell ref="W176:X177"/>
    <mergeCell ref="W178:X179"/>
    <mergeCell ref="W180:X181"/>
    <mergeCell ref="W182:X183"/>
    <mergeCell ref="W184:X185"/>
    <mergeCell ref="Y176:Z177"/>
    <mergeCell ref="Y178:Z179"/>
    <mergeCell ref="Y180:Z181"/>
    <mergeCell ref="Y182:Z183"/>
    <mergeCell ref="Y184:Z185"/>
    <mergeCell ref="G26:R26"/>
    <mergeCell ref="C51:LQ51"/>
    <mergeCell ref="C116:LQ116"/>
    <mergeCell ref="C161:LQ161"/>
    <mergeCell ref="C184:D185"/>
    <mergeCell ref="E184:F185"/>
    <mergeCell ref="G184:H185"/>
    <mergeCell ref="I184:J185"/>
    <mergeCell ref="M176:N177"/>
    <mergeCell ref="O176:P177"/>
    <mergeCell ref="Q176:R177"/>
    <mergeCell ref="S176:T177"/>
    <mergeCell ref="M178:N179"/>
    <mergeCell ref="O178:P179"/>
    <mergeCell ref="Q178:R179"/>
    <mergeCell ref="S178:T179"/>
    <mergeCell ref="M180:N181"/>
    <mergeCell ref="O140:P141"/>
    <mergeCell ref="Q140:R141"/>
    <mergeCell ref="S140:T141"/>
    <mergeCell ref="C142:D143"/>
    <mergeCell ref="E142:F143"/>
    <mergeCell ref="G142:H143"/>
    <mergeCell ref="I142:J143"/>
    <mergeCell ref="K142:L143"/>
    <mergeCell ref="M142:N143"/>
    <mergeCell ref="O142:P143"/>
    <mergeCell ref="Q142:R143"/>
    <mergeCell ref="S142:T143"/>
    <mergeCell ref="C144:D145"/>
    <mergeCell ref="E144:F145"/>
    <mergeCell ref="G144:H145"/>
    <mergeCell ref="I144:J145"/>
    <mergeCell ref="K144:L145"/>
    <mergeCell ref="M144:N145"/>
    <mergeCell ref="O144:P145"/>
    <mergeCell ref="Q144:R145"/>
    <mergeCell ref="S144:T145"/>
    <mergeCell ref="C146:D147"/>
    <mergeCell ref="E146:F147"/>
    <mergeCell ref="G146:H147"/>
    <mergeCell ref="I146:J147"/>
    <mergeCell ref="K146:L147"/>
    <mergeCell ref="M146:N147"/>
    <mergeCell ref="O146:P147"/>
    <mergeCell ref="Q146:R147"/>
    <mergeCell ref="S146:T147"/>
    <mergeCell ref="C148:D149"/>
    <mergeCell ref="E148:F149"/>
    <mergeCell ref="G148:H149"/>
    <mergeCell ref="I148:J149"/>
    <mergeCell ref="K148:L149"/>
    <mergeCell ref="M148:N149"/>
    <mergeCell ref="O148:P149"/>
    <mergeCell ref="Q148:R149"/>
    <mergeCell ref="S148:T149"/>
    <mergeCell ref="C150:D151"/>
    <mergeCell ref="E150:F151"/>
    <mergeCell ref="G150:H151"/>
    <mergeCell ref="I150:J151"/>
    <mergeCell ref="K150:L151"/>
    <mergeCell ref="M150:N151"/>
    <mergeCell ref="O150:P151"/>
    <mergeCell ref="Q150:R151"/>
    <mergeCell ref="S150:T151"/>
    <mergeCell ref="C152:D153"/>
    <mergeCell ref="E152:F153"/>
    <mergeCell ref="G152:H153"/>
    <mergeCell ref="I152:J153"/>
    <mergeCell ref="K152:L153"/>
    <mergeCell ref="M152:N153"/>
    <mergeCell ref="O152:P153"/>
    <mergeCell ref="Q152:R153"/>
    <mergeCell ref="S152:T153"/>
    <mergeCell ref="C154:D155"/>
    <mergeCell ref="E154:F155"/>
    <mergeCell ref="G154:H155"/>
    <mergeCell ref="I154:J155"/>
    <mergeCell ref="K154:L155"/>
    <mergeCell ref="M154:N155"/>
    <mergeCell ref="O154:P155"/>
    <mergeCell ref="Q154:R155"/>
    <mergeCell ref="S154:T155"/>
    <mergeCell ref="C156:D157"/>
    <mergeCell ref="E156:F157"/>
    <mergeCell ref="G156:H157"/>
    <mergeCell ref="I156:J157"/>
    <mergeCell ref="K156:L157"/>
    <mergeCell ref="M156:N157"/>
    <mergeCell ref="O156:P157"/>
    <mergeCell ref="Q156:R157"/>
    <mergeCell ref="S156:T157"/>
    <mergeCell ref="AJ140:AK141"/>
    <mergeCell ref="AL140:AM141"/>
    <mergeCell ref="AN140:AO141"/>
    <mergeCell ref="X142:Y143"/>
    <mergeCell ref="Z142:AA143"/>
    <mergeCell ref="AB142:AC143"/>
    <mergeCell ref="AD142:AE143"/>
    <mergeCell ref="AF142:AG143"/>
    <mergeCell ref="AH142:AI143"/>
    <mergeCell ref="AJ142:AK143"/>
    <mergeCell ref="AL142:AM143"/>
    <mergeCell ref="AN142:AO143"/>
    <mergeCell ref="X144:Y145"/>
    <mergeCell ref="Z144:AA145"/>
    <mergeCell ref="AB144:AC145"/>
    <mergeCell ref="AD144:AE145"/>
    <mergeCell ref="AF144:AG145"/>
    <mergeCell ref="AH144:AI145"/>
    <mergeCell ref="AJ144:AK145"/>
    <mergeCell ref="AL144:AM145"/>
    <mergeCell ref="AN144:AO145"/>
    <mergeCell ref="X146:Y147"/>
    <mergeCell ref="Z146:AA147"/>
    <mergeCell ref="AB146:AC147"/>
    <mergeCell ref="AD146:AE147"/>
    <mergeCell ref="AF146:AG147"/>
    <mergeCell ref="AH146:AI147"/>
    <mergeCell ref="AJ146:AK147"/>
    <mergeCell ref="AL146:AM147"/>
    <mergeCell ref="AN146:AO147"/>
    <mergeCell ref="X148:Y149"/>
    <mergeCell ref="Z148:AA149"/>
    <mergeCell ref="AB148:AC149"/>
    <mergeCell ref="AD148:AE149"/>
    <mergeCell ref="AF148:AG149"/>
    <mergeCell ref="AH148:AI149"/>
    <mergeCell ref="AJ148:AK149"/>
    <mergeCell ref="AL148:AM149"/>
    <mergeCell ref="AN148:AO149"/>
    <mergeCell ref="X150:Y151"/>
    <mergeCell ref="Z150:AA151"/>
    <mergeCell ref="AB150:AC151"/>
    <mergeCell ref="AD150:AE151"/>
    <mergeCell ref="AF150:AG151"/>
    <mergeCell ref="AH150:AI151"/>
    <mergeCell ref="AJ150:AK151"/>
    <mergeCell ref="AL150:AM151"/>
    <mergeCell ref="AN150:AO151"/>
    <mergeCell ref="X152:Y153"/>
    <mergeCell ref="Z152:AA153"/>
    <mergeCell ref="AB152:AC153"/>
    <mergeCell ref="AD152:AE153"/>
    <mergeCell ref="AF152:AG153"/>
    <mergeCell ref="AH152:AI153"/>
    <mergeCell ref="AJ152:AK153"/>
    <mergeCell ref="AL152:AM153"/>
    <mergeCell ref="AN152:AO153"/>
    <mergeCell ref="X154:Y155"/>
    <mergeCell ref="Z154:AA155"/>
    <mergeCell ref="AB154:AC155"/>
    <mergeCell ref="AD154:AE155"/>
    <mergeCell ref="AF154:AG155"/>
    <mergeCell ref="AH154:AI155"/>
    <mergeCell ref="AJ154:AK155"/>
    <mergeCell ref="AL154:AM155"/>
    <mergeCell ref="AN154:AO155"/>
    <mergeCell ref="X156:Y157"/>
    <mergeCell ref="Z156:AA157"/>
    <mergeCell ref="AB156:AC157"/>
    <mergeCell ref="AD156:AE157"/>
    <mergeCell ref="AF156:AG157"/>
    <mergeCell ref="AH156:AI157"/>
    <mergeCell ref="AJ156:AK157"/>
    <mergeCell ref="AL156:AM157"/>
    <mergeCell ref="AN156:AO157"/>
    <mergeCell ref="AP150:AQ151"/>
    <mergeCell ref="AR150:AS151"/>
    <mergeCell ref="AT150:AU151"/>
    <mergeCell ref="AP152:AQ153"/>
    <mergeCell ref="AR152:AS153"/>
    <mergeCell ref="AT152:AU153"/>
    <mergeCell ref="AP154:AQ155"/>
    <mergeCell ref="AR154:AS155"/>
    <mergeCell ref="AT154:AU155"/>
    <mergeCell ref="AP156:AQ157"/>
    <mergeCell ref="AR156:AS157"/>
    <mergeCell ref="AT156:AU157"/>
    <mergeCell ref="AP138:AQ139"/>
    <mergeCell ref="AR138:AS139"/>
    <mergeCell ref="AT138:AU139"/>
    <mergeCell ref="AP140:AQ141"/>
    <mergeCell ref="AR140:AS141"/>
    <mergeCell ref="AT140:AU141"/>
    <mergeCell ref="AP142:AQ143"/>
    <mergeCell ref="AR142:AS143"/>
    <mergeCell ref="AT142:AU143"/>
    <mergeCell ref="AP144:AQ145"/>
    <mergeCell ref="AR144:AS145"/>
    <mergeCell ref="AT144:AU145"/>
    <mergeCell ref="AP146:AQ147"/>
    <mergeCell ref="AR146:AS147"/>
    <mergeCell ref="AT146:AU147"/>
    <mergeCell ref="AP148:AQ149"/>
    <mergeCell ref="AR148:AS149"/>
    <mergeCell ref="AT148:AU1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98BE-7358-4AB9-BEFF-EF047251173A}">
  <dimension ref="B2:V67"/>
  <sheetViews>
    <sheetView topLeftCell="A27" workbookViewId="0">
      <selection activeCell="G68" sqref="G68"/>
    </sheetView>
  </sheetViews>
  <sheetFormatPr defaultRowHeight="14.5" x14ac:dyDescent="0.35"/>
  <sheetData>
    <row r="2" spans="2:14" x14ac:dyDescent="0.35">
      <c r="B2" s="79" t="s">
        <v>107</v>
      </c>
      <c r="C2" s="79"/>
      <c r="D2" s="118" t="s">
        <v>108</v>
      </c>
      <c r="E2" s="119"/>
      <c r="F2" s="79" t="s">
        <v>109</v>
      </c>
      <c r="G2" s="79"/>
      <c r="H2" s="118" t="s">
        <v>110</v>
      </c>
      <c r="I2" s="119"/>
      <c r="J2" s="1" t="s">
        <v>111</v>
      </c>
    </row>
    <row r="3" spans="2:14" x14ac:dyDescent="0.35">
      <c r="B3" s="118" t="s">
        <v>112</v>
      </c>
      <c r="C3" s="120"/>
      <c r="D3" s="120"/>
      <c r="E3" s="120"/>
      <c r="F3" s="120"/>
      <c r="G3" s="120"/>
      <c r="H3" s="120"/>
      <c r="I3" s="120"/>
      <c r="J3" s="119"/>
    </row>
    <row r="4" spans="2:14" x14ac:dyDescent="0.35">
      <c r="B4" s="107" t="s">
        <v>78</v>
      </c>
      <c r="C4" s="108"/>
      <c r="D4" s="107"/>
      <c r="E4" s="108"/>
      <c r="F4" s="107"/>
      <c r="G4" s="108"/>
      <c r="H4" s="107"/>
      <c r="I4" s="108"/>
      <c r="J4" s="116"/>
      <c r="L4" s="80" t="s">
        <v>78</v>
      </c>
      <c r="M4" s="80"/>
      <c r="N4" s="80"/>
    </row>
    <row r="5" spans="2:14" x14ac:dyDescent="0.35">
      <c r="B5" s="109"/>
      <c r="C5" s="110"/>
      <c r="D5" s="109"/>
      <c r="E5" s="110"/>
      <c r="F5" s="109"/>
      <c r="G5" s="110"/>
      <c r="H5" s="109"/>
      <c r="I5" s="110"/>
      <c r="J5" s="117"/>
      <c r="L5" s="80" t="s">
        <v>85</v>
      </c>
      <c r="M5" s="80"/>
      <c r="N5" s="80"/>
    </row>
    <row r="6" spans="2:14" x14ac:dyDescent="0.35">
      <c r="B6" s="107" t="s">
        <v>79</v>
      </c>
      <c r="C6" s="108"/>
      <c r="D6" s="107"/>
      <c r="E6" s="108"/>
      <c r="F6" s="107"/>
      <c r="G6" s="108"/>
      <c r="H6" s="107"/>
      <c r="I6" s="108"/>
      <c r="J6" s="116"/>
      <c r="L6" s="80" t="s">
        <v>4</v>
      </c>
      <c r="M6" s="80"/>
      <c r="N6" s="80"/>
    </row>
    <row r="7" spans="2:14" x14ac:dyDescent="0.35">
      <c r="B7" s="109"/>
      <c r="C7" s="110"/>
      <c r="D7" s="109"/>
      <c r="E7" s="110"/>
      <c r="F7" s="109"/>
      <c r="G7" s="110"/>
      <c r="H7" s="109"/>
      <c r="I7" s="110"/>
      <c r="J7" s="117"/>
      <c r="L7" s="80" t="s">
        <v>5</v>
      </c>
      <c r="M7" s="80"/>
      <c r="N7" s="80"/>
    </row>
    <row r="8" spans="2:14" x14ac:dyDescent="0.35">
      <c r="B8" s="107" t="s">
        <v>5</v>
      </c>
      <c r="C8" s="108"/>
      <c r="D8" s="107"/>
      <c r="E8" s="108"/>
      <c r="F8" s="107"/>
      <c r="G8" s="108"/>
      <c r="H8" s="107"/>
      <c r="I8" s="108"/>
      <c r="J8" s="116"/>
      <c r="L8" s="80" t="s">
        <v>6</v>
      </c>
      <c r="M8" s="80"/>
      <c r="N8" s="80"/>
    </row>
    <row r="9" spans="2:14" x14ac:dyDescent="0.35">
      <c r="B9" s="109"/>
      <c r="C9" s="110"/>
      <c r="D9" s="109"/>
      <c r="E9" s="110"/>
      <c r="F9" s="109"/>
      <c r="G9" s="110"/>
      <c r="H9" s="109"/>
      <c r="I9" s="110"/>
      <c r="J9" s="117"/>
      <c r="L9" s="80" t="s">
        <v>7</v>
      </c>
      <c r="M9" s="80"/>
      <c r="N9" s="80"/>
    </row>
    <row r="10" spans="2:14" x14ac:dyDescent="0.35">
      <c r="B10" s="107" t="s">
        <v>113</v>
      </c>
      <c r="C10" s="108"/>
      <c r="D10" s="107"/>
      <c r="E10" s="108"/>
      <c r="F10" s="107"/>
      <c r="G10" s="108"/>
      <c r="H10" s="107"/>
      <c r="I10" s="108"/>
      <c r="J10" s="116"/>
      <c r="L10" s="80" t="s">
        <v>8</v>
      </c>
      <c r="M10" s="80"/>
      <c r="N10" s="80"/>
    </row>
    <row r="11" spans="2:14" x14ac:dyDescent="0.35">
      <c r="B11" s="109"/>
      <c r="C11" s="110"/>
      <c r="D11" s="109"/>
      <c r="E11" s="110"/>
      <c r="F11" s="109"/>
      <c r="G11" s="110"/>
      <c r="H11" s="109"/>
      <c r="I11" s="110"/>
      <c r="J11" s="117"/>
      <c r="L11" s="80" t="s">
        <v>80</v>
      </c>
      <c r="M11" s="80"/>
      <c r="N11" s="80"/>
    </row>
    <row r="12" spans="2:14" x14ac:dyDescent="0.35">
      <c r="B12" s="107" t="s">
        <v>32</v>
      </c>
      <c r="C12" s="108"/>
      <c r="D12" s="107"/>
      <c r="E12" s="108"/>
      <c r="F12" s="107"/>
      <c r="G12" s="108"/>
      <c r="H12" s="107"/>
      <c r="I12" s="108"/>
      <c r="J12" s="116"/>
      <c r="L12" s="80" t="s">
        <v>9</v>
      </c>
      <c r="M12" s="80"/>
      <c r="N12" s="80"/>
    </row>
    <row r="13" spans="2:14" x14ac:dyDescent="0.35">
      <c r="B13" s="109"/>
      <c r="C13" s="110"/>
      <c r="D13" s="109"/>
      <c r="E13" s="110"/>
      <c r="F13" s="109"/>
      <c r="G13" s="110"/>
      <c r="H13" s="109"/>
      <c r="I13" s="110"/>
      <c r="J13" s="117"/>
    </row>
    <row r="14" spans="2:14" x14ac:dyDescent="0.35">
      <c r="B14" s="107" t="s">
        <v>7</v>
      </c>
      <c r="C14" s="108"/>
      <c r="D14" s="107"/>
      <c r="E14" s="108"/>
      <c r="F14" s="107"/>
      <c r="G14" s="108"/>
      <c r="H14" s="107"/>
      <c r="I14" s="108"/>
      <c r="J14" s="116"/>
    </row>
    <row r="15" spans="2:14" x14ac:dyDescent="0.35">
      <c r="B15" s="109"/>
      <c r="C15" s="110"/>
      <c r="D15" s="109"/>
      <c r="E15" s="110"/>
      <c r="F15" s="109"/>
      <c r="G15" s="110"/>
      <c r="H15" s="109"/>
      <c r="I15" s="110"/>
      <c r="J15" s="117"/>
    </row>
    <row r="16" spans="2:14" x14ac:dyDescent="0.35">
      <c r="B16" s="107" t="s">
        <v>114</v>
      </c>
      <c r="C16" s="108"/>
      <c r="D16" s="107"/>
      <c r="E16" s="108"/>
      <c r="F16" s="107"/>
      <c r="G16" s="108"/>
      <c r="H16" s="107"/>
      <c r="I16" s="108"/>
      <c r="J16" s="116"/>
    </row>
    <row r="17" spans="2:14" x14ac:dyDescent="0.35">
      <c r="B17" s="109"/>
      <c r="C17" s="110"/>
      <c r="D17" s="109"/>
      <c r="E17" s="110"/>
      <c r="F17" s="109"/>
      <c r="G17" s="110"/>
      <c r="H17" s="109"/>
      <c r="I17" s="110"/>
      <c r="J17" s="117"/>
    </row>
    <row r="18" spans="2:14" x14ac:dyDescent="0.35">
      <c r="B18" s="107" t="s">
        <v>80</v>
      </c>
      <c r="C18" s="108"/>
      <c r="D18" s="107"/>
      <c r="E18" s="108"/>
      <c r="F18" s="107"/>
      <c r="G18" s="108"/>
      <c r="H18" s="107"/>
      <c r="I18" s="108"/>
      <c r="J18" s="116"/>
    </row>
    <row r="19" spans="2:14" x14ac:dyDescent="0.35">
      <c r="B19" s="109"/>
      <c r="C19" s="110"/>
      <c r="D19" s="109"/>
      <c r="E19" s="110"/>
      <c r="F19" s="109"/>
      <c r="G19" s="110"/>
      <c r="H19" s="109"/>
      <c r="I19" s="110"/>
      <c r="J19" s="117"/>
    </row>
    <row r="20" spans="2:14" x14ac:dyDescent="0.35">
      <c r="B20" s="107" t="s">
        <v>9</v>
      </c>
      <c r="C20" s="108"/>
      <c r="D20" s="107"/>
      <c r="E20" s="108"/>
      <c r="F20" s="107"/>
      <c r="G20" s="108"/>
      <c r="H20" s="107"/>
      <c r="I20" s="108"/>
      <c r="J20" s="116"/>
    </row>
    <row r="21" spans="2:14" x14ac:dyDescent="0.35">
      <c r="B21" s="109"/>
      <c r="C21" s="110"/>
      <c r="D21" s="109"/>
      <c r="E21" s="110"/>
      <c r="F21" s="109"/>
      <c r="G21" s="110"/>
      <c r="H21" s="109"/>
      <c r="I21" s="110"/>
      <c r="J21" s="117"/>
    </row>
    <row r="22" spans="2:14" x14ac:dyDescent="0.35">
      <c r="B22" s="113" t="s">
        <v>115</v>
      </c>
      <c r="C22" s="114"/>
      <c r="D22" s="114"/>
      <c r="E22" s="114"/>
      <c r="F22" s="114"/>
      <c r="G22" s="114"/>
      <c r="H22" s="114"/>
      <c r="I22" s="114"/>
      <c r="J22" s="115"/>
    </row>
    <row r="23" spans="2:14" x14ac:dyDescent="0.35">
      <c r="B23" s="95" t="s">
        <v>11</v>
      </c>
      <c r="C23" s="95"/>
      <c r="D23" s="107"/>
      <c r="E23" s="108"/>
      <c r="F23" s="95"/>
      <c r="G23" s="95"/>
      <c r="H23" s="107"/>
      <c r="I23" s="108"/>
      <c r="J23" s="111"/>
      <c r="L23" s="80" t="s">
        <v>11</v>
      </c>
      <c r="M23" s="80"/>
      <c r="N23" s="80"/>
    </row>
    <row r="24" spans="2:14" x14ac:dyDescent="0.35">
      <c r="B24" s="95"/>
      <c r="C24" s="95"/>
      <c r="D24" s="109"/>
      <c r="E24" s="110"/>
      <c r="F24" s="95"/>
      <c r="G24" s="95"/>
      <c r="H24" s="109"/>
      <c r="I24" s="110"/>
      <c r="J24" s="112"/>
      <c r="L24" s="81" t="s">
        <v>81</v>
      </c>
      <c r="M24" s="82"/>
      <c r="N24" s="83"/>
    </row>
    <row r="25" spans="2:14" x14ac:dyDescent="0.35">
      <c r="B25" s="95" t="s">
        <v>81</v>
      </c>
      <c r="C25" s="95"/>
      <c r="D25" s="107"/>
      <c r="E25" s="108"/>
      <c r="F25" s="95"/>
      <c r="G25" s="95"/>
      <c r="H25" s="107"/>
      <c r="I25" s="108"/>
      <c r="J25" s="111"/>
      <c r="L25" s="81" t="s">
        <v>27</v>
      </c>
      <c r="M25" s="82"/>
      <c r="N25" s="83"/>
    </row>
    <row r="26" spans="2:14" x14ac:dyDescent="0.35">
      <c r="B26" s="95"/>
      <c r="C26" s="95"/>
      <c r="D26" s="109"/>
      <c r="E26" s="110"/>
      <c r="F26" s="95"/>
      <c r="G26" s="95"/>
      <c r="H26" s="109"/>
      <c r="I26" s="110"/>
      <c r="J26" s="112"/>
      <c r="L26" s="81" t="s">
        <v>28</v>
      </c>
      <c r="M26" s="82"/>
      <c r="N26" s="83"/>
    </row>
    <row r="27" spans="2:14" x14ac:dyDescent="0.35">
      <c r="B27" s="95" t="s">
        <v>27</v>
      </c>
      <c r="C27" s="95"/>
      <c r="D27" s="107"/>
      <c r="E27" s="108"/>
      <c r="F27" s="95"/>
      <c r="G27" s="95"/>
      <c r="H27" s="107"/>
      <c r="I27" s="108"/>
      <c r="J27" s="111"/>
      <c r="L27" s="81" t="s">
        <v>29</v>
      </c>
      <c r="M27" s="82"/>
      <c r="N27" s="83"/>
    </row>
    <row r="28" spans="2:14" x14ac:dyDescent="0.35">
      <c r="B28" s="95"/>
      <c r="C28" s="95"/>
      <c r="D28" s="109"/>
      <c r="E28" s="110"/>
      <c r="F28" s="95"/>
      <c r="G28" s="95"/>
      <c r="H28" s="109"/>
      <c r="I28" s="110"/>
      <c r="J28" s="112"/>
      <c r="L28" s="81" t="s">
        <v>82</v>
      </c>
      <c r="M28" s="82"/>
      <c r="N28" s="83"/>
    </row>
    <row r="29" spans="2:14" x14ac:dyDescent="0.35">
      <c r="B29" s="95" t="s">
        <v>87</v>
      </c>
      <c r="C29" s="95"/>
      <c r="D29" s="107"/>
      <c r="E29" s="108"/>
      <c r="F29" s="95"/>
      <c r="G29" s="95"/>
      <c r="H29" s="107"/>
      <c r="I29" s="108"/>
      <c r="J29" s="111"/>
      <c r="L29" s="81" t="s">
        <v>30</v>
      </c>
      <c r="M29" s="82"/>
      <c r="N29" s="83"/>
    </row>
    <row r="30" spans="2:14" x14ac:dyDescent="0.35">
      <c r="B30" s="95"/>
      <c r="C30" s="95"/>
      <c r="D30" s="109"/>
      <c r="E30" s="110"/>
      <c r="F30" s="95"/>
      <c r="G30" s="95"/>
      <c r="H30" s="109"/>
      <c r="I30" s="110"/>
      <c r="J30" s="112"/>
    </row>
    <row r="31" spans="2:14" x14ac:dyDescent="0.35">
      <c r="B31" s="95" t="s">
        <v>29</v>
      </c>
      <c r="C31" s="95"/>
      <c r="D31" s="107"/>
      <c r="E31" s="108"/>
      <c r="F31" s="95"/>
      <c r="G31" s="95"/>
      <c r="H31" s="107"/>
      <c r="I31" s="108"/>
      <c r="J31" s="111"/>
    </row>
    <row r="32" spans="2:14" x14ac:dyDescent="0.35">
      <c r="B32" s="95"/>
      <c r="C32" s="95"/>
      <c r="D32" s="109"/>
      <c r="E32" s="110"/>
      <c r="F32" s="95"/>
      <c r="G32" s="95"/>
      <c r="H32" s="109"/>
      <c r="I32" s="110"/>
      <c r="J32" s="112"/>
    </row>
    <row r="33" spans="2:14" x14ac:dyDescent="0.35">
      <c r="B33" s="95" t="s">
        <v>89</v>
      </c>
      <c r="C33" s="95"/>
      <c r="D33" s="107"/>
      <c r="E33" s="108"/>
      <c r="F33" s="95"/>
      <c r="G33" s="95"/>
      <c r="H33" s="107"/>
      <c r="I33" s="108"/>
      <c r="J33" s="111"/>
    </row>
    <row r="34" spans="2:14" x14ac:dyDescent="0.35">
      <c r="B34" s="95"/>
      <c r="C34" s="95"/>
      <c r="D34" s="109"/>
      <c r="E34" s="110"/>
      <c r="F34" s="95"/>
      <c r="G34" s="95"/>
      <c r="H34" s="109"/>
      <c r="I34" s="110"/>
      <c r="J34" s="112"/>
    </row>
    <row r="35" spans="2:14" x14ac:dyDescent="0.35">
      <c r="B35" s="95" t="s">
        <v>91</v>
      </c>
      <c r="C35" s="95"/>
      <c r="D35" s="107"/>
      <c r="E35" s="108"/>
      <c r="F35" s="95"/>
      <c r="G35" s="95"/>
      <c r="H35" s="107"/>
      <c r="I35" s="108"/>
      <c r="J35" s="111"/>
    </row>
    <row r="36" spans="2:14" x14ac:dyDescent="0.35">
      <c r="B36" s="95"/>
      <c r="C36" s="95"/>
      <c r="D36" s="109"/>
      <c r="E36" s="110"/>
      <c r="F36" s="95"/>
      <c r="G36" s="95"/>
      <c r="H36" s="109"/>
      <c r="I36" s="110"/>
      <c r="J36" s="112"/>
    </row>
    <row r="37" spans="2:14" x14ac:dyDescent="0.35">
      <c r="B37" s="113" t="s">
        <v>116</v>
      </c>
      <c r="C37" s="114"/>
      <c r="D37" s="114"/>
      <c r="E37" s="114"/>
      <c r="F37" s="114"/>
      <c r="G37" s="114"/>
      <c r="H37" s="114"/>
      <c r="I37" s="114"/>
      <c r="J37" s="115"/>
    </row>
    <row r="38" spans="2:14" x14ac:dyDescent="0.35">
      <c r="B38" s="95" t="s">
        <v>13</v>
      </c>
      <c r="C38" s="95"/>
      <c r="D38" s="107">
        <v>10</v>
      </c>
      <c r="E38" s="108"/>
      <c r="F38" s="95">
        <v>0.34499999999999997</v>
      </c>
      <c r="G38" s="95"/>
      <c r="H38" s="107">
        <f>D38*F38</f>
        <v>3.4499999999999997</v>
      </c>
      <c r="I38" s="108"/>
      <c r="J38" s="111"/>
      <c r="L38" s="80" t="s">
        <v>13</v>
      </c>
      <c r="M38" s="80"/>
      <c r="N38" s="80"/>
    </row>
    <row r="39" spans="2:14" x14ac:dyDescent="0.35">
      <c r="B39" s="95"/>
      <c r="C39" s="95"/>
      <c r="D39" s="109"/>
      <c r="E39" s="110"/>
      <c r="F39" s="95"/>
      <c r="G39" s="95"/>
      <c r="H39" s="109"/>
      <c r="I39" s="110"/>
      <c r="J39" s="112"/>
      <c r="L39" s="80" t="s">
        <v>14</v>
      </c>
      <c r="M39" s="80"/>
      <c r="N39" s="80"/>
    </row>
    <row r="40" spans="2:14" x14ac:dyDescent="0.35">
      <c r="B40" s="95" t="s">
        <v>117</v>
      </c>
      <c r="C40" s="95"/>
      <c r="D40" s="107">
        <v>11</v>
      </c>
      <c r="E40" s="108"/>
      <c r="F40" s="95">
        <v>0.28499999999999998</v>
      </c>
      <c r="G40" s="95"/>
      <c r="H40" s="107">
        <f>D40*F40</f>
        <v>3.1349999999999998</v>
      </c>
      <c r="I40" s="108"/>
      <c r="J40" s="111"/>
      <c r="L40" s="80" t="s">
        <v>15</v>
      </c>
      <c r="M40" s="80"/>
      <c r="N40" s="80"/>
    </row>
    <row r="41" spans="2:14" x14ac:dyDescent="0.35">
      <c r="B41" s="95"/>
      <c r="C41" s="95"/>
      <c r="D41" s="109"/>
      <c r="E41" s="110"/>
      <c r="F41" s="95"/>
      <c r="G41" s="95"/>
      <c r="H41" s="109"/>
      <c r="I41" s="110"/>
      <c r="J41" s="112"/>
    </row>
    <row r="42" spans="2:14" x14ac:dyDescent="0.35">
      <c r="B42" s="95" t="s">
        <v>15</v>
      </c>
      <c r="C42" s="95"/>
      <c r="D42" s="107">
        <v>7</v>
      </c>
      <c r="E42" s="108"/>
      <c r="F42" s="95">
        <v>0.37</v>
      </c>
      <c r="G42" s="95"/>
      <c r="H42" s="107">
        <f>D42*F42</f>
        <v>2.59</v>
      </c>
      <c r="I42" s="108"/>
      <c r="J42" s="111"/>
    </row>
    <row r="43" spans="2:14" x14ac:dyDescent="0.35">
      <c r="B43" s="95"/>
      <c r="C43" s="95"/>
      <c r="D43" s="109"/>
      <c r="E43" s="110"/>
      <c r="F43" s="95"/>
      <c r="G43" s="95"/>
      <c r="H43" s="109"/>
      <c r="I43" s="110"/>
      <c r="J43" s="112"/>
    </row>
    <row r="44" spans="2:14" x14ac:dyDescent="0.35">
      <c r="B44" s="113" t="s">
        <v>118</v>
      </c>
      <c r="C44" s="114"/>
      <c r="D44" s="114"/>
      <c r="E44" s="114"/>
      <c r="F44" s="114"/>
      <c r="G44" s="114"/>
      <c r="H44" s="114"/>
      <c r="I44" s="114"/>
      <c r="J44" s="115"/>
    </row>
    <row r="45" spans="2:14" x14ac:dyDescent="0.35">
      <c r="B45" s="95" t="s">
        <v>17</v>
      </c>
      <c r="C45" s="95"/>
      <c r="D45" s="107"/>
      <c r="E45" s="108"/>
      <c r="F45" s="95"/>
      <c r="G45" s="95"/>
      <c r="H45" s="107"/>
      <c r="I45" s="108"/>
      <c r="J45" s="111"/>
      <c r="L45" s="80" t="s">
        <v>17</v>
      </c>
      <c r="M45" s="80"/>
      <c r="N45" s="80"/>
    </row>
    <row r="46" spans="2:14" x14ac:dyDescent="0.35">
      <c r="B46" s="95"/>
      <c r="C46" s="95"/>
      <c r="D46" s="109"/>
      <c r="E46" s="110"/>
      <c r="F46" s="95"/>
      <c r="G46" s="95"/>
      <c r="H46" s="109"/>
      <c r="I46" s="110"/>
      <c r="J46" s="112"/>
      <c r="L46" s="80" t="s">
        <v>18</v>
      </c>
      <c r="M46" s="80"/>
      <c r="N46" s="80"/>
    </row>
    <row r="47" spans="2:14" x14ac:dyDescent="0.35">
      <c r="B47" s="95" t="s">
        <v>18</v>
      </c>
      <c r="C47" s="95"/>
      <c r="D47" s="107"/>
      <c r="E47" s="108"/>
      <c r="F47" s="95"/>
      <c r="G47" s="95"/>
      <c r="H47" s="107"/>
      <c r="I47" s="108"/>
      <c r="J47" s="111"/>
      <c r="L47" s="80" t="s">
        <v>19</v>
      </c>
      <c r="M47" s="80"/>
      <c r="N47" s="80"/>
    </row>
    <row r="48" spans="2:14" x14ac:dyDescent="0.35">
      <c r="B48" s="95"/>
      <c r="C48" s="95"/>
      <c r="D48" s="109"/>
      <c r="E48" s="110"/>
      <c r="F48" s="95"/>
      <c r="G48" s="95"/>
      <c r="H48" s="109"/>
      <c r="I48" s="110"/>
      <c r="J48" s="112"/>
      <c r="L48" s="80" t="s">
        <v>31</v>
      </c>
      <c r="M48" s="80"/>
      <c r="N48" s="80"/>
    </row>
    <row r="49" spans="2:22" x14ac:dyDescent="0.35">
      <c r="B49" s="95" t="s">
        <v>19</v>
      </c>
      <c r="C49" s="95"/>
      <c r="D49" s="107"/>
      <c r="E49" s="108"/>
      <c r="F49" s="95"/>
      <c r="G49" s="95"/>
      <c r="H49" s="107"/>
      <c r="I49" s="108"/>
      <c r="J49" s="111"/>
      <c r="L49" s="80" t="s">
        <v>20</v>
      </c>
      <c r="M49" s="80"/>
      <c r="N49" s="80"/>
    </row>
    <row r="50" spans="2:22" x14ac:dyDescent="0.35">
      <c r="B50" s="95"/>
      <c r="C50" s="95"/>
      <c r="D50" s="109"/>
      <c r="E50" s="110"/>
      <c r="F50" s="95"/>
      <c r="G50" s="95"/>
      <c r="H50" s="109"/>
      <c r="I50" s="110"/>
      <c r="J50" s="112"/>
      <c r="L50" s="80" t="s">
        <v>21</v>
      </c>
      <c r="M50" s="80"/>
      <c r="N50" s="80"/>
    </row>
    <row r="51" spans="2:22" x14ac:dyDescent="0.35">
      <c r="B51" s="95" t="s">
        <v>31</v>
      </c>
      <c r="C51" s="95"/>
      <c r="D51" s="107"/>
      <c r="E51" s="108"/>
      <c r="F51" s="95"/>
      <c r="G51" s="95"/>
      <c r="H51" s="107"/>
      <c r="I51" s="108"/>
      <c r="J51" s="111"/>
      <c r="L51" s="80" t="s">
        <v>22</v>
      </c>
      <c r="M51" s="80"/>
      <c r="N51" s="80"/>
    </row>
    <row r="52" spans="2:22" x14ac:dyDescent="0.35">
      <c r="B52" s="95"/>
      <c r="C52" s="95"/>
      <c r="D52" s="109"/>
      <c r="E52" s="110"/>
      <c r="F52" s="95"/>
      <c r="G52" s="95"/>
      <c r="H52" s="109"/>
      <c r="I52" s="110"/>
      <c r="J52" s="112"/>
      <c r="L52" s="80" t="s">
        <v>83</v>
      </c>
      <c r="M52" s="80"/>
      <c r="N52" s="80"/>
    </row>
    <row r="53" spans="2:22" x14ac:dyDescent="0.35">
      <c r="B53" s="95" t="s">
        <v>20</v>
      </c>
      <c r="C53" s="95"/>
      <c r="D53" s="107"/>
      <c r="E53" s="108"/>
      <c r="F53" s="95"/>
      <c r="G53" s="95"/>
      <c r="H53" s="107"/>
      <c r="I53" s="108"/>
      <c r="J53" s="111"/>
    </row>
    <row r="54" spans="2:22" x14ac:dyDescent="0.35">
      <c r="B54" s="95"/>
      <c r="C54" s="95"/>
      <c r="D54" s="109"/>
      <c r="E54" s="110"/>
      <c r="F54" s="95"/>
      <c r="G54" s="95"/>
      <c r="H54" s="109"/>
      <c r="I54" s="110"/>
      <c r="J54" s="112"/>
    </row>
    <row r="55" spans="2:22" x14ac:dyDescent="0.35">
      <c r="B55" s="107" t="s">
        <v>21</v>
      </c>
      <c r="C55" s="108"/>
      <c r="D55" s="107"/>
      <c r="E55" s="108"/>
      <c r="F55" s="107"/>
      <c r="G55" s="108"/>
      <c r="H55" s="107"/>
      <c r="I55" s="108"/>
      <c r="J55" s="95"/>
      <c r="K55" s="50"/>
    </row>
    <row r="56" spans="2:22" x14ac:dyDescent="0.35">
      <c r="B56" s="109"/>
      <c r="C56" s="110"/>
      <c r="D56" s="109"/>
      <c r="E56" s="110"/>
      <c r="F56" s="109"/>
      <c r="G56" s="110"/>
      <c r="H56" s="109"/>
      <c r="I56" s="110"/>
      <c r="J56" s="95"/>
      <c r="K56" s="50"/>
    </row>
    <row r="57" spans="2:22" x14ac:dyDescent="0.35">
      <c r="B57" s="95" t="s">
        <v>22</v>
      </c>
      <c r="C57" s="95"/>
      <c r="D57" s="107"/>
      <c r="E57" s="108"/>
      <c r="F57" s="95"/>
      <c r="G57" s="95"/>
      <c r="H57" s="107"/>
      <c r="I57" s="108"/>
      <c r="J57" s="111"/>
    </row>
    <row r="58" spans="2:22" x14ac:dyDescent="0.35">
      <c r="B58" s="95"/>
      <c r="C58" s="95"/>
      <c r="D58" s="109"/>
      <c r="E58" s="110"/>
      <c r="F58" s="95"/>
      <c r="G58" s="95"/>
      <c r="H58" s="109"/>
      <c r="I58" s="110"/>
      <c r="J58" s="112"/>
      <c r="N58" s="50"/>
      <c r="O58" s="50"/>
      <c r="P58" s="50"/>
      <c r="Q58" s="50"/>
      <c r="R58" s="50"/>
      <c r="S58" s="50"/>
      <c r="T58" s="50"/>
      <c r="U58" s="50"/>
      <c r="V58" s="51"/>
    </row>
    <row r="59" spans="2:22" ht="15" customHeight="1" x14ac:dyDescent="0.35">
      <c r="B59" s="107" t="s">
        <v>83</v>
      </c>
      <c r="C59" s="108"/>
      <c r="D59" s="107"/>
      <c r="E59" s="108"/>
      <c r="F59" s="107"/>
      <c r="G59" s="108"/>
      <c r="H59" s="107"/>
      <c r="I59" s="108"/>
      <c r="J59" s="111"/>
      <c r="N59" s="50"/>
      <c r="O59" s="50"/>
      <c r="P59" s="50"/>
      <c r="Q59" s="50"/>
      <c r="R59" s="50"/>
      <c r="S59" s="50"/>
      <c r="T59" s="50"/>
      <c r="U59" s="50"/>
      <c r="V59" s="51"/>
    </row>
    <row r="60" spans="2:22" x14ac:dyDescent="0.35">
      <c r="B60" s="109"/>
      <c r="C60" s="110"/>
      <c r="D60" s="109"/>
      <c r="E60" s="110"/>
      <c r="F60" s="109"/>
      <c r="G60" s="110"/>
      <c r="H60" s="109"/>
      <c r="I60" s="110"/>
      <c r="J60" s="112"/>
    </row>
    <row r="61" spans="2:22" x14ac:dyDescent="0.35">
      <c r="B61" s="113" t="s">
        <v>119</v>
      </c>
      <c r="C61" s="114"/>
      <c r="D61" s="114"/>
      <c r="E61" s="114"/>
      <c r="F61" s="114"/>
      <c r="G61" s="114"/>
      <c r="H61" s="114"/>
      <c r="I61" s="114"/>
      <c r="J61" s="115"/>
    </row>
    <row r="62" spans="2:22" x14ac:dyDescent="0.35">
      <c r="B62" s="95" t="s">
        <v>92</v>
      </c>
      <c r="C62" s="95"/>
      <c r="D62" s="107">
        <v>8</v>
      </c>
      <c r="E62" s="108"/>
      <c r="F62" s="95">
        <v>0.35</v>
      </c>
      <c r="G62" s="95"/>
      <c r="H62" s="107">
        <f>D62*F62</f>
        <v>2.8</v>
      </c>
      <c r="I62" s="108"/>
      <c r="J62" s="111"/>
    </row>
    <row r="63" spans="2:22" x14ac:dyDescent="0.35">
      <c r="B63" s="95"/>
      <c r="C63" s="95"/>
      <c r="D63" s="109"/>
      <c r="E63" s="110"/>
      <c r="F63" s="95"/>
      <c r="G63" s="95"/>
      <c r="H63" s="109"/>
      <c r="I63" s="110"/>
      <c r="J63" s="112"/>
    </row>
    <row r="64" spans="2:22" x14ac:dyDescent="0.35">
      <c r="B64" s="95" t="s">
        <v>25</v>
      </c>
      <c r="C64" s="95"/>
      <c r="D64" s="107">
        <v>8</v>
      </c>
      <c r="E64" s="108"/>
      <c r="F64" s="95">
        <v>0.35699999999999998</v>
      </c>
      <c r="G64" s="95"/>
      <c r="H64" s="107">
        <f>D64*F64</f>
        <v>2.8559999999999999</v>
      </c>
      <c r="I64" s="108"/>
      <c r="J64" s="111"/>
    </row>
    <row r="65" spans="2:10" x14ac:dyDescent="0.35">
      <c r="B65" s="95"/>
      <c r="C65" s="95"/>
      <c r="D65" s="109"/>
      <c r="E65" s="110"/>
      <c r="F65" s="95"/>
      <c r="G65" s="95"/>
      <c r="H65" s="109"/>
      <c r="I65" s="110"/>
      <c r="J65" s="112"/>
    </row>
    <row r="66" spans="2:10" x14ac:dyDescent="0.35">
      <c r="B66" s="95" t="s">
        <v>120</v>
      </c>
      <c r="C66" s="95"/>
      <c r="D66" s="107">
        <v>11</v>
      </c>
      <c r="E66" s="108"/>
      <c r="F66" s="95">
        <v>0.29299999999999998</v>
      </c>
      <c r="G66" s="95"/>
      <c r="H66" s="107">
        <f>D66*F66</f>
        <v>3.2229999999999999</v>
      </c>
      <c r="I66" s="108"/>
      <c r="J66" s="111"/>
    </row>
    <row r="67" spans="2:10" x14ac:dyDescent="0.35">
      <c r="B67" s="95"/>
      <c r="C67" s="95"/>
      <c r="D67" s="109"/>
      <c r="E67" s="110"/>
      <c r="F67" s="95"/>
      <c r="G67" s="95"/>
      <c r="H67" s="109"/>
      <c r="I67" s="110"/>
      <c r="J67" s="112"/>
    </row>
  </sheetData>
  <mergeCells count="186">
    <mergeCell ref="B2:C2"/>
    <mergeCell ref="D2:E2"/>
    <mergeCell ref="F2:G2"/>
    <mergeCell ref="H2:I2"/>
    <mergeCell ref="B3:J3"/>
    <mergeCell ref="B4:C5"/>
    <mergeCell ref="D4:E5"/>
    <mergeCell ref="F4:G5"/>
    <mergeCell ref="H4:I5"/>
    <mergeCell ref="J4:J5"/>
    <mergeCell ref="B6:C7"/>
    <mergeCell ref="D6:E7"/>
    <mergeCell ref="F6:G7"/>
    <mergeCell ref="H6:I7"/>
    <mergeCell ref="J6:J7"/>
    <mergeCell ref="B8:C9"/>
    <mergeCell ref="D8:E9"/>
    <mergeCell ref="F8:G9"/>
    <mergeCell ref="H8:I9"/>
    <mergeCell ref="J8:J9"/>
    <mergeCell ref="B10:C11"/>
    <mergeCell ref="D10:E11"/>
    <mergeCell ref="F10:G11"/>
    <mergeCell ref="H10:I11"/>
    <mergeCell ref="J10:J11"/>
    <mergeCell ref="B12:C13"/>
    <mergeCell ref="D12:E13"/>
    <mergeCell ref="F12:G13"/>
    <mergeCell ref="H12:I13"/>
    <mergeCell ref="J12:J13"/>
    <mergeCell ref="B14:C15"/>
    <mergeCell ref="D14:E15"/>
    <mergeCell ref="F14:G15"/>
    <mergeCell ref="H14:I15"/>
    <mergeCell ref="J14:J15"/>
    <mergeCell ref="B16:C17"/>
    <mergeCell ref="D16:E17"/>
    <mergeCell ref="F16:G17"/>
    <mergeCell ref="H16:I17"/>
    <mergeCell ref="J16:J17"/>
    <mergeCell ref="B22:J22"/>
    <mergeCell ref="B23:C24"/>
    <mergeCell ref="D23:E24"/>
    <mergeCell ref="F23:G24"/>
    <mergeCell ref="H23:I24"/>
    <mergeCell ref="J23:J24"/>
    <mergeCell ref="B18:C19"/>
    <mergeCell ref="D18:E19"/>
    <mergeCell ref="F18:G19"/>
    <mergeCell ref="H18:I19"/>
    <mergeCell ref="J18:J19"/>
    <mergeCell ref="B20:C21"/>
    <mergeCell ref="D20:E21"/>
    <mergeCell ref="F20:G21"/>
    <mergeCell ref="H20:I21"/>
    <mergeCell ref="J20:J21"/>
    <mergeCell ref="B25:C26"/>
    <mergeCell ref="D25:E26"/>
    <mergeCell ref="F25:G26"/>
    <mergeCell ref="H25:I26"/>
    <mergeCell ref="J25:J26"/>
    <mergeCell ref="B27:C28"/>
    <mergeCell ref="D27:E28"/>
    <mergeCell ref="F27:G28"/>
    <mergeCell ref="H27:I28"/>
    <mergeCell ref="J27:J28"/>
    <mergeCell ref="B29:C30"/>
    <mergeCell ref="D29:E30"/>
    <mergeCell ref="F29:G30"/>
    <mergeCell ref="H29:I30"/>
    <mergeCell ref="J29:J30"/>
    <mergeCell ref="B31:C32"/>
    <mergeCell ref="D31:E32"/>
    <mergeCell ref="F31:G32"/>
    <mergeCell ref="H31:I32"/>
    <mergeCell ref="J31:J32"/>
    <mergeCell ref="B37:J37"/>
    <mergeCell ref="B38:C39"/>
    <mergeCell ref="D38:E39"/>
    <mergeCell ref="F38:G39"/>
    <mergeCell ref="H38:I39"/>
    <mergeCell ref="J38:J39"/>
    <mergeCell ref="B33:C34"/>
    <mergeCell ref="D33:E34"/>
    <mergeCell ref="F33:G34"/>
    <mergeCell ref="H33:I34"/>
    <mergeCell ref="J33:J34"/>
    <mergeCell ref="B35:C36"/>
    <mergeCell ref="D35:E36"/>
    <mergeCell ref="F35:G36"/>
    <mergeCell ref="H35:I36"/>
    <mergeCell ref="J35:J36"/>
    <mergeCell ref="B40:C41"/>
    <mergeCell ref="D40:E41"/>
    <mergeCell ref="F40:G41"/>
    <mergeCell ref="H40:I41"/>
    <mergeCell ref="J40:J41"/>
    <mergeCell ref="B42:C43"/>
    <mergeCell ref="D42:E43"/>
    <mergeCell ref="F42:G43"/>
    <mergeCell ref="H42:I43"/>
    <mergeCell ref="J42:J43"/>
    <mergeCell ref="H47:I48"/>
    <mergeCell ref="J47:J48"/>
    <mergeCell ref="B49:C50"/>
    <mergeCell ref="D49:E50"/>
    <mergeCell ref="F49:G50"/>
    <mergeCell ref="H49:I50"/>
    <mergeCell ref="J49:J50"/>
    <mergeCell ref="B44:J44"/>
    <mergeCell ref="B45:C46"/>
    <mergeCell ref="D45:E46"/>
    <mergeCell ref="F45:G46"/>
    <mergeCell ref="H45:I46"/>
    <mergeCell ref="J45:J46"/>
    <mergeCell ref="B66:C67"/>
    <mergeCell ref="D66:E67"/>
    <mergeCell ref="F66:G67"/>
    <mergeCell ref="H66:I67"/>
    <mergeCell ref="J66:J67"/>
    <mergeCell ref="B61:J61"/>
    <mergeCell ref="B62:C63"/>
    <mergeCell ref="D62:E63"/>
    <mergeCell ref="F62:G63"/>
    <mergeCell ref="H62:I63"/>
    <mergeCell ref="J62:J63"/>
    <mergeCell ref="L4:N4"/>
    <mergeCell ref="L5:N5"/>
    <mergeCell ref="L6:N6"/>
    <mergeCell ref="L7:N7"/>
    <mergeCell ref="L8:N8"/>
    <mergeCell ref="L9:N9"/>
    <mergeCell ref="B64:C65"/>
    <mergeCell ref="D64:E65"/>
    <mergeCell ref="F64:G65"/>
    <mergeCell ref="H64:I65"/>
    <mergeCell ref="J64:J65"/>
    <mergeCell ref="B57:C58"/>
    <mergeCell ref="D57:E58"/>
    <mergeCell ref="F57:G58"/>
    <mergeCell ref="H57:I58"/>
    <mergeCell ref="J57:J58"/>
    <mergeCell ref="B59:C60"/>
    <mergeCell ref="D59:E60"/>
    <mergeCell ref="F59:G60"/>
    <mergeCell ref="H59:I60"/>
    <mergeCell ref="J59:J60"/>
    <mergeCell ref="B51:C52"/>
    <mergeCell ref="D51:E52"/>
    <mergeCell ref="F51:G52"/>
    <mergeCell ref="L26:N26"/>
    <mergeCell ref="L27:N27"/>
    <mergeCell ref="L28:N28"/>
    <mergeCell ref="L29:N29"/>
    <mergeCell ref="L38:N38"/>
    <mergeCell ref="L39:N39"/>
    <mergeCell ref="L10:N10"/>
    <mergeCell ref="L11:N11"/>
    <mergeCell ref="L12:N12"/>
    <mergeCell ref="L23:N23"/>
    <mergeCell ref="L24:N24"/>
    <mergeCell ref="L25:N25"/>
    <mergeCell ref="B55:C56"/>
    <mergeCell ref="D55:E56"/>
    <mergeCell ref="F55:G56"/>
    <mergeCell ref="H55:I56"/>
    <mergeCell ref="J55:J56"/>
    <mergeCell ref="L50:N50"/>
    <mergeCell ref="L51:N51"/>
    <mergeCell ref="L52:N52"/>
    <mergeCell ref="L40:N40"/>
    <mergeCell ref="L45:N45"/>
    <mergeCell ref="L46:N46"/>
    <mergeCell ref="L47:N47"/>
    <mergeCell ref="L48:N48"/>
    <mergeCell ref="L49:N49"/>
    <mergeCell ref="H51:I52"/>
    <mergeCell ref="J51:J52"/>
    <mergeCell ref="B53:C54"/>
    <mergeCell ref="D53:E54"/>
    <mergeCell ref="F53:G54"/>
    <mergeCell ref="H53:I54"/>
    <mergeCell ref="J53:J54"/>
    <mergeCell ref="B47:C48"/>
    <mergeCell ref="D47:E48"/>
    <mergeCell ref="F47:G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B3F9C43A2D34FAE0F9B28AEE410D1" ma:contentTypeVersion="4" ma:contentTypeDescription="Create a new document." ma:contentTypeScope="" ma:versionID="19ef002953b56c810b9b2ac5724c09c3">
  <xsd:schema xmlns:xsd="http://www.w3.org/2001/XMLSchema" xmlns:xs="http://www.w3.org/2001/XMLSchema" xmlns:p="http://schemas.microsoft.com/office/2006/metadata/properties" xmlns:ns3="544aaacf-7ec0-475f-b616-fa49d232fc01" targetNamespace="http://schemas.microsoft.com/office/2006/metadata/properties" ma:root="true" ma:fieldsID="4de397d158ee1128eab0a00cf7936d22" ns3:_="">
    <xsd:import namespace="544aaacf-7ec0-475f-b616-fa49d232fc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aaacf-7ec0-475f-b616-fa49d232f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318997-1635-4E96-9B60-AB469F2C8C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F12C6-B9C3-4929-8488-540FF404E3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4aaacf-7ec0-475f-b616-fa49d232fc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7E1766-77B3-4595-8DC4-55C9031F61DA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544aaacf-7ec0-475f-b616-fa49d232fc01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 Tengkulak</vt:lpstr>
      <vt:lpstr>Batur Tengkulak</vt:lpstr>
      <vt:lpstr>Pasureanan Tengkulak</vt:lpstr>
      <vt:lpstr>Sumberejo Tengkulak</vt:lpstr>
      <vt:lpstr>Kepakisan Tengkulak</vt:lpstr>
      <vt:lpstr>Bakal Tengkulak</vt:lpstr>
      <vt:lpstr>Pekasiran Tengkulak</vt:lpstr>
      <vt:lpstr>Karang Tengah Tengkulak</vt:lpstr>
      <vt:lpstr>Tengkulak Dieng Kulon</vt:lpstr>
      <vt:lpstr>AHP</vt:lpstr>
      <vt:lpstr>Prioritas Subkriteria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Prasetyo Aji</dc:creator>
  <cp:lastModifiedBy>Juli Yandi Rahman</cp:lastModifiedBy>
  <dcterms:created xsi:type="dcterms:W3CDTF">2025-03-31T08:01:07Z</dcterms:created>
  <dcterms:modified xsi:type="dcterms:W3CDTF">2025-05-08T15:29:29Z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0x010100FE4B3F9C43A2D34FAE0F9B28AEE410D1</vt:lpwstr>
  </property>
</Properties>
</file>